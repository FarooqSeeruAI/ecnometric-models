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aive-my.sharepoint.com/personal/bob_scealy_qaive_com_au/Documents/Desktop/Qaive/Jobs/PWC001 - UAE/CGE/19 - Orani Dubai - new SAM - Updated prod/Master version/database/"/>
    </mc:Choice>
  </mc:AlternateContent>
  <xr:revisionPtr revIDLastSave="259" documentId="114_{30C9FF3A-EA46-47C8-B0F9-B71018C4A780}" xr6:coauthVersionLast="47" xr6:coauthVersionMax="47" xr10:uidLastSave="{8FA9D600-4F22-4733-B0E1-5AE9D86D9358}"/>
  <bookViews>
    <workbookView xWindow="-38510" yWindow="-15820" windowWidth="38620" windowHeight="21100" tabRatio="763" activeTab="20" xr2:uid="{00000000-000D-0000-FFFF-FFFF00000000}"/>
  </bookViews>
  <sheets>
    <sheet name="Notes and calculations" sheetId="39" r:id="rId1"/>
    <sheet name="COM" sheetId="1" r:id="rId2"/>
    <sheet name="IND" sheetId="2" r:id="rId3"/>
    <sheet name="OCC" sheetId="3" r:id="rId4"/>
    <sheet name="LELAS" sheetId="42" r:id="rId5"/>
    <sheet name="1BAS" sheetId="10" r:id="rId6"/>
    <sheet name="VCAPSTOCK" sheetId="41" r:id="rId7"/>
    <sheet name="VDEP" sheetId="40" r:id="rId8"/>
    <sheet name="2BAS Calcs" sheetId="43" r:id="rId9"/>
    <sheet name="2BAS" sheetId="18" r:id="rId10"/>
    <sheet name="3BAS" sheetId="21" r:id="rId11"/>
    <sheet name="4BAS" sheetId="23" r:id="rId12"/>
    <sheet name="5BAS" sheetId="25" r:id="rId13"/>
    <sheet name="6BAS" sheetId="27" r:id="rId14"/>
    <sheet name="1TAX" sheetId="16" r:id="rId15"/>
    <sheet name="2TAX" sheetId="19" r:id="rId16"/>
    <sheet name="3TAX" sheetId="22" r:id="rId17"/>
    <sheet name="4TAX" sheetId="24" r:id="rId18"/>
    <sheet name="5TAX" sheetId="26" r:id="rId19"/>
    <sheet name="1CAP" sheetId="11" r:id="rId20"/>
    <sheet name="EMPL" sheetId="47" r:id="rId21"/>
    <sheet name="1LAB" sheetId="12" r:id="rId22"/>
    <sheet name="1LND" sheetId="13" r:id="rId23"/>
    <sheet name="1PTX" sheetId="15" r:id="rId24"/>
    <sheet name="1OCT" sheetId="14" r:id="rId25"/>
    <sheet name="MAKE" sheetId="30" r:id="rId26"/>
    <sheet name="0TAR" sheetId="8" r:id="rId27"/>
    <sheet name="SLAB" sheetId="35" r:id="rId28"/>
    <sheet name="SCAP" sheetId="38" r:id="rId29"/>
    <sheet name="P028" sheetId="33" r:id="rId30"/>
    <sheet name="1ARM" sheetId="9" r:id="rId31"/>
    <sheet name="SCET" sheetId="34" r:id="rId32"/>
    <sheet name="2ARM" sheetId="17" r:id="rId33"/>
    <sheet name="3ARM" sheetId="20" r:id="rId34"/>
    <sheet name="P021" sheetId="32" r:id="rId35"/>
    <sheet name="XPEL" sheetId="36" r:id="rId36"/>
    <sheet name="P018" sheetId="31" r:id="rId37"/>
    <sheet name="EXNT" sheetId="28" r:id="rId38"/>
    <sheet name="ITEX" sheetId="29" r:id="rId39"/>
    <sheet name="ARATIO" sheetId="46" r:id="rId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43" l="1"/>
  <c r="T5" i="43"/>
  <c r="T6" i="43"/>
  <c r="T7" i="43"/>
  <c r="T8" i="43"/>
  <c r="T9" i="43"/>
  <c r="T10" i="43"/>
  <c r="T11" i="43"/>
  <c r="T12" i="43"/>
  <c r="T13" i="43"/>
  <c r="T14" i="43"/>
  <c r="T15" i="43"/>
  <c r="T16" i="43"/>
  <c r="T17" i="43"/>
  <c r="T18" i="43"/>
  <c r="T19" i="43"/>
  <c r="T20" i="43"/>
  <c r="T21" i="43"/>
  <c r="T22" i="43"/>
  <c r="T23" i="43"/>
  <c r="T24" i="43"/>
  <c r="T25" i="43"/>
  <c r="T26" i="43"/>
  <c r="T27" i="43"/>
  <c r="T28" i="43"/>
  <c r="T29" i="43"/>
  <c r="T30" i="43"/>
  <c r="T31" i="43"/>
  <c r="T32" i="43"/>
  <c r="T33" i="43"/>
  <c r="T34" i="43"/>
  <c r="T35" i="43"/>
  <c r="U35" i="43" s="1"/>
  <c r="T3" i="43"/>
  <c r="B12" i="40"/>
  <c r="B14" i="40"/>
  <c r="B28" i="40"/>
  <c r="B30" i="40"/>
  <c r="B3" i="41"/>
  <c r="B3" i="40" s="1"/>
  <c r="B4" i="41"/>
  <c r="B4" i="40" s="1"/>
  <c r="B5" i="41"/>
  <c r="B5" i="40" s="1"/>
  <c r="B6" i="41"/>
  <c r="B6" i="40" s="1"/>
  <c r="B7" i="41"/>
  <c r="B7" i="40" s="1"/>
  <c r="B8" i="41"/>
  <c r="B8" i="40" s="1"/>
  <c r="B9" i="41"/>
  <c r="B9" i="40" s="1"/>
  <c r="B10" i="41"/>
  <c r="B10" i="40" s="1"/>
  <c r="B11" i="41"/>
  <c r="B11" i="40" s="1"/>
  <c r="B12" i="41"/>
  <c r="B13" i="41"/>
  <c r="B13" i="40" s="1"/>
  <c r="B14" i="41"/>
  <c r="B15" i="41"/>
  <c r="B15" i="40" s="1"/>
  <c r="B16" i="41"/>
  <c r="B16" i="40" s="1"/>
  <c r="B17" i="41"/>
  <c r="B17" i="40" s="1"/>
  <c r="B18" i="41"/>
  <c r="B18" i="40" s="1"/>
  <c r="B19" i="41"/>
  <c r="B19" i="40" s="1"/>
  <c r="B20" i="41"/>
  <c r="B20" i="40" s="1"/>
  <c r="B21" i="41"/>
  <c r="B21" i="40" s="1"/>
  <c r="B22" i="41"/>
  <c r="B22" i="40" s="1"/>
  <c r="B23" i="41"/>
  <c r="B23" i="40" s="1"/>
  <c r="B24" i="41"/>
  <c r="B24" i="40" s="1"/>
  <c r="B25" i="41"/>
  <c r="B25" i="40" s="1"/>
  <c r="B26" i="41"/>
  <c r="B26" i="40" s="1"/>
  <c r="B27" i="41"/>
  <c r="B27" i="40" s="1"/>
  <c r="B28" i="41"/>
  <c r="B29" i="41"/>
  <c r="B29" i="40" s="1"/>
  <c r="B30" i="41"/>
  <c r="B31" i="41"/>
  <c r="B31" i="40" s="1"/>
  <c r="B32" i="41"/>
  <c r="B32" i="40" s="1"/>
  <c r="B33" i="41"/>
  <c r="B33" i="40" s="1"/>
  <c r="B34" i="41"/>
  <c r="B34" i="40" s="1"/>
  <c r="B2" i="41"/>
  <c r="B2" i="40" s="1"/>
  <c r="H189" i="43"/>
  <c r="H255" i="43" s="1"/>
  <c r="H188" i="43"/>
  <c r="L188" i="43" s="1"/>
  <c r="H186" i="43"/>
  <c r="H174" i="43"/>
  <c r="H240" i="43" s="1"/>
  <c r="H172" i="43"/>
  <c r="H171" i="43"/>
  <c r="L171" i="43" s="1"/>
  <c r="H168" i="43"/>
  <c r="H234" i="43" s="1"/>
  <c r="H140" i="43"/>
  <c r="L140" i="43" s="1"/>
  <c r="L137" i="43"/>
  <c r="H133" i="43"/>
  <c r="H199" i="43" s="1"/>
  <c r="H265" i="43" s="1"/>
  <c r="H331" i="43" s="1"/>
  <c r="H132" i="43"/>
  <c r="L132" i="43" s="1"/>
  <c r="H131" i="43"/>
  <c r="H197" i="43" s="1"/>
  <c r="H130" i="43"/>
  <c r="L130" i="43" s="1"/>
  <c r="H129" i="43"/>
  <c r="H195" i="43" s="1"/>
  <c r="H261" i="43" s="1"/>
  <c r="L128" i="43"/>
  <c r="H128" i="43"/>
  <c r="H194" i="43" s="1"/>
  <c r="H260" i="43" s="1"/>
  <c r="H127" i="43"/>
  <c r="H193" i="43" s="1"/>
  <c r="L193" i="43" s="1"/>
  <c r="H126" i="43"/>
  <c r="H192" i="43" s="1"/>
  <c r="H125" i="43"/>
  <c r="L125" i="43" s="1"/>
  <c r="H124" i="43"/>
  <c r="H190" i="43" s="1"/>
  <c r="H123" i="43"/>
  <c r="L123" i="43" s="1"/>
  <c r="L122" i="43"/>
  <c r="H122" i="43"/>
  <c r="H121" i="43"/>
  <c r="H187" i="43" s="1"/>
  <c r="H120" i="43"/>
  <c r="L120" i="43" s="1"/>
  <c r="L119" i="43"/>
  <c r="H119" i="43"/>
  <c r="H185" i="43" s="1"/>
  <c r="H251" i="43" s="1"/>
  <c r="L251" i="43" s="1"/>
  <c r="H118" i="43"/>
  <c r="H117" i="43"/>
  <c r="H183" i="43" s="1"/>
  <c r="L116" i="43"/>
  <c r="H116" i="43"/>
  <c r="H182" i="43" s="1"/>
  <c r="L115" i="43"/>
  <c r="H115" i="43"/>
  <c r="H181" i="43" s="1"/>
  <c r="H114" i="43"/>
  <c r="H180" i="43" s="1"/>
  <c r="L180" i="43" s="1"/>
  <c r="H113" i="43"/>
  <c r="L113" i="43" s="1"/>
  <c r="H112" i="43"/>
  <c r="H178" i="43" s="1"/>
  <c r="H111" i="43"/>
  <c r="H110" i="43"/>
  <c r="H176" i="43" s="1"/>
  <c r="H109" i="43"/>
  <c r="H175" i="43" s="1"/>
  <c r="H241" i="43" s="1"/>
  <c r="H108" i="43"/>
  <c r="L108" i="43" s="1"/>
  <c r="H107" i="43"/>
  <c r="H173" i="43" s="1"/>
  <c r="L173" i="43" s="1"/>
  <c r="H106" i="43"/>
  <c r="L106" i="43" s="1"/>
  <c r="H105" i="43"/>
  <c r="L105" i="43" s="1"/>
  <c r="H104" i="43"/>
  <c r="H170" i="43" s="1"/>
  <c r="H236" i="43" s="1"/>
  <c r="H103" i="43"/>
  <c r="H169" i="43" s="1"/>
  <c r="H102" i="43"/>
  <c r="L102" i="43" s="1"/>
  <c r="H101" i="43"/>
  <c r="L101" i="43" s="1"/>
  <c r="H100" i="43"/>
  <c r="H166" i="43" s="1"/>
  <c r="L99" i="43"/>
  <c r="H99" i="43"/>
  <c r="H165" i="43" s="1"/>
  <c r="L98" i="43"/>
  <c r="H98" i="43"/>
  <c r="H164" i="43" s="1"/>
  <c r="H97" i="43"/>
  <c r="H163" i="43" s="1"/>
  <c r="L163" i="43" s="1"/>
  <c r="L96" i="43"/>
  <c r="H96" i="43"/>
  <c r="H162" i="43" s="1"/>
  <c r="H95" i="43"/>
  <c r="H161" i="43" s="1"/>
  <c r="L161" i="43" s="1"/>
  <c r="H94" i="43"/>
  <c r="H93" i="43"/>
  <c r="H159" i="43" s="1"/>
  <c r="H92" i="43"/>
  <c r="H158" i="43" s="1"/>
  <c r="L91" i="43"/>
  <c r="H91" i="43"/>
  <c r="H157" i="43" s="1"/>
  <c r="H223" i="43" s="1"/>
  <c r="H289" i="43" s="1"/>
  <c r="H355" i="43" s="1"/>
  <c r="H90" i="43"/>
  <c r="H156" i="43" s="1"/>
  <c r="L156" i="43" s="1"/>
  <c r="H89" i="43"/>
  <c r="L89" i="43" s="1"/>
  <c r="L88" i="43"/>
  <c r="H88" i="43"/>
  <c r="H154" i="43" s="1"/>
  <c r="H87" i="43"/>
  <c r="H86" i="43"/>
  <c r="L86" i="43" s="1"/>
  <c r="H85" i="43"/>
  <c r="L85" i="43" s="1"/>
  <c r="H84" i="43"/>
  <c r="L84" i="43" s="1"/>
  <c r="H83" i="43"/>
  <c r="L83" i="43" s="1"/>
  <c r="H82" i="43"/>
  <c r="L82" i="43" s="1"/>
  <c r="H81" i="43"/>
  <c r="H147" i="43" s="1"/>
  <c r="H213" i="43" s="1"/>
  <c r="H80" i="43"/>
  <c r="H146" i="43" s="1"/>
  <c r="H212" i="43" s="1"/>
  <c r="L79" i="43"/>
  <c r="H79" i="43"/>
  <c r="H145" i="43" s="1"/>
  <c r="H78" i="43"/>
  <c r="H144" i="43" s="1"/>
  <c r="H77" i="43"/>
  <c r="L77" i="43" s="1"/>
  <c r="H76" i="43"/>
  <c r="H142" i="43" s="1"/>
  <c r="H75" i="43"/>
  <c r="L75" i="43" s="1"/>
  <c r="L74" i="43"/>
  <c r="H74" i="43"/>
  <c r="H73" i="43"/>
  <c r="H139" i="43" s="1"/>
  <c r="L139" i="43" s="1"/>
  <c r="H72" i="43"/>
  <c r="H138" i="43" s="1"/>
  <c r="H71" i="43"/>
  <c r="H137" i="43" s="1"/>
  <c r="H203" i="43" s="1"/>
  <c r="H70" i="43"/>
  <c r="H69" i="43"/>
  <c r="L69" i="43" s="1"/>
  <c r="F69" i="43"/>
  <c r="F135" i="43" s="1"/>
  <c r="L68" i="43"/>
  <c r="H68" i="43"/>
  <c r="H134" i="43" s="1"/>
  <c r="G68" i="43"/>
  <c r="G101" i="43" s="1"/>
  <c r="F68" i="43"/>
  <c r="F134" i="43" s="1"/>
  <c r="L67" i="43"/>
  <c r="L66" i="43"/>
  <c r="L65" i="43"/>
  <c r="L64" i="43"/>
  <c r="L63" i="43"/>
  <c r="L62" i="43"/>
  <c r="L61" i="43"/>
  <c r="L60" i="43"/>
  <c r="L59" i="43"/>
  <c r="L58" i="43"/>
  <c r="L57" i="43"/>
  <c r="L56" i="43"/>
  <c r="L55" i="43"/>
  <c r="L54" i="43"/>
  <c r="L53" i="43"/>
  <c r="L52" i="43"/>
  <c r="L51" i="43"/>
  <c r="L50" i="43"/>
  <c r="L49" i="43"/>
  <c r="L48" i="43"/>
  <c r="L47" i="43"/>
  <c r="L46" i="43"/>
  <c r="L45" i="43"/>
  <c r="L44" i="43"/>
  <c r="L43" i="43"/>
  <c r="L42" i="43"/>
  <c r="L41" i="43"/>
  <c r="L40" i="43"/>
  <c r="L39" i="43"/>
  <c r="L38" i="43"/>
  <c r="L37" i="43"/>
  <c r="L36" i="43"/>
  <c r="L35" i="43"/>
  <c r="G35" i="43"/>
  <c r="K35" i="43" s="1"/>
  <c r="L34" i="43"/>
  <c r="L33" i="43"/>
  <c r="L32" i="43"/>
  <c r="L31" i="43"/>
  <c r="L30" i="43"/>
  <c r="L29" i="43"/>
  <c r="L28" i="43"/>
  <c r="L27" i="43"/>
  <c r="L26" i="43"/>
  <c r="L25" i="43"/>
  <c r="L24" i="43"/>
  <c r="L23" i="43"/>
  <c r="L22" i="43"/>
  <c r="L21" i="43"/>
  <c r="L20" i="43"/>
  <c r="L19" i="43"/>
  <c r="L18" i="43"/>
  <c r="L17" i="43"/>
  <c r="L16" i="43"/>
  <c r="L15" i="43"/>
  <c r="L14" i="43"/>
  <c r="L13" i="43"/>
  <c r="L12" i="43"/>
  <c r="L11" i="43"/>
  <c r="L10" i="43"/>
  <c r="L9" i="43"/>
  <c r="L8" i="43"/>
  <c r="L7" i="43"/>
  <c r="L6" i="43"/>
  <c r="L5" i="43"/>
  <c r="L4" i="43"/>
  <c r="F4" i="43"/>
  <c r="F70" i="43" s="1"/>
  <c r="L3" i="43"/>
  <c r="G3" i="43"/>
  <c r="G36" i="43" s="1"/>
  <c r="F3" i="43"/>
  <c r="M3" i="43" s="1"/>
  <c r="L2" i="43"/>
  <c r="K2" i="43"/>
  <c r="M2" i="43"/>
  <c r="C3" i="39"/>
  <c r="C4" i="39"/>
  <c r="C6" i="39" s="1"/>
  <c r="U23" i="43" l="1"/>
  <c r="U34" i="43"/>
  <c r="U18" i="43"/>
  <c r="U27" i="43"/>
  <c r="U10" i="43"/>
  <c r="U25" i="43"/>
  <c r="U19" i="43"/>
  <c r="U33" i="43"/>
  <c r="U17" i="43"/>
  <c r="U16" i="43"/>
  <c r="C8" i="39"/>
  <c r="U11" i="43"/>
  <c r="U26" i="43"/>
  <c r="U9" i="43"/>
  <c r="U3" i="43"/>
  <c r="U32" i="43"/>
  <c r="U31" i="43"/>
  <c r="U15" i="43"/>
  <c r="U4" i="43"/>
  <c r="U12" i="43"/>
  <c r="U20" i="43"/>
  <c r="U28" i="43"/>
  <c r="U5" i="43"/>
  <c r="U13" i="43"/>
  <c r="U21" i="43"/>
  <c r="U29" i="43"/>
  <c r="U6" i="43"/>
  <c r="U14" i="43"/>
  <c r="U22" i="43"/>
  <c r="U30" i="43"/>
  <c r="U7" i="43"/>
  <c r="U8" i="43"/>
  <c r="U24" i="43"/>
  <c r="H247" i="43"/>
  <c r="L181" i="43"/>
  <c r="L164" i="43"/>
  <c r="H230" i="43"/>
  <c r="H296" i="43" s="1"/>
  <c r="H211" i="43"/>
  <c r="L211" i="43" s="1"/>
  <c r="L145" i="43"/>
  <c r="L95" i="43"/>
  <c r="L127" i="43"/>
  <c r="L112" i="43"/>
  <c r="L174" i="43"/>
  <c r="L80" i="43"/>
  <c r="L129" i="43"/>
  <c r="H179" i="43"/>
  <c r="H245" i="43" s="1"/>
  <c r="L81" i="43"/>
  <c r="K68" i="43"/>
  <c r="L100" i="43"/>
  <c r="H135" i="43"/>
  <c r="L194" i="43"/>
  <c r="H141" i="43"/>
  <c r="H196" i="43"/>
  <c r="L71" i="43"/>
  <c r="L103" i="43"/>
  <c r="H198" i="43"/>
  <c r="H264" i="43" s="1"/>
  <c r="L199" i="43"/>
  <c r="L72" i="43"/>
  <c r="L104" i="43"/>
  <c r="H222" i="43"/>
  <c r="H150" i="43"/>
  <c r="H216" i="43" s="1"/>
  <c r="H227" i="43"/>
  <c r="L227" i="43" s="1"/>
  <c r="N2" i="43"/>
  <c r="D2" i="18" s="1"/>
  <c r="H151" i="43"/>
  <c r="H217" i="43" s="1"/>
  <c r="L217" i="43" s="1"/>
  <c r="H229" i="43"/>
  <c r="H295" i="43" s="1"/>
  <c r="L92" i="43"/>
  <c r="L124" i="43"/>
  <c r="H237" i="43"/>
  <c r="H303" i="43" s="1"/>
  <c r="H259" i="43"/>
  <c r="L76" i="43"/>
  <c r="H167" i="43"/>
  <c r="H233" i="43" s="1"/>
  <c r="H299" i="43" s="1"/>
  <c r="H210" i="43"/>
  <c r="L144" i="43"/>
  <c r="H244" i="43"/>
  <c r="L178" i="43"/>
  <c r="F136" i="43"/>
  <c r="M70" i="43"/>
  <c r="H306" i="43"/>
  <c r="L240" i="43"/>
  <c r="H228" i="43"/>
  <c r="L162" i="43"/>
  <c r="L212" i="43"/>
  <c r="H278" i="43"/>
  <c r="M134" i="43"/>
  <c r="F200" i="43"/>
  <c r="K101" i="43"/>
  <c r="G134" i="43"/>
  <c r="H200" i="43"/>
  <c r="L134" i="43"/>
  <c r="H269" i="43"/>
  <c r="L203" i="43"/>
  <c r="H248" i="43"/>
  <c r="L182" i="43"/>
  <c r="H220" i="43"/>
  <c r="L154" i="43"/>
  <c r="H204" i="43"/>
  <c r="L138" i="43"/>
  <c r="H302" i="43"/>
  <c r="L236" i="43"/>
  <c r="F201" i="43"/>
  <c r="M135" i="43"/>
  <c r="H279" i="43"/>
  <c r="L213" i="43"/>
  <c r="H282" i="43"/>
  <c r="L216" i="43"/>
  <c r="H224" i="43"/>
  <c r="L158" i="43"/>
  <c r="H421" i="43"/>
  <c r="L355" i="43"/>
  <c r="K36" i="43"/>
  <c r="G69" i="43"/>
  <c r="H208" i="43"/>
  <c r="L142" i="43"/>
  <c r="H231" i="43"/>
  <c r="L165" i="43"/>
  <c r="H258" i="43"/>
  <c r="L192" i="43"/>
  <c r="L197" i="43"/>
  <c r="H263" i="43"/>
  <c r="H201" i="43"/>
  <c r="L135" i="43"/>
  <c r="H149" i="43"/>
  <c r="H238" i="43"/>
  <c r="L172" i="43"/>
  <c r="K3" i="43"/>
  <c r="N3" i="43" s="1"/>
  <c r="D3" i="18" s="1"/>
  <c r="L299" i="43"/>
  <c r="H365" i="43"/>
  <c r="L186" i="43"/>
  <c r="H252" i="43"/>
  <c r="H153" i="43"/>
  <c r="L87" i="43"/>
  <c r="H177" i="43"/>
  <c r="L111" i="43"/>
  <c r="L107" i="43"/>
  <c r="L131" i="43"/>
  <c r="H361" i="43"/>
  <c r="L295" i="43"/>
  <c r="H155" i="43"/>
  <c r="L259" i="43"/>
  <c r="H325" i="43"/>
  <c r="L150" i="43"/>
  <c r="L167" i="43"/>
  <c r="H313" i="43"/>
  <c r="L247" i="43"/>
  <c r="H239" i="43"/>
  <c r="M68" i="43"/>
  <c r="H232" i="43"/>
  <c r="L166" i="43"/>
  <c r="L190" i="43"/>
  <c r="H256" i="43"/>
  <c r="L260" i="43"/>
  <c r="H326" i="43"/>
  <c r="L229" i="43"/>
  <c r="G4" i="43"/>
  <c r="L261" i="43"/>
  <c r="H327" i="43"/>
  <c r="M4" i="43"/>
  <c r="L146" i="43"/>
  <c r="H300" i="43"/>
  <c r="L234" i="43"/>
  <c r="L296" i="43"/>
  <c r="H362" i="43"/>
  <c r="L195" i="43"/>
  <c r="L230" i="43"/>
  <c r="L241" i="43"/>
  <c r="H307" i="43"/>
  <c r="L331" i="43"/>
  <c r="H397" i="43"/>
  <c r="L151" i="43"/>
  <c r="L168" i="43"/>
  <c r="L255" i="43"/>
  <c r="H321" i="43"/>
  <c r="H225" i="43"/>
  <c r="L159" i="43"/>
  <c r="H249" i="43"/>
  <c r="L183" i="43"/>
  <c r="L187" i="43"/>
  <c r="H253" i="43"/>
  <c r="L175" i="43"/>
  <c r="L223" i="43"/>
  <c r="F5" i="43"/>
  <c r="M69" i="43"/>
  <c r="L265" i="43"/>
  <c r="H277" i="43"/>
  <c r="L289" i="43"/>
  <c r="L109" i="43"/>
  <c r="L133" i="43"/>
  <c r="L147" i="43"/>
  <c r="H152" i="43"/>
  <c r="L157" i="43"/>
  <c r="L189" i="43"/>
  <c r="L73" i="43"/>
  <c r="L93" i="43"/>
  <c r="L97" i="43"/>
  <c r="L117" i="43"/>
  <c r="L121" i="43"/>
  <c r="H143" i="43"/>
  <c r="L170" i="43"/>
  <c r="H191" i="43"/>
  <c r="H317" i="43"/>
  <c r="H330" i="43"/>
  <c r="L264" i="43"/>
  <c r="H205" i="43"/>
  <c r="H254" i="43"/>
  <c r="H242" i="43"/>
  <c r="L176" i="43"/>
  <c r="H148" i="43"/>
  <c r="L233" i="43"/>
  <c r="H293" i="43"/>
  <c r="H136" i="43"/>
  <c r="L70" i="43"/>
  <c r="L78" i="43"/>
  <c r="H160" i="43"/>
  <c r="L94" i="43"/>
  <c r="H184" i="43"/>
  <c r="L118" i="43"/>
  <c r="L126" i="43"/>
  <c r="L198" i="43"/>
  <c r="L90" i="43"/>
  <c r="L110" i="43"/>
  <c r="L114" i="43"/>
  <c r="L185" i="43"/>
  <c r="H206" i="43"/>
  <c r="H246" i="43"/>
  <c r="H235" i="43"/>
  <c r="L169" i="43"/>
  <c r="C13" i="39"/>
  <c r="C15" i="39" s="1"/>
  <c r="N68" i="43" l="1"/>
  <c r="D68" i="18" s="1"/>
  <c r="H207" i="43"/>
  <c r="L141" i="43"/>
  <c r="L179" i="43"/>
  <c r="H283" i="43"/>
  <c r="L237" i="43"/>
  <c r="H288" i="43"/>
  <c r="L222" i="43"/>
  <c r="L196" i="43"/>
  <c r="H262" i="43"/>
  <c r="H291" i="43"/>
  <c r="L225" i="43"/>
  <c r="L256" i="43"/>
  <c r="H322" i="43"/>
  <c r="H324" i="43"/>
  <c r="L258" i="43"/>
  <c r="H312" i="43"/>
  <c r="L246" i="43"/>
  <c r="H214" i="43"/>
  <c r="L148" i="43"/>
  <c r="H272" i="43"/>
  <c r="L206" i="43"/>
  <c r="L330" i="43"/>
  <c r="H396" i="43"/>
  <c r="H366" i="43"/>
  <c r="L300" i="43"/>
  <c r="H391" i="43"/>
  <c r="L325" i="43"/>
  <c r="L231" i="43"/>
  <c r="H297" i="43"/>
  <c r="L248" i="43"/>
  <c r="H314" i="43"/>
  <c r="H257" i="43"/>
  <c r="L191" i="43"/>
  <c r="H274" i="43"/>
  <c r="L208" i="43"/>
  <c r="H335" i="43"/>
  <c r="L269" i="43"/>
  <c r="L362" i="43"/>
  <c r="H428" i="43"/>
  <c r="L303" i="43"/>
  <c r="H369" i="43"/>
  <c r="H243" i="43"/>
  <c r="L177" i="43"/>
  <c r="G102" i="43"/>
  <c r="K69" i="43"/>
  <c r="N69" i="43" s="1"/>
  <c r="D69" i="18" s="1"/>
  <c r="H209" i="43"/>
  <c r="L143" i="43"/>
  <c r="L200" i="43"/>
  <c r="H266" i="43"/>
  <c r="H219" i="43"/>
  <c r="L153" i="43"/>
  <c r="G167" i="43"/>
  <c r="K134" i="43"/>
  <c r="N134" i="43" s="1"/>
  <c r="D134" i="18" s="1"/>
  <c r="H359" i="43"/>
  <c r="L293" i="43"/>
  <c r="H298" i="43"/>
  <c r="L232" i="43"/>
  <c r="H221" i="43"/>
  <c r="L155" i="43"/>
  <c r="L252" i="43"/>
  <c r="H318" i="43"/>
  <c r="L421" i="43"/>
  <c r="H487" i="43"/>
  <c r="H320" i="43"/>
  <c r="L254" i="43"/>
  <c r="M200" i="43"/>
  <c r="F266" i="43"/>
  <c r="H383" i="43"/>
  <c r="L317" i="43"/>
  <c r="H271" i="43"/>
  <c r="L205" i="43"/>
  <c r="H431" i="43"/>
  <c r="L365" i="43"/>
  <c r="L224" i="43"/>
  <c r="H290" i="43"/>
  <c r="L220" i="43"/>
  <c r="H286" i="43"/>
  <c r="H343" i="43"/>
  <c r="L277" i="43"/>
  <c r="H344" i="43"/>
  <c r="L278" i="43"/>
  <c r="H308" i="43"/>
  <c r="L242" i="43"/>
  <c r="L235" i="43"/>
  <c r="H301" i="43"/>
  <c r="H387" i="43"/>
  <c r="L321" i="43"/>
  <c r="L327" i="43"/>
  <c r="H393" i="43"/>
  <c r="H305" i="43"/>
  <c r="L239" i="43"/>
  <c r="L282" i="43"/>
  <c r="H348" i="43"/>
  <c r="F71" i="43"/>
  <c r="F6" i="43"/>
  <c r="M5" i="43"/>
  <c r="L228" i="43"/>
  <c r="H294" i="43"/>
  <c r="G37" i="43"/>
  <c r="G5" i="43"/>
  <c r="K4" i="43"/>
  <c r="N4" i="43" s="1"/>
  <c r="D4" i="18" s="1"/>
  <c r="H379" i="43"/>
  <c r="L313" i="43"/>
  <c r="H345" i="43"/>
  <c r="L279" i="43"/>
  <c r="H372" i="43"/>
  <c r="L306" i="43"/>
  <c r="L184" i="43"/>
  <c r="H250" i="43"/>
  <c r="L397" i="43"/>
  <c r="H463" i="43"/>
  <c r="H304" i="43"/>
  <c r="L238" i="43"/>
  <c r="M201" i="43"/>
  <c r="F267" i="43"/>
  <c r="L149" i="43"/>
  <c r="H215" i="43"/>
  <c r="F202" i="43"/>
  <c r="M136" i="43"/>
  <c r="H226" i="43"/>
  <c r="L160" i="43"/>
  <c r="H319" i="43"/>
  <c r="L253" i="43"/>
  <c r="L307" i="43"/>
  <c r="H373" i="43"/>
  <c r="H368" i="43"/>
  <c r="L302" i="43"/>
  <c r="H267" i="43"/>
  <c r="L201" i="43"/>
  <c r="L244" i="43"/>
  <c r="H310" i="43"/>
  <c r="L283" i="43"/>
  <c r="H349" i="43"/>
  <c r="H218" i="43"/>
  <c r="L152" i="43"/>
  <c r="L263" i="43"/>
  <c r="H329" i="43"/>
  <c r="L204" i="43"/>
  <c r="H270" i="43"/>
  <c r="L245" i="43"/>
  <c r="H311" i="43"/>
  <c r="H202" i="43"/>
  <c r="L136" i="43"/>
  <c r="L249" i="43"/>
  <c r="H315" i="43"/>
  <c r="H392" i="43"/>
  <c r="L326" i="43"/>
  <c r="H427" i="43"/>
  <c r="L361" i="43"/>
  <c r="H276" i="43"/>
  <c r="L210" i="43"/>
  <c r="L262" i="43" l="1"/>
  <c r="H328" i="43"/>
  <c r="H354" i="43"/>
  <c r="L288" i="43"/>
  <c r="H273" i="43"/>
  <c r="L207" i="43"/>
  <c r="G6" i="43"/>
  <c r="K5" i="43"/>
  <c r="N5" i="43" s="1"/>
  <c r="D5" i="18" s="1"/>
  <c r="G38" i="43"/>
  <c r="H363" i="43"/>
  <c r="L297" i="43"/>
  <c r="H457" i="43"/>
  <c r="L391" i="43"/>
  <c r="G200" i="43"/>
  <c r="K167" i="43"/>
  <c r="H281" i="43"/>
  <c r="L215" i="43"/>
  <c r="H414" i="43"/>
  <c r="L348" i="43"/>
  <c r="L290" i="43"/>
  <c r="H356" i="43"/>
  <c r="F268" i="43"/>
  <c r="M202" i="43"/>
  <c r="H332" i="43"/>
  <c r="L266" i="43"/>
  <c r="H395" i="43"/>
  <c r="L329" i="43"/>
  <c r="H385" i="43"/>
  <c r="L319" i="43"/>
  <c r="K37" i="43"/>
  <c r="G70" i="43"/>
  <c r="H292" i="43"/>
  <c r="L226" i="43"/>
  <c r="H336" i="43"/>
  <c r="L270" i="43"/>
  <c r="H337" i="43"/>
  <c r="L271" i="43"/>
  <c r="H432" i="43"/>
  <c r="L366" i="43"/>
  <c r="H453" i="43"/>
  <c r="L387" i="43"/>
  <c r="H553" i="43"/>
  <c r="L487" i="43"/>
  <c r="L243" i="43"/>
  <c r="H309" i="43"/>
  <c r="L214" i="43"/>
  <c r="H280" i="43"/>
  <c r="H386" i="43"/>
  <c r="L320" i="43"/>
  <c r="L310" i="43"/>
  <c r="H376" i="43"/>
  <c r="L250" i="43"/>
  <c r="H316" i="43"/>
  <c r="H367" i="43"/>
  <c r="L301" i="43"/>
  <c r="H435" i="43"/>
  <c r="L369" i="43"/>
  <c r="H323" i="43"/>
  <c r="L257" i="43"/>
  <c r="H360" i="43"/>
  <c r="L294" i="43"/>
  <c r="H377" i="43"/>
  <c r="L311" i="43"/>
  <c r="L219" i="43"/>
  <c r="H285" i="43"/>
  <c r="H497" i="43"/>
  <c r="L431" i="43"/>
  <c r="M6" i="43"/>
  <c r="F72" i="43"/>
  <c r="F7" i="43"/>
  <c r="H449" i="43"/>
  <c r="L383" i="43"/>
  <c r="L396" i="43"/>
  <c r="H462" i="43"/>
  <c r="H459" i="43"/>
  <c r="L393" i="43"/>
  <c r="G135" i="43"/>
  <c r="K102" i="43"/>
  <c r="H384" i="43"/>
  <c r="L318" i="43"/>
  <c r="H378" i="43"/>
  <c r="L312" i="43"/>
  <c r="H381" i="43"/>
  <c r="L315" i="43"/>
  <c r="H268" i="43"/>
  <c r="L202" i="43"/>
  <c r="M71" i="43"/>
  <c r="F137" i="43"/>
  <c r="H275" i="43"/>
  <c r="L209" i="43"/>
  <c r="H494" i="43"/>
  <c r="L428" i="43"/>
  <c r="M267" i="43"/>
  <c r="F333" i="43"/>
  <c r="L272" i="43"/>
  <c r="H338" i="43"/>
  <c r="H415" i="43"/>
  <c r="L349" i="43"/>
  <c r="H529" i="43"/>
  <c r="L463" i="43"/>
  <c r="H390" i="43"/>
  <c r="L324" i="43"/>
  <c r="H342" i="43"/>
  <c r="L276" i="43"/>
  <c r="L221" i="43"/>
  <c r="H287" i="43"/>
  <c r="H388" i="43"/>
  <c r="L322" i="43"/>
  <c r="H333" i="43"/>
  <c r="L267" i="43"/>
  <c r="H493" i="43"/>
  <c r="L427" i="43"/>
  <c r="H434" i="43"/>
  <c r="L368" i="43"/>
  <c r="H411" i="43"/>
  <c r="L345" i="43"/>
  <c r="H410" i="43"/>
  <c r="L344" i="43"/>
  <c r="H401" i="43"/>
  <c r="L335" i="43"/>
  <c r="F332" i="43"/>
  <c r="M266" i="43"/>
  <c r="H371" i="43"/>
  <c r="L305" i="43"/>
  <c r="H370" i="43"/>
  <c r="L304" i="43"/>
  <c r="L372" i="43"/>
  <c r="H438" i="43"/>
  <c r="H374" i="43"/>
  <c r="L308" i="43"/>
  <c r="L373" i="43"/>
  <c r="H439" i="43"/>
  <c r="H364" i="43"/>
  <c r="L298" i="43"/>
  <c r="L314" i="43"/>
  <c r="H380" i="43"/>
  <c r="H284" i="43"/>
  <c r="L218" i="43"/>
  <c r="H458" i="43"/>
  <c r="L392" i="43"/>
  <c r="H445" i="43"/>
  <c r="L379" i="43"/>
  <c r="H409" i="43"/>
  <c r="L343" i="43"/>
  <c r="H340" i="43"/>
  <c r="L274" i="43"/>
  <c r="H357" i="43"/>
  <c r="L291" i="43"/>
  <c r="H352" i="43"/>
  <c r="L286" i="43"/>
  <c r="H425" i="43"/>
  <c r="L359" i="43"/>
  <c r="H339" i="43" l="1"/>
  <c r="L273" i="43"/>
  <c r="L354" i="43"/>
  <c r="H420" i="43"/>
  <c r="H394" i="43"/>
  <c r="L328" i="43"/>
  <c r="L409" i="43"/>
  <c r="H475" i="43"/>
  <c r="L401" i="43"/>
  <c r="H467" i="43"/>
  <c r="F399" i="43"/>
  <c r="M333" i="43"/>
  <c r="H476" i="43"/>
  <c r="L410" i="43"/>
  <c r="L380" i="43"/>
  <c r="H446" i="43"/>
  <c r="F138" i="43"/>
  <c r="M72" i="43"/>
  <c r="L497" i="43"/>
  <c r="H563" i="43"/>
  <c r="H619" i="43"/>
  <c r="L553" i="43"/>
  <c r="L414" i="43"/>
  <c r="H480" i="43"/>
  <c r="L395" i="43"/>
  <c r="H461" i="43"/>
  <c r="H452" i="43"/>
  <c r="L386" i="43"/>
  <c r="L285" i="43"/>
  <c r="H351" i="43"/>
  <c r="L338" i="43"/>
  <c r="H404" i="43"/>
  <c r="L449" i="43"/>
  <c r="H515" i="43"/>
  <c r="L453" i="43"/>
  <c r="H519" i="43"/>
  <c r="H347" i="43"/>
  <c r="L281" i="43"/>
  <c r="H595" i="43"/>
  <c r="L529" i="43"/>
  <c r="H442" i="43"/>
  <c r="L376" i="43"/>
  <c r="L280" i="43"/>
  <c r="H346" i="43"/>
  <c r="H422" i="43"/>
  <c r="L356" i="43"/>
  <c r="F398" i="43"/>
  <c r="M332" i="43"/>
  <c r="H477" i="43"/>
  <c r="L411" i="43"/>
  <c r="L309" i="43"/>
  <c r="H375" i="43"/>
  <c r="L494" i="43"/>
  <c r="H560" i="43"/>
  <c r="L275" i="43"/>
  <c r="H341" i="43"/>
  <c r="L438" i="43"/>
  <c r="H504" i="43"/>
  <c r="L377" i="43"/>
  <c r="H443" i="43"/>
  <c r="H498" i="43"/>
  <c r="L432" i="43"/>
  <c r="K200" i="43"/>
  <c r="N200" i="43" s="1"/>
  <c r="D200" i="18" s="1"/>
  <c r="G233" i="43"/>
  <c r="L445" i="43"/>
  <c r="H511" i="43"/>
  <c r="L374" i="43"/>
  <c r="H440" i="43"/>
  <c r="L425" i="43"/>
  <c r="H491" i="43"/>
  <c r="L268" i="43"/>
  <c r="H334" i="43"/>
  <c r="H426" i="43"/>
  <c r="L360" i="43"/>
  <c r="L337" i="43"/>
  <c r="H403" i="43"/>
  <c r="L457" i="43"/>
  <c r="H523" i="43"/>
  <c r="H525" i="43"/>
  <c r="L459" i="43"/>
  <c r="L462" i="43"/>
  <c r="H528" i="43"/>
  <c r="H418" i="43"/>
  <c r="L352" i="43"/>
  <c r="L381" i="43"/>
  <c r="H447" i="43"/>
  <c r="G168" i="43"/>
  <c r="K135" i="43"/>
  <c r="N135" i="43" s="1"/>
  <c r="D135" i="18" s="1"/>
  <c r="L439" i="43"/>
  <c r="H505" i="43"/>
  <c r="L493" i="43"/>
  <c r="H559" i="43"/>
  <c r="L333" i="43"/>
  <c r="H399" i="43"/>
  <c r="H353" i="43"/>
  <c r="L287" i="43"/>
  <c r="H436" i="43"/>
  <c r="L370" i="43"/>
  <c r="L323" i="43"/>
  <c r="H389" i="43"/>
  <c r="H402" i="43"/>
  <c r="L336" i="43"/>
  <c r="H429" i="43"/>
  <c r="L363" i="43"/>
  <c r="H451" i="43"/>
  <c r="L385" i="43"/>
  <c r="L415" i="43"/>
  <c r="H481" i="43"/>
  <c r="H398" i="43"/>
  <c r="L332" i="43"/>
  <c r="H350" i="43"/>
  <c r="L284" i="43"/>
  <c r="F73" i="43"/>
  <c r="F8" i="43"/>
  <c r="M7" i="43"/>
  <c r="L364" i="43"/>
  <c r="H430" i="43"/>
  <c r="F203" i="43"/>
  <c r="M137" i="43"/>
  <c r="L388" i="43"/>
  <c r="H454" i="43"/>
  <c r="L357" i="43"/>
  <c r="H423" i="43"/>
  <c r="L371" i="43"/>
  <c r="H437" i="43"/>
  <c r="H408" i="43"/>
  <c r="L342" i="43"/>
  <c r="H444" i="43"/>
  <c r="L378" i="43"/>
  <c r="G71" i="43"/>
  <c r="K38" i="43"/>
  <c r="F334" i="43"/>
  <c r="M268" i="43"/>
  <c r="H500" i="43"/>
  <c r="L434" i="43"/>
  <c r="L435" i="43"/>
  <c r="H501" i="43"/>
  <c r="L292" i="43"/>
  <c r="H358" i="43"/>
  <c r="L340" i="43"/>
  <c r="H406" i="43"/>
  <c r="H456" i="43"/>
  <c r="L390" i="43"/>
  <c r="L384" i="43"/>
  <c r="H450" i="43"/>
  <c r="K70" i="43"/>
  <c r="N70" i="43" s="1"/>
  <c r="D70" i="18" s="1"/>
  <c r="G103" i="43"/>
  <c r="G39" i="43"/>
  <c r="K6" i="43"/>
  <c r="N6" i="43" s="1"/>
  <c r="D6" i="18" s="1"/>
  <c r="G7" i="43"/>
  <c r="L316" i="43"/>
  <c r="H382" i="43"/>
  <c r="H524" i="43"/>
  <c r="L458" i="43"/>
  <c r="H433" i="43"/>
  <c r="L367" i="43"/>
  <c r="L394" i="43" l="1"/>
  <c r="H460" i="43"/>
  <c r="H486" i="43"/>
  <c r="L420" i="43"/>
  <c r="L339" i="43"/>
  <c r="H405" i="43"/>
  <c r="L491" i="43"/>
  <c r="H557" i="43"/>
  <c r="H496" i="43"/>
  <c r="L430" i="43"/>
  <c r="L436" i="43"/>
  <c r="H502" i="43"/>
  <c r="H400" i="43"/>
  <c r="L334" i="43"/>
  <c r="L461" i="43"/>
  <c r="H527" i="43"/>
  <c r="L440" i="43"/>
  <c r="H506" i="43"/>
  <c r="H412" i="43"/>
  <c r="L346" i="43"/>
  <c r="L498" i="43"/>
  <c r="H564" i="43"/>
  <c r="L446" i="43"/>
  <c r="H512" i="43"/>
  <c r="L477" i="43"/>
  <c r="H543" i="43"/>
  <c r="L456" i="43"/>
  <c r="H522" i="43"/>
  <c r="F269" i="43"/>
  <c r="M203" i="43"/>
  <c r="H625" i="43"/>
  <c r="L559" i="43"/>
  <c r="H508" i="43"/>
  <c r="L442" i="43"/>
  <c r="F204" i="43"/>
  <c r="M138" i="43"/>
  <c r="L443" i="43"/>
  <c r="H509" i="43"/>
  <c r="L595" i="43"/>
  <c r="H661" i="43"/>
  <c r="M398" i="43"/>
  <c r="F464" i="43"/>
  <c r="H465" i="43"/>
  <c r="L399" i="43"/>
  <c r="H472" i="43"/>
  <c r="L406" i="43"/>
  <c r="H546" i="43"/>
  <c r="L480" i="43"/>
  <c r="F74" i="43"/>
  <c r="F9" i="43"/>
  <c r="M8" i="43"/>
  <c r="L524" i="43"/>
  <c r="H590" i="43"/>
  <c r="H520" i="43"/>
  <c r="L454" i="43"/>
  <c r="H492" i="43"/>
  <c r="L426" i="43"/>
  <c r="L452" i="43"/>
  <c r="H518" i="43"/>
  <c r="L422" i="43"/>
  <c r="H488" i="43"/>
  <c r="L358" i="43"/>
  <c r="H424" i="43"/>
  <c r="L511" i="43"/>
  <c r="H577" i="43"/>
  <c r="H567" i="43"/>
  <c r="L501" i="43"/>
  <c r="H629" i="43"/>
  <c r="L563" i="43"/>
  <c r="H499" i="43"/>
  <c r="L433" i="43"/>
  <c r="G201" i="43"/>
  <c r="K168" i="43"/>
  <c r="L447" i="43"/>
  <c r="H513" i="43"/>
  <c r="G104" i="43"/>
  <c r="K71" i="43"/>
  <c r="N71" i="43" s="1"/>
  <c r="D71" i="18" s="1"/>
  <c r="L528" i="43"/>
  <c r="H594" i="43"/>
  <c r="H570" i="43"/>
  <c r="L504" i="43"/>
  <c r="L347" i="43"/>
  <c r="H413" i="43"/>
  <c r="H542" i="43"/>
  <c r="L476" i="43"/>
  <c r="H489" i="43"/>
  <c r="L423" i="43"/>
  <c r="H419" i="43"/>
  <c r="L353" i="43"/>
  <c r="K233" i="43"/>
  <c r="G266" i="43"/>
  <c r="H416" i="43"/>
  <c r="L350" i="43"/>
  <c r="H566" i="43"/>
  <c r="L500" i="43"/>
  <c r="H585" i="43"/>
  <c r="L519" i="43"/>
  <c r="H516" i="43"/>
  <c r="L450" i="43"/>
  <c r="H417" i="43"/>
  <c r="L351" i="43"/>
  <c r="H571" i="43"/>
  <c r="L505" i="43"/>
  <c r="H685" i="43"/>
  <c r="L619" i="43"/>
  <c r="F139" i="43"/>
  <c r="M73" i="43"/>
  <c r="L418" i="43"/>
  <c r="H484" i="43"/>
  <c r="H448" i="43"/>
  <c r="L382" i="43"/>
  <c r="G8" i="43"/>
  <c r="G40" i="43"/>
  <c r="K7" i="43"/>
  <c r="N7" i="43" s="1"/>
  <c r="D7" i="18" s="1"/>
  <c r="H407" i="43"/>
  <c r="L341" i="43"/>
  <c r="F465" i="43"/>
  <c r="M399" i="43"/>
  <c r="H517" i="43"/>
  <c r="L451" i="43"/>
  <c r="H510" i="43"/>
  <c r="L444" i="43"/>
  <c r="L429" i="43"/>
  <c r="H495" i="43"/>
  <c r="H591" i="43"/>
  <c r="L525" i="43"/>
  <c r="L515" i="43"/>
  <c r="H581" i="43"/>
  <c r="H533" i="43"/>
  <c r="L467" i="43"/>
  <c r="K39" i="43"/>
  <c r="G72" i="43"/>
  <c r="H474" i="43"/>
  <c r="L408" i="43"/>
  <c r="H589" i="43"/>
  <c r="L523" i="43"/>
  <c r="H626" i="43"/>
  <c r="L560" i="43"/>
  <c r="L398" i="43"/>
  <c r="H464" i="43"/>
  <c r="F400" i="43"/>
  <c r="M334" i="43"/>
  <c r="L481" i="43"/>
  <c r="H547" i="43"/>
  <c r="G136" i="43"/>
  <c r="K103" i="43"/>
  <c r="L437" i="43"/>
  <c r="H503" i="43"/>
  <c r="H468" i="43"/>
  <c r="L402" i="43"/>
  <c r="H470" i="43"/>
  <c r="L404" i="43"/>
  <c r="H541" i="43"/>
  <c r="L475" i="43"/>
  <c r="H455" i="43"/>
  <c r="L389" i="43"/>
  <c r="H469" i="43"/>
  <c r="L403" i="43"/>
  <c r="L375" i="43"/>
  <c r="H441" i="43"/>
  <c r="H471" i="43" l="1"/>
  <c r="L405" i="43"/>
  <c r="H552" i="43"/>
  <c r="L486" i="43"/>
  <c r="L460" i="43"/>
  <c r="H526" i="43"/>
  <c r="G234" i="43"/>
  <c r="K201" i="43"/>
  <c r="N201" i="43" s="1"/>
  <c r="D201" i="18" s="1"/>
  <c r="H578" i="43"/>
  <c r="L512" i="43"/>
  <c r="H609" i="43"/>
  <c r="L543" i="43"/>
  <c r="H531" i="43"/>
  <c r="L465" i="43"/>
  <c r="G9" i="43"/>
  <c r="G41" i="43"/>
  <c r="K8" i="43"/>
  <c r="N8" i="43" s="1"/>
  <c r="D8" i="18" s="1"/>
  <c r="L546" i="43"/>
  <c r="H612" i="43"/>
  <c r="H538" i="43"/>
  <c r="L472" i="43"/>
  <c r="H514" i="43"/>
  <c r="L448" i="43"/>
  <c r="H540" i="43"/>
  <c r="L474" i="43"/>
  <c r="H478" i="43"/>
  <c r="L412" i="43"/>
  <c r="L541" i="43"/>
  <c r="H607" i="43"/>
  <c r="L527" i="43"/>
  <c r="H593" i="43"/>
  <c r="H565" i="43"/>
  <c r="L499" i="43"/>
  <c r="G299" i="43"/>
  <c r="K266" i="43"/>
  <c r="N266" i="43" s="1"/>
  <c r="D266" i="18" s="1"/>
  <c r="M464" i="43"/>
  <c r="F530" i="43"/>
  <c r="L566" i="43"/>
  <c r="H632" i="43"/>
  <c r="F531" i="43"/>
  <c r="M465" i="43"/>
  <c r="H555" i="43"/>
  <c r="L489" i="43"/>
  <c r="L469" i="43"/>
  <c r="H535" i="43"/>
  <c r="H554" i="43"/>
  <c r="L488" i="43"/>
  <c r="H490" i="43"/>
  <c r="L424" i="43"/>
  <c r="H550" i="43"/>
  <c r="L484" i="43"/>
  <c r="H751" i="43"/>
  <c r="L685" i="43"/>
  <c r="L571" i="43"/>
  <c r="H637" i="43"/>
  <c r="L508" i="43"/>
  <c r="H574" i="43"/>
  <c r="H466" i="43"/>
  <c r="L400" i="43"/>
  <c r="H473" i="43"/>
  <c r="L407" i="43"/>
  <c r="L567" i="43"/>
  <c r="H633" i="43"/>
  <c r="L419" i="43"/>
  <c r="H485" i="43"/>
  <c r="L589" i="43"/>
  <c r="H655" i="43"/>
  <c r="G105" i="43"/>
  <c r="K72" i="43"/>
  <c r="N72" i="43" s="1"/>
  <c r="D72" i="18" s="1"/>
  <c r="H586" i="43"/>
  <c r="L520" i="43"/>
  <c r="H568" i="43"/>
  <c r="L502" i="43"/>
  <c r="L517" i="43"/>
  <c r="H583" i="43"/>
  <c r="H507" i="43"/>
  <c r="L441" i="43"/>
  <c r="H643" i="43"/>
  <c r="L577" i="43"/>
  <c r="H647" i="43"/>
  <c r="L581" i="43"/>
  <c r="H660" i="43"/>
  <c r="L594" i="43"/>
  <c r="F466" i="43"/>
  <c r="M400" i="43"/>
  <c r="L464" i="43"/>
  <c r="H530" i="43"/>
  <c r="H727" i="43"/>
  <c r="L661" i="43"/>
  <c r="H479" i="43"/>
  <c r="L413" i="43"/>
  <c r="H572" i="43"/>
  <c r="L506" i="43"/>
  <c r="M139" i="43"/>
  <c r="F205" i="43"/>
  <c r="H584" i="43"/>
  <c r="L518" i="43"/>
  <c r="H534" i="43"/>
  <c r="L468" i="43"/>
  <c r="L590" i="43"/>
  <c r="H656" i="43"/>
  <c r="H482" i="43"/>
  <c r="L416" i="43"/>
  <c r="L629" i="43"/>
  <c r="H695" i="43"/>
  <c r="G73" i="43"/>
  <c r="K40" i="43"/>
  <c r="H599" i="43"/>
  <c r="L533" i="43"/>
  <c r="M269" i="43"/>
  <c r="F335" i="43"/>
  <c r="H562" i="43"/>
  <c r="L496" i="43"/>
  <c r="H608" i="43"/>
  <c r="L542" i="43"/>
  <c r="L455" i="43"/>
  <c r="H521" i="43"/>
  <c r="H575" i="43"/>
  <c r="L509" i="43"/>
  <c r="H636" i="43"/>
  <c r="L570" i="43"/>
  <c r="M204" i="43"/>
  <c r="F270" i="43"/>
  <c r="H536" i="43"/>
  <c r="L470" i="43"/>
  <c r="H558" i="43"/>
  <c r="L492" i="43"/>
  <c r="H657" i="43"/>
  <c r="L591" i="43"/>
  <c r="L503" i="43"/>
  <c r="H569" i="43"/>
  <c r="H561" i="43"/>
  <c r="L495" i="43"/>
  <c r="H483" i="43"/>
  <c r="L417" i="43"/>
  <c r="G137" i="43"/>
  <c r="K104" i="43"/>
  <c r="L625" i="43"/>
  <c r="H691" i="43"/>
  <c r="H582" i="43"/>
  <c r="L516" i="43"/>
  <c r="H579" i="43"/>
  <c r="L513" i="43"/>
  <c r="G169" i="43"/>
  <c r="K136" i="43"/>
  <c r="N136" i="43" s="1"/>
  <c r="D136" i="18" s="1"/>
  <c r="L510" i="43"/>
  <c r="H576" i="43"/>
  <c r="F75" i="43"/>
  <c r="M9" i="43"/>
  <c r="F10" i="43"/>
  <c r="H588" i="43"/>
  <c r="L522" i="43"/>
  <c r="H623" i="43"/>
  <c r="L557" i="43"/>
  <c r="L564" i="43"/>
  <c r="H630" i="43"/>
  <c r="L626" i="43"/>
  <c r="H692" i="43"/>
  <c r="H613" i="43"/>
  <c r="L547" i="43"/>
  <c r="L585" i="43"/>
  <c r="H651" i="43"/>
  <c r="M74" i="43"/>
  <c r="F140" i="43"/>
  <c r="H592" i="43" l="1"/>
  <c r="L526" i="43"/>
  <c r="L552" i="43"/>
  <c r="H618" i="43"/>
  <c r="L471" i="43"/>
  <c r="H537" i="43"/>
  <c r="L607" i="43"/>
  <c r="H673" i="43"/>
  <c r="H544" i="43"/>
  <c r="L478" i="43"/>
  <c r="H587" i="43"/>
  <c r="L521" i="43"/>
  <c r="H702" i="43"/>
  <c r="L636" i="43"/>
  <c r="H606" i="43"/>
  <c r="L540" i="43"/>
  <c r="L534" i="43"/>
  <c r="H600" i="43"/>
  <c r="L582" i="43"/>
  <c r="H648" i="43"/>
  <c r="H652" i="43"/>
  <c r="L586" i="43"/>
  <c r="L507" i="43"/>
  <c r="H573" i="43"/>
  <c r="H650" i="43"/>
  <c r="L584" i="43"/>
  <c r="H620" i="43"/>
  <c r="L554" i="43"/>
  <c r="L633" i="43"/>
  <c r="H699" i="43"/>
  <c r="M531" i="43"/>
  <c r="F597" i="43"/>
  <c r="G74" i="43"/>
  <c r="K41" i="43"/>
  <c r="K169" i="43"/>
  <c r="G202" i="43"/>
  <c r="H649" i="43"/>
  <c r="L583" i="43"/>
  <c r="G138" i="43"/>
  <c r="K105" i="43"/>
  <c r="L612" i="43"/>
  <c r="H678" i="43"/>
  <c r="H698" i="43"/>
  <c r="L632" i="43"/>
  <c r="G42" i="43"/>
  <c r="K9" i="43"/>
  <c r="N9" i="43" s="1"/>
  <c r="D9" i="18" s="1"/>
  <c r="G10" i="43"/>
  <c r="H757" i="43"/>
  <c r="L691" i="43"/>
  <c r="H601" i="43"/>
  <c r="L535" i="43"/>
  <c r="H551" i="43"/>
  <c r="L485" i="43"/>
  <c r="L630" i="43"/>
  <c r="H696" i="43"/>
  <c r="L599" i="43"/>
  <c r="H665" i="43"/>
  <c r="F532" i="43"/>
  <c r="M466" i="43"/>
  <c r="L579" i="43"/>
  <c r="H645" i="43"/>
  <c r="L613" i="43"/>
  <c r="H679" i="43"/>
  <c r="L555" i="43"/>
  <c r="H621" i="43"/>
  <c r="L473" i="43"/>
  <c r="H539" i="43"/>
  <c r="F596" i="43"/>
  <c r="M530" i="43"/>
  <c r="H597" i="43"/>
  <c r="L531" i="43"/>
  <c r="H616" i="43"/>
  <c r="L550" i="43"/>
  <c r="L514" i="43"/>
  <c r="H580" i="43"/>
  <c r="H604" i="43"/>
  <c r="L538" i="43"/>
  <c r="H758" i="43"/>
  <c r="L692" i="43"/>
  <c r="L562" i="43"/>
  <c r="H628" i="43"/>
  <c r="H596" i="43"/>
  <c r="L530" i="43"/>
  <c r="L588" i="43"/>
  <c r="H654" i="43"/>
  <c r="H723" i="43"/>
  <c r="L657" i="43"/>
  <c r="G106" i="43"/>
  <c r="K73" i="43"/>
  <c r="N73" i="43" s="1"/>
  <c r="D73" i="18" s="1"/>
  <c r="L660" i="43"/>
  <c r="H726" i="43"/>
  <c r="F271" i="43"/>
  <c r="M205" i="43"/>
  <c r="L609" i="43"/>
  <c r="H675" i="43"/>
  <c r="L575" i="43"/>
  <c r="H641" i="43"/>
  <c r="L568" i="43"/>
  <c r="H634" i="43"/>
  <c r="L608" i="43"/>
  <c r="H674" i="43"/>
  <c r="F11" i="43"/>
  <c r="F76" i="43"/>
  <c r="M10" i="43"/>
  <c r="H624" i="43"/>
  <c r="L558" i="43"/>
  <c r="H713" i="43"/>
  <c r="L647" i="43"/>
  <c r="L574" i="43"/>
  <c r="H640" i="43"/>
  <c r="K299" i="43"/>
  <c r="G332" i="43"/>
  <c r="L751" i="43"/>
  <c r="H817" i="43"/>
  <c r="L651" i="43"/>
  <c r="H717" i="43"/>
  <c r="H638" i="43"/>
  <c r="L572" i="43"/>
  <c r="L561" i="43"/>
  <c r="H627" i="43"/>
  <c r="H635" i="43"/>
  <c r="L569" i="43"/>
  <c r="H689" i="43"/>
  <c r="L623" i="43"/>
  <c r="H761" i="43"/>
  <c r="L695" i="43"/>
  <c r="H532" i="43"/>
  <c r="L466" i="43"/>
  <c r="F141" i="43"/>
  <c r="M75" i="43"/>
  <c r="L578" i="43"/>
  <c r="H644" i="43"/>
  <c r="F206" i="43"/>
  <c r="M140" i="43"/>
  <c r="H721" i="43"/>
  <c r="L655" i="43"/>
  <c r="H549" i="43"/>
  <c r="L483" i="43"/>
  <c r="H602" i="43"/>
  <c r="L536" i="43"/>
  <c r="L643" i="43"/>
  <c r="H709" i="43"/>
  <c r="L565" i="43"/>
  <c r="H631" i="43"/>
  <c r="L490" i="43"/>
  <c r="H556" i="43"/>
  <c r="G170" i="43"/>
  <c r="K137" i="43"/>
  <c r="N137" i="43" s="1"/>
  <c r="D137" i="18" s="1"/>
  <c r="L479" i="43"/>
  <c r="H545" i="43"/>
  <c r="L727" i="43"/>
  <c r="H793" i="43"/>
  <c r="F401" i="43"/>
  <c r="M335" i="43"/>
  <c r="H642" i="43"/>
  <c r="L576" i="43"/>
  <c r="H548" i="43"/>
  <c r="L482" i="43"/>
  <c r="L637" i="43"/>
  <c r="H703" i="43"/>
  <c r="F336" i="43"/>
  <c r="M270" i="43"/>
  <c r="L656" i="43"/>
  <c r="H722" i="43"/>
  <c r="H659" i="43"/>
  <c r="L593" i="43"/>
  <c r="K234" i="43"/>
  <c r="G267" i="43"/>
  <c r="L537" i="43" l="1"/>
  <c r="H603" i="43"/>
  <c r="L618" i="43"/>
  <c r="H684" i="43"/>
  <c r="L592" i="43"/>
  <c r="H658" i="43"/>
  <c r="H701" i="43"/>
  <c r="L635" i="43"/>
  <c r="L631" i="43"/>
  <c r="H697" i="43"/>
  <c r="H639" i="43"/>
  <c r="L573" i="43"/>
  <c r="G365" i="43"/>
  <c r="K332" i="43"/>
  <c r="N332" i="43" s="1"/>
  <c r="D332" i="18" s="1"/>
  <c r="H711" i="43"/>
  <c r="L645" i="43"/>
  <c r="H667" i="43"/>
  <c r="L601" i="43"/>
  <c r="L627" i="43"/>
  <c r="H693" i="43"/>
  <c r="H775" i="43"/>
  <c r="L709" i="43"/>
  <c r="H823" i="43"/>
  <c r="L757" i="43"/>
  <c r="H706" i="43"/>
  <c r="L640" i="43"/>
  <c r="L722" i="43"/>
  <c r="H788" i="43"/>
  <c r="H704" i="43"/>
  <c r="L638" i="43"/>
  <c r="G75" i="43"/>
  <c r="K42" i="43"/>
  <c r="H708" i="43"/>
  <c r="L642" i="43"/>
  <c r="H666" i="43"/>
  <c r="L600" i="43"/>
  <c r="H710" i="43"/>
  <c r="L644" i="43"/>
  <c r="H662" i="43"/>
  <c r="L596" i="43"/>
  <c r="G171" i="43"/>
  <c r="K138" i="43"/>
  <c r="N138" i="43" s="1"/>
  <c r="D138" i="18" s="1"/>
  <c r="L606" i="43"/>
  <c r="H672" i="43"/>
  <c r="L616" i="43"/>
  <c r="H682" i="43"/>
  <c r="H741" i="43"/>
  <c r="L675" i="43"/>
  <c r="F402" i="43"/>
  <c r="M336" i="43"/>
  <c r="H792" i="43"/>
  <c r="L726" i="43"/>
  <c r="H789" i="43"/>
  <c r="L723" i="43"/>
  <c r="F272" i="43"/>
  <c r="M206" i="43"/>
  <c r="F207" i="43"/>
  <c r="M141" i="43"/>
  <c r="H605" i="43"/>
  <c r="L539" i="43"/>
  <c r="H714" i="43"/>
  <c r="L648" i="43"/>
  <c r="H731" i="43"/>
  <c r="L665" i="43"/>
  <c r="L649" i="43"/>
  <c r="H715" i="43"/>
  <c r="L702" i="43"/>
  <c r="H768" i="43"/>
  <c r="H765" i="43"/>
  <c r="L699" i="43"/>
  <c r="H725" i="43"/>
  <c r="L659" i="43"/>
  <c r="H663" i="43"/>
  <c r="L597" i="43"/>
  <c r="L650" i="43"/>
  <c r="H716" i="43"/>
  <c r="H615" i="43"/>
  <c r="L549" i="43"/>
  <c r="L698" i="43"/>
  <c r="H764" i="43"/>
  <c r="H611" i="43"/>
  <c r="L545" i="43"/>
  <c r="H694" i="43"/>
  <c r="L628" i="43"/>
  <c r="H598" i="43"/>
  <c r="L532" i="43"/>
  <c r="G235" i="43"/>
  <c r="K202" i="43"/>
  <c r="N202" i="43" s="1"/>
  <c r="D202" i="18" s="1"/>
  <c r="H707" i="43"/>
  <c r="L641" i="43"/>
  <c r="M596" i="43"/>
  <c r="F662" i="43"/>
  <c r="H769" i="43"/>
  <c r="L703" i="43"/>
  <c r="L817" i="43"/>
  <c r="H883" i="43"/>
  <c r="H718" i="43"/>
  <c r="L652" i="43"/>
  <c r="H745" i="43"/>
  <c r="L679" i="43"/>
  <c r="K170" i="43"/>
  <c r="G203" i="43"/>
  <c r="H762" i="43"/>
  <c r="L696" i="43"/>
  <c r="H653" i="43"/>
  <c r="L587" i="43"/>
  <c r="F337" i="43"/>
  <c r="M271" i="43"/>
  <c r="G139" i="43"/>
  <c r="K106" i="43"/>
  <c r="M401" i="43"/>
  <c r="F467" i="43"/>
  <c r="H779" i="43"/>
  <c r="L713" i="43"/>
  <c r="H690" i="43"/>
  <c r="L624" i="43"/>
  <c r="H686" i="43"/>
  <c r="L620" i="43"/>
  <c r="L717" i="43"/>
  <c r="H783" i="43"/>
  <c r="H687" i="43"/>
  <c r="L621" i="43"/>
  <c r="L721" i="43"/>
  <c r="H787" i="43"/>
  <c r="F142" i="43"/>
  <c r="M76" i="43"/>
  <c r="G107" i="43"/>
  <c r="K74" i="43"/>
  <c r="N74" i="43" s="1"/>
  <c r="D74" i="18" s="1"/>
  <c r="H610" i="43"/>
  <c r="L544" i="43"/>
  <c r="G43" i="43"/>
  <c r="G11" i="43"/>
  <c r="K10" i="43"/>
  <c r="N10" i="43" s="1"/>
  <c r="D10" i="18" s="1"/>
  <c r="H668" i="43"/>
  <c r="L602" i="43"/>
  <c r="H744" i="43"/>
  <c r="L678" i="43"/>
  <c r="L654" i="43"/>
  <c r="H720" i="43"/>
  <c r="L793" i="43"/>
  <c r="H859" i="43"/>
  <c r="F12" i="43"/>
  <c r="F77" i="43"/>
  <c r="M11" i="43"/>
  <c r="L758" i="43"/>
  <c r="H824" i="43"/>
  <c r="H827" i="43"/>
  <c r="L761" i="43"/>
  <c r="H740" i="43"/>
  <c r="L674" i="43"/>
  <c r="H670" i="43"/>
  <c r="L604" i="43"/>
  <c r="G300" i="43"/>
  <c r="K267" i="43"/>
  <c r="N267" i="43" s="1"/>
  <c r="D267" i="18" s="1"/>
  <c r="H755" i="43"/>
  <c r="L689" i="43"/>
  <c r="L634" i="43"/>
  <c r="H700" i="43"/>
  <c r="H646" i="43"/>
  <c r="L580" i="43"/>
  <c r="L551" i="43"/>
  <c r="H617" i="43"/>
  <c r="F663" i="43"/>
  <c r="M597" i="43"/>
  <c r="L673" i="43"/>
  <c r="H739" i="43"/>
  <c r="L548" i="43"/>
  <c r="H614" i="43"/>
  <c r="M532" i="43"/>
  <c r="F598" i="43"/>
  <c r="H622" i="43"/>
  <c r="L556" i="43"/>
  <c r="H724" i="43" l="1"/>
  <c r="L658" i="43"/>
  <c r="L684" i="43"/>
  <c r="H750" i="43"/>
  <c r="H669" i="43"/>
  <c r="L603" i="43"/>
  <c r="H752" i="43"/>
  <c r="L686" i="43"/>
  <c r="M402" i="43"/>
  <c r="F468" i="43"/>
  <c r="H845" i="43"/>
  <c r="L779" i="43"/>
  <c r="F13" i="43"/>
  <c r="M12" i="43"/>
  <c r="F78" i="43"/>
  <c r="L663" i="43"/>
  <c r="H729" i="43"/>
  <c r="H807" i="43"/>
  <c r="L741" i="43"/>
  <c r="F728" i="43"/>
  <c r="M662" i="43"/>
  <c r="H831" i="43"/>
  <c r="L765" i="43"/>
  <c r="H766" i="43"/>
  <c r="L700" i="43"/>
  <c r="L707" i="43"/>
  <c r="H773" i="43"/>
  <c r="K139" i="43"/>
  <c r="N139" i="43" s="1"/>
  <c r="D139" i="18" s="1"/>
  <c r="G172" i="43"/>
  <c r="H759" i="43"/>
  <c r="L693" i="43"/>
  <c r="H683" i="43"/>
  <c r="L617" i="43"/>
  <c r="L769" i="43"/>
  <c r="H835" i="43"/>
  <c r="H748" i="43"/>
  <c r="L682" i="43"/>
  <c r="H786" i="43"/>
  <c r="L720" i="43"/>
  <c r="L823" i="43"/>
  <c r="H889" i="43"/>
  <c r="H791" i="43"/>
  <c r="L725" i="43"/>
  <c r="L775" i="43"/>
  <c r="H841" i="43"/>
  <c r="H734" i="43"/>
  <c r="L668" i="43"/>
  <c r="G12" i="43"/>
  <c r="K11" i="43"/>
  <c r="N11" i="43" s="1"/>
  <c r="D11" i="18" s="1"/>
  <c r="G44" i="43"/>
  <c r="K300" i="43"/>
  <c r="G333" i="43"/>
  <c r="H736" i="43"/>
  <c r="L670" i="43"/>
  <c r="H676" i="43"/>
  <c r="L610" i="43"/>
  <c r="H760" i="43"/>
  <c r="L694" i="43"/>
  <c r="L714" i="43"/>
  <c r="H780" i="43"/>
  <c r="L710" i="43"/>
  <c r="H776" i="43"/>
  <c r="L667" i="43"/>
  <c r="H733" i="43"/>
  <c r="K235" i="43"/>
  <c r="G268" i="43"/>
  <c r="H664" i="43"/>
  <c r="L598" i="43"/>
  <c r="L653" i="43"/>
  <c r="H719" i="43"/>
  <c r="G140" i="43"/>
  <c r="K107" i="43"/>
  <c r="H677" i="43"/>
  <c r="L611" i="43"/>
  <c r="L605" i="43"/>
  <c r="H671" i="43"/>
  <c r="H732" i="43"/>
  <c r="L666" i="43"/>
  <c r="L711" i="43"/>
  <c r="H777" i="43"/>
  <c r="H772" i="43"/>
  <c r="L706" i="43"/>
  <c r="H712" i="43"/>
  <c r="L646" i="43"/>
  <c r="H834" i="43"/>
  <c r="L768" i="43"/>
  <c r="H925" i="43"/>
  <c r="L859" i="43"/>
  <c r="H806" i="43"/>
  <c r="L740" i="43"/>
  <c r="F273" i="43"/>
  <c r="M207" i="43"/>
  <c r="H774" i="43"/>
  <c r="L708" i="43"/>
  <c r="G398" i="43"/>
  <c r="K365" i="43"/>
  <c r="H728" i="43"/>
  <c r="L662" i="43"/>
  <c r="M337" i="43"/>
  <c r="F403" i="43"/>
  <c r="L762" i="43"/>
  <c r="H828" i="43"/>
  <c r="F664" i="43"/>
  <c r="M598" i="43"/>
  <c r="H853" i="43"/>
  <c r="L787" i="43"/>
  <c r="K203" i="43"/>
  <c r="N203" i="43" s="1"/>
  <c r="D203" i="18" s="1"/>
  <c r="G236" i="43"/>
  <c r="H830" i="43"/>
  <c r="L764" i="43"/>
  <c r="H756" i="43"/>
  <c r="L690" i="43"/>
  <c r="H688" i="43"/>
  <c r="L622" i="43"/>
  <c r="M272" i="43"/>
  <c r="F338" i="43"/>
  <c r="G108" i="43"/>
  <c r="K75" i="43"/>
  <c r="N75" i="43" s="1"/>
  <c r="D75" i="18" s="1"/>
  <c r="L639" i="43"/>
  <c r="H705" i="43"/>
  <c r="K43" i="43"/>
  <c r="G76" i="43"/>
  <c r="F208" i="43"/>
  <c r="M142" i="43"/>
  <c r="H680" i="43"/>
  <c r="L614" i="43"/>
  <c r="H890" i="43"/>
  <c r="L824" i="43"/>
  <c r="L697" i="43"/>
  <c r="H763" i="43"/>
  <c r="M663" i="43"/>
  <c r="F729" i="43"/>
  <c r="H893" i="43"/>
  <c r="L827" i="43"/>
  <c r="L687" i="43"/>
  <c r="H753" i="43"/>
  <c r="H811" i="43"/>
  <c r="L745" i="43"/>
  <c r="H681" i="43"/>
  <c r="L615" i="43"/>
  <c r="L789" i="43"/>
  <c r="H855" i="43"/>
  <c r="H770" i="43"/>
  <c r="L704" i="43"/>
  <c r="H805" i="43"/>
  <c r="L739" i="43"/>
  <c r="H849" i="43"/>
  <c r="L783" i="43"/>
  <c r="H782" i="43"/>
  <c r="L716" i="43"/>
  <c r="H854" i="43"/>
  <c r="L788" i="43"/>
  <c r="H949" i="43"/>
  <c r="L883" i="43"/>
  <c r="H810" i="43"/>
  <c r="L744" i="43"/>
  <c r="H738" i="43"/>
  <c r="L672" i="43"/>
  <c r="F533" i="43"/>
  <c r="M467" i="43"/>
  <c r="H781" i="43"/>
  <c r="L715" i="43"/>
  <c r="L755" i="43"/>
  <c r="H821" i="43"/>
  <c r="G204" i="43"/>
  <c r="K171" i="43"/>
  <c r="L731" i="43"/>
  <c r="H797" i="43"/>
  <c r="F143" i="43"/>
  <c r="M77" i="43"/>
  <c r="L718" i="43"/>
  <c r="H784" i="43"/>
  <c r="H858" i="43"/>
  <c r="L792" i="43"/>
  <c r="L701" i="43"/>
  <c r="H767" i="43"/>
  <c r="H735" i="43" l="1"/>
  <c r="L669" i="43"/>
  <c r="H816" i="43"/>
  <c r="L750" i="43"/>
  <c r="H790" i="43"/>
  <c r="L724" i="43"/>
  <c r="G13" i="43"/>
  <c r="K12" i="43"/>
  <c r="N12" i="43" s="1"/>
  <c r="D12" i="18" s="1"/>
  <c r="G45" i="43"/>
  <c r="L766" i="43"/>
  <c r="H832" i="43"/>
  <c r="H743" i="43"/>
  <c r="L677" i="43"/>
  <c r="H747" i="43"/>
  <c r="L681" i="43"/>
  <c r="F404" i="43"/>
  <c r="M338" i="43"/>
  <c r="K268" i="43"/>
  <c r="N268" i="43" s="1"/>
  <c r="D268" i="18" s="1"/>
  <c r="G301" i="43"/>
  <c r="H857" i="43"/>
  <c r="L791" i="43"/>
  <c r="L807" i="43"/>
  <c r="H873" i="43"/>
  <c r="L759" i="43"/>
  <c r="H825" i="43"/>
  <c r="H840" i="43"/>
  <c r="L774" i="43"/>
  <c r="L738" i="43"/>
  <c r="H804" i="43"/>
  <c r="H785" i="43"/>
  <c r="L719" i="43"/>
  <c r="L830" i="43"/>
  <c r="H896" i="43"/>
  <c r="L925" i="43"/>
  <c r="H991" i="43"/>
  <c r="H955" i="43"/>
  <c r="L889" i="43"/>
  <c r="L729" i="43"/>
  <c r="H795" i="43"/>
  <c r="L688" i="43"/>
  <c r="H754" i="43"/>
  <c r="L854" i="43"/>
  <c r="H920" i="43"/>
  <c r="L733" i="43"/>
  <c r="H799" i="43"/>
  <c r="H802" i="43"/>
  <c r="L736" i="43"/>
  <c r="L781" i="43"/>
  <c r="H847" i="43"/>
  <c r="K398" i="43"/>
  <c r="N398" i="43" s="1"/>
  <c r="D398" i="18" s="1"/>
  <c r="G431" i="43"/>
  <c r="L810" i="43"/>
  <c r="H876" i="43"/>
  <c r="H822" i="43"/>
  <c r="L756" i="43"/>
  <c r="L834" i="43"/>
  <c r="H900" i="43"/>
  <c r="F144" i="43"/>
  <c r="M78" i="43"/>
  <c r="L728" i="43"/>
  <c r="H794" i="43"/>
  <c r="L773" i="43"/>
  <c r="H839" i="43"/>
  <c r="G173" i="43"/>
  <c r="K140" i="43"/>
  <c r="N140" i="43" s="1"/>
  <c r="D140" i="18" s="1"/>
  <c r="L831" i="43"/>
  <c r="H897" i="43"/>
  <c r="H842" i="43"/>
  <c r="L776" i="43"/>
  <c r="L786" i="43"/>
  <c r="H852" i="43"/>
  <c r="K108" i="43"/>
  <c r="G141" i="43"/>
  <c r="H907" i="43"/>
  <c r="L841" i="43"/>
  <c r="H829" i="43"/>
  <c r="L763" i="43"/>
  <c r="L784" i="43"/>
  <c r="H850" i="43"/>
  <c r="H919" i="43"/>
  <c r="L853" i="43"/>
  <c r="H778" i="43"/>
  <c r="L712" i="43"/>
  <c r="M13" i="43"/>
  <c r="F79" i="43"/>
  <c r="F14" i="43"/>
  <c r="H887" i="43"/>
  <c r="L821" i="43"/>
  <c r="L734" i="43"/>
  <c r="H800" i="43"/>
  <c r="M728" i="43"/>
  <c r="F794" i="43"/>
  <c r="H833" i="43"/>
  <c r="L767" i="43"/>
  <c r="H915" i="43"/>
  <c r="L849" i="43"/>
  <c r="H846" i="43"/>
  <c r="L780" i="43"/>
  <c r="L748" i="43"/>
  <c r="H814" i="43"/>
  <c r="H819" i="43"/>
  <c r="L753" i="43"/>
  <c r="L858" i="43"/>
  <c r="H924" i="43"/>
  <c r="F274" i="43"/>
  <c r="M208" i="43"/>
  <c r="F730" i="43"/>
  <c r="M664" i="43"/>
  <c r="H838" i="43"/>
  <c r="L772" i="43"/>
  <c r="L835" i="43"/>
  <c r="H901" i="43"/>
  <c r="L845" i="43"/>
  <c r="H911" i="43"/>
  <c r="F599" i="43"/>
  <c r="M533" i="43"/>
  <c r="F339" i="43"/>
  <c r="M273" i="43"/>
  <c r="F795" i="43"/>
  <c r="M729" i="43"/>
  <c r="H730" i="43"/>
  <c r="L664" i="43"/>
  <c r="H956" i="43"/>
  <c r="L890" i="43"/>
  <c r="L782" i="43"/>
  <c r="H848" i="43"/>
  <c r="L680" i="43"/>
  <c r="H746" i="43"/>
  <c r="M143" i="43"/>
  <c r="F209" i="43"/>
  <c r="H894" i="43"/>
  <c r="L828" i="43"/>
  <c r="L777" i="43"/>
  <c r="H843" i="43"/>
  <c r="M468" i="43"/>
  <c r="F534" i="43"/>
  <c r="G205" i="43"/>
  <c r="K172" i="43"/>
  <c r="H863" i="43"/>
  <c r="L797" i="43"/>
  <c r="H826" i="43"/>
  <c r="L760" i="43"/>
  <c r="L671" i="43"/>
  <c r="H737" i="43"/>
  <c r="K333" i="43"/>
  <c r="N333" i="43" s="1"/>
  <c r="D333" i="18" s="1"/>
  <c r="G366" i="43"/>
  <c r="H877" i="43"/>
  <c r="L811" i="43"/>
  <c r="G77" i="43"/>
  <c r="K44" i="43"/>
  <c r="H959" i="43"/>
  <c r="L893" i="43"/>
  <c r="H836" i="43"/>
  <c r="L770" i="43"/>
  <c r="G109" i="43"/>
  <c r="K76" i="43"/>
  <c r="N76" i="43" s="1"/>
  <c r="D76" i="18" s="1"/>
  <c r="F469" i="43"/>
  <c r="M403" i="43"/>
  <c r="H749" i="43"/>
  <c r="L683" i="43"/>
  <c r="K204" i="43"/>
  <c r="N204" i="43" s="1"/>
  <c r="D204" i="18" s="1"/>
  <c r="G237" i="43"/>
  <c r="H771" i="43"/>
  <c r="L705" i="43"/>
  <c r="L806" i="43"/>
  <c r="H872" i="43"/>
  <c r="L949" i="43"/>
  <c r="H1015" i="43"/>
  <c r="G269" i="43"/>
  <c r="K236" i="43"/>
  <c r="H871" i="43"/>
  <c r="L805" i="43"/>
  <c r="H921" i="43"/>
  <c r="L855" i="43"/>
  <c r="H798" i="43"/>
  <c r="L732" i="43"/>
  <c r="H742" i="43"/>
  <c r="L676" i="43"/>
  <c r="L752" i="43"/>
  <c r="H818" i="43"/>
  <c r="H856" i="43" l="1"/>
  <c r="L790" i="43"/>
  <c r="L816" i="43"/>
  <c r="H882" i="43"/>
  <c r="H801" i="43"/>
  <c r="L735" i="43"/>
  <c r="K141" i="43"/>
  <c r="N141" i="43" s="1"/>
  <c r="D141" i="18" s="1"/>
  <c r="G174" i="43"/>
  <c r="H912" i="43"/>
  <c r="L846" i="43"/>
  <c r="H906" i="43"/>
  <c r="L840" i="43"/>
  <c r="H815" i="43"/>
  <c r="L749" i="43"/>
  <c r="H973" i="43"/>
  <c r="L907" i="43"/>
  <c r="H837" i="43"/>
  <c r="L771" i="43"/>
  <c r="F405" i="43"/>
  <c r="M339" i="43"/>
  <c r="H899" i="43"/>
  <c r="L833" i="43"/>
  <c r="M794" i="43"/>
  <c r="F860" i="43"/>
  <c r="H967" i="43"/>
  <c r="L901" i="43"/>
  <c r="K173" i="43"/>
  <c r="G206" i="43"/>
  <c r="H861" i="43"/>
  <c r="L795" i="43"/>
  <c r="F470" i="43"/>
  <c r="M404" i="43"/>
  <c r="H918" i="43"/>
  <c r="L852" i="43"/>
  <c r="H939" i="43"/>
  <c r="L873" i="43"/>
  <c r="H908" i="43"/>
  <c r="L842" i="43"/>
  <c r="H953" i="43"/>
  <c r="L887" i="43"/>
  <c r="F796" i="43"/>
  <c r="M730" i="43"/>
  <c r="K77" i="43"/>
  <c r="N77" i="43" s="1"/>
  <c r="D77" i="18" s="1"/>
  <c r="G110" i="43"/>
  <c r="H990" i="43"/>
  <c r="L924" i="43"/>
  <c r="L794" i="43"/>
  <c r="H860" i="43"/>
  <c r="H909" i="43"/>
  <c r="L843" i="43"/>
  <c r="H923" i="43"/>
  <c r="L857" i="43"/>
  <c r="H844" i="43"/>
  <c r="L778" i="43"/>
  <c r="H813" i="43"/>
  <c r="L747" i="43"/>
  <c r="L818" i="43"/>
  <c r="H884" i="43"/>
  <c r="H808" i="43"/>
  <c r="L742" i="43"/>
  <c r="H963" i="43"/>
  <c r="L897" i="43"/>
  <c r="H904" i="43"/>
  <c r="L838" i="43"/>
  <c r="H902" i="43"/>
  <c r="L836" i="43"/>
  <c r="H905" i="43"/>
  <c r="L839" i="43"/>
  <c r="H1021" i="43"/>
  <c r="L955" i="43"/>
  <c r="F861" i="43"/>
  <c r="M795" i="43"/>
  <c r="H985" i="43"/>
  <c r="L919" i="43"/>
  <c r="M144" i="43"/>
  <c r="F210" i="43"/>
  <c r="H809" i="43"/>
  <c r="L743" i="43"/>
  <c r="G464" i="43"/>
  <c r="K431" i="43"/>
  <c r="K237" i="43"/>
  <c r="G270" i="43"/>
  <c r="H981" i="43"/>
  <c r="L915" i="43"/>
  <c r="H891" i="43"/>
  <c r="L825" i="43"/>
  <c r="G238" i="43"/>
  <c r="K205" i="43"/>
  <c r="N205" i="43" s="1"/>
  <c r="D205" i="18" s="1"/>
  <c r="H868" i="43"/>
  <c r="L802" i="43"/>
  <c r="F600" i="43"/>
  <c r="M534" i="43"/>
  <c r="L799" i="43"/>
  <c r="H865" i="43"/>
  <c r="K109" i="43"/>
  <c r="G142" i="43"/>
  <c r="H986" i="43"/>
  <c r="L920" i="43"/>
  <c r="F275" i="43"/>
  <c r="M209" i="43"/>
  <c r="H916" i="43"/>
  <c r="L850" i="43"/>
  <c r="H966" i="43"/>
  <c r="L900" i="43"/>
  <c r="H1057" i="43"/>
  <c r="L991" i="43"/>
  <c r="H898" i="43"/>
  <c r="L832" i="43"/>
  <c r="H929" i="43"/>
  <c r="L863" i="43"/>
  <c r="H866" i="43"/>
  <c r="L800" i="43"/>
  <c r="L798" i="43"/>
  <c r="H864" i="43"/>
  <c r="G334" i="43"/>
  <c r="K301" i="43"/>
  <c r="H812" i="43"/>
  <c r="L746" i="43"/>
  <c r="L871" i="43"/>
  <c r="H937" i="43"/>
  <c r="H943" i="43"/>
  <c r="L877" i="43"/>
  <c r="H914" i="43"/>
  <c r="L848" i="43"/>
  <c r="G399" i="43"/>
  <c r="K366" i="43"/>
  <c r="G302" i="43"/>
  <c r="K269" i="43"/>
  <c r="N269" i="43" s="1"/>
  <c r="D269" i="18" s="1"/>
  <c r="H1081" i="43"/>
  <c r="L1015" i="43"/>
  <c r="H803" i="43"/>
  <c r="L737" i="43"/>
  <c r="H1022" i="43"/>
  <c r="L956" i="43"/>
  <c r="H885" i="43"/>
  <c r="L819" i="43"/>
  <c r="H977" i="43"/>
  <c r="L911" i="43"/>
  <c r="M469" i="43"/>
  <c r="F535" i="43"/>
  <c r="H820" i="43"/>
  <c r="L754" i="43"/>
  <c r="H960" i="43"/>
  <c r="L894" i="43"/>
  <c r="F340" i="43"/>
  <c r="M274" i="43"/>
  <c r="H962" i="43"/>
  <c r="L896" i="43"/>
  <c r="G78" i="43"/>
  <c r="K45" i="43"/>
  <c r="H851" i="43"/>
  <c r="L785" i="43"/>
  <c r="M599" i="43"/>
  <c r="F665" i="43"/>
  <c r="H938" i="43"/>
  <c r="L872" i="43"/>
  <c r="L829" i="43"/>
  <c r="H895" i="43"/>
  <c r="H870" i="43"/>
  <c r="L804" i="43"/>
  <c r="L847" i="43"/>
  <c r="H913" i="43"/>
  <c r="F15" i="43"/>
  <c r="M14" i="43"/>
  <c r="F80" i="43"/>
  <c r="L959" i="43"/>
  <c r="H1025" i="43"/>
  <c r="F145" i="43"/>
  <c r="M79" i="43"/>
  <c r="L921" i="43"/>
  <c r="H987" i="43"/>
  <c r="H796" i="43"/>
  <c r="L730" i="43"/>
  <c r="L814" i="43"/>
  <c r="H880" i="43"/>
  <c r="L822" i="43"/>
  <c r="H888" i="43"/>
  <c r="H892" i="43"/>
  <c r="L826" i="43"/>
  <c r="H942" i="43"/>
  <c r="L876" i="43"/>
  <c r="G46" i="43"/>
  <c r="G14" i="43"/>
  <c r="K13" i="43"/>
  <c r="N13" i="43" s="1"/>
  <c r="D13" i="18" s="1"/>
  <c r="L801" i="43" l="1"/>
  <c r="H867" i="43"/>
  <c r="H948" i="43"/>
  <c r="L882" i="43"/>
  <c r="L856" i="43"/>
  <c r="H922" i="43"/>
  <c r="H957" i="43"/>
  <c r="L891" i="43"/>
  <c r="H971" i="43"/>
  <c r="L905" i="43"/>
  <c r="H1056" i="43"/>
  <c r="L990" i="43"/>
  <c r="L899" i="43"/>
  <c r="H965" i="43"/>
  <c r="L861" i="43"/>
  <c r="H927" i="43"/>
  <c r="G79" i="43"/>
  <c r="K46" i="43"/>
  <c r="G303" i="43"/>
  <c r="K270" i="43"/>
  <c r="N270" i="43" s="1"/>
  <c r="D270" i="18" s="1"/>
  <c r="H886" i="43"/>
  <c r="L820" i="43"/>
  <c r="F601" i="43"/>
  <c r="M535" i="43"/>
  <c r="L967" i="43"/>
  <c r="H1033" i="43"/>
  <c r="H970" i="43"/>
  <c r="L904" i="43"/>
  <c r="M796" i="43"/>
  <c r="F862" i="43"/>
  <c r="L837" i="43"/>
  <c r="H903" i="43"/>
  <c r="G367" i="43"/>
  <c r="K334" i="43"/>
  <c r="N334" i="43" s="1"/>
  <c r="D334" i="18" s="1"/>
  <c r="H926" i="43"/>
  <c r="L860" i="43"/>
  <c r="H1004" i="43"/>
  <c r="L938" i="43"/>
  <c r="G143" i="43"/>
  <c r="K110" i="43"/>
  <c r="F731" i="43"/>
  <c r="M665" i="43"/>
  <c r="H931" i="43"/>
  <c r="L865" i="43"/>
  <c r="G239" i="43"/>
  <c r="K206" i="43"/>
  <c r="N206" i="43" s="1"/>
  <c r="D206" i="18" s="1"/>
  <c r="H1032" i="43"/>
  <c r="L966" i="43"/>
  <c r="G497" i="43"/>
  <c r="K464" i="43"/>
  <c r="N464" i="43" s="1"/>
  <c r="D464" i="18" s="1"/>
  <c r="L963" i="43"/>
  <c r="H1029" i="43"/>
  <c r="L953" i="43"/>
  <c r="H1019" i="43"/>
  <c r="L973" i="43"/>
  <c r="H1039" i="43"/>
  <c r="L909" i="43"/>
  <c r="H975" i="43"/>
  <c r="F666" i="43"/>
  <c r="M600" i="43"/>
  <c r="H1043" i="43"/>
  <c r="L977" i="43"/>
  <c r="L929" i="43"/>
  <c r="H995" i="43"/>
  <c r="L803" i="43"/>
  <c r="H869" i="43"/>
  <c r="H946" i="43"/>
  <c r="L880" i="43"/>
  <c r="H875" i="43"/>
  <c r="L809" i="43"/>
  <c r="H874" i="43"/>
  <c r="L808" i="43"/>
  <c r="H974" i="43"/>
  <c r="L908" i="43"/>
  <c r="H881" i="43"/>
  <c r="L815" i="43"/>
  <c r="H979" i="43"/>
  <c r="L913" i="43"/>
  <c r="L868" i="43"/>
  <c r="H934" i="43"/>
  <c r="L885" i="43"/>
  <c r="H951" i="43"/>
  <c r="K238" i="43"/>
  <c r="G271" i="43"/>
  <c r="H954" i="43"/>
  <c r="L888" i="43"/>
  <c r="H964" i="43"/>
  <c r="L898" i="43"/>
  <c r="L962" i="43"/>
  <c r="H1028" i="43"/>
  <c r="H980" i="43"/>
  <c r="L914" i="43"/>
  <c r="F276" i="43"/>
  <c r="M210" i="43"/>
  <c r="H950" i="43"/>
  <c r="L884" i="43"/>
  <c r="G335" i="43"/>
  <c r="K302" i="43"/>
  <c r="M275" i="43"/>
  <c r="F341" i="43"/>
  <c r="H1005" i="43"/>
  <c r="L939" i="43"/>
  <c r="H972" i="43"/>
  <c r="L906" i="43"/>
  <c r="H932" i="43"/>
  <c r="L866" i="43"/>
  <c r="L895" i="43"/>
  <c r="H961" i="43"/>
  <c r="L942" i="43"/>
  <c r="H1008" i="43"/>
  <c r="G432" i="43"/>
  <c r="K399" i="43"/>
  <c r="N399" i="43" s="1"/>
  <c r="D399" i="18" s="1"/>
  <c r="F211" i="43"/>
  <c r="M145" i="43"/>
  <c r="F406" i="43"/>
  <c r="M340" i="43"/>
  <c r="L943" i="43"/>
  <c r="H1009" i="43"/>
  <c r="H989" i="43"/>
  <c r="L923" i="43"/>
  <c r="M861" i="43"/>
  <c r="F927" i="43"/>
  <c r="H1088" i="43"/>
  <c r="L1022" i="43"/>
  <c r="L902" i="43"/>
  <c r="H968" i="43"/>
  <c r="H862" i="43"/>
  <c r="L796" i="43"/>
  <c r="K78" i="43"/>
  <c r="N78" i="43" s="1"/>
  <c r="D78" i="18" s="1"/>
  <c r="G111" i="43"/>
  <c r="H1003" i="43"/>
  <c r="L937" i="43"/>
  <c r="H1052" i="43"/>
  <c r="L986" i="43"/>
  <c r="H1051" i="43"/>
  <c r="L985" i="43"/>
  <c r="L813" i="43"/>
  <c r="H879" i="43"/>
  <c r="H984" i="43"/>
  <c r="L918" i="43"/>
  <c r="H978" i="43"/>
  <c r="L912" i="43"/>
  <c r="H878" i="43"/>
  <c r="L812" i="43"/>
  <c r="H936" i="43"/>
  <c r="L870" i="43"/>
  <c r="H1087" i="43"/>
  <c r="L1021" i="43"/>
  <c r="H1047" i="43"/>
  <c r="L981" i="43"/>
  <c r="L1081" i="43"/>
  <c r="H1147" i="43"/>
  <c r="L1057" i="43"/>
  <c r="H1123" i="43"/>
  <c r="H1091" i="43"/>
  <c r="L1025" i="43"/>
  <c r="L960" i="43"/>
  <c r="H1026" i="43"/>
  <c r="K142" i="43"/>
  <c r="N142" i="43" s="1"/>
  <c r="D142" i="18" s="1"/>
  <c r="G175" i="43"/>
  <c r="G207" i="43"/>
  <c r="K174" i="43"/>
  <c r="F81" i="43"/>
  <c r="F16" i="43"/>
  <c r="M15" i="43"/>
  <c r="H930" i="43"/>
  <c r="L864" i="43"/>
  <c r="G47" i="43"/>
  <c r="G15" i="43"/>
  <c r="K14" i="43"/>
  <c r="N14" i="43" s="1"/>
  <c r="D14" i="18" s="1"/>
  <c r="F926" i="43"/>
  <c r="M860" i="43"/>
  <c r="L892" i="43"/>
  <c r="H958" i="43"/>
  <c r="M405" i="43"/>
  <c r="F471" i="43"/>
  <c r="H917" i="43"/>
  <c r="L851" i="43"/>
  <c r="H1053" i="43"/>
  <c r="L987" i="43"/>
  <c r="H982" i="43"/>
  <c r="L916" i="43"/>
  <c r="F146" i="43"/>
  <c r="M80" i="43"/>
  <c r="L844" i="43"/>
  <c r="H910" i="43"/>
  <c r="M470" i="43"/>
  <c r="F536" i="43"/>
  <c r="L922" i="43" l="1"/>
  <c r="H988" i="43"/>
  <c r="H1014" i="43"/>
  <c r="L948" i="43"/>
  <c r="H933" i="43"/>
  <c r="L867" i="43"/>
  <c r="H1095" i="43"/>
  <c r="L1029" i="43"/>
  <c r="L984" i="43"/>
  <c r="H1050" i="43"/>
  <c r="H941" i="43"/>
  <c r="L875" i="43"/>
  <c r="L1026" i="43"/>
  <c r="H1092" i="43"/>
  <c r="H1094" i="43"/>
  <c r="L1028" i="43"/>
  <c r="H983" i="43"/>
  <c r="L917" i="43"/>
  <c r="F537" i="43"/>
  <c r="M471" i="43"/>
  <c r="G465" i="43"/>
  <c r="K432" i="43"/>
  <c r="H1061" i="43"/>
  <c r="L995" i="43"/>
  <c r="M731" i="43"/>
  <c r="F797" i="43"/>
  <c r="G112" i="43"/>
  <c r="K79" i="43"/>
  <c r="N79" i="43" s="1"/>
  <c r="D79" i="18" s="1"/>
  <c r="G208" i="43"/>
  <c r="K175" i="43"/>
  <c r="H1074" i="43"/>
  <c r="L1008" i="43"/>
  <c r="H1030" i="43"/>
  <c r="L964" i="43"/>
  <c r="H993" i="43"/>
  <c r="L927" i="43"/>
  <c r="H1040" i="43"/>
  <c r="L974" i="43"/>
  <c r="H1044" i="43"/>
  <c r="L978" i="43"/>
  <c r="H1055" i="43"/>
  <c r="L989" i="43"/>
  <c r="H1119" i="43"/>
  <c r="L1053" i="43"/>
  <c r="G176" i="43"/>
  <c r="K143" i="43"/>
  <c r="N143" i="43" s="1"/>
  <c r="D143" i="18" s="1"/>
  <c r="M146" i="43"/>
  <c r="F212" i="43"/>
  <c r="H1016" i="43"/>
  <c r="L950" i="43"/>
  <c r="F472" i="43"/>
  <c r="M406" i="43"/>
  <c r="F277" i="43"/>
  <c r="M211" i="43"/>
  <c r="H1189" i="43"/>
  <c r="L1123" i="43"/>
  <c r="H1213" i="43"/>
  <c r="L1147" i="43"/>
  <c r="G144" i="43"/>
  <c r="K111" i="43"/>
  <c r="H1027" i="43"/>
  <c r="L961" i="43"/>
  <c r="L954" i="43"/>
  <c r="H1020" i="43"/>
  <c r="H1109" i="43"/>
  <c r="L1043" i="43"/>
  <c r="H1031" i="43"/>
  <c r="L965" i="43"/>
  <c r="G304" i="43"/>
  <c r="K271" i="43"/>
  <c r="N271" i="43" s="1"/>
  <c r="D271" i="18" s="1"/>
  <c r="H1070" i="43"/>
  <c r="L1004" i="43"/>
  <c r="M81" i="43"/>
  <c r="F147" i="43"/>
  <c r="L878" i="43"/>
  <c r="H944" i="43"/>
  <c r="K497" i="43"/>
  <c r="G530" i="43"/>
  <c r="H1098" i="43"/>
  <c r="L1032" i="43"/>
  <c r="H952" i="43"/>
  <c r="L886" i="43"/>
  <c r="H997" i="43"/>
  <c r="L931" i="43"/>
  <c r="F732" i="43"/>
  <c r="M666" i="43"/>
  <c r="L1033" i="43"/>
  <c r="H1099" i="43"/>
  <c r="H940" i="43"/>
  <c r="L874" i="43"/>
  <c r="L1047" i="43"/>
  <c r="H1113" i="43"/>
  <c r="L862" i="43"/>
  <c r="H928" i="43"/>
  <c r="L932" i="43"/>
  <c r="H998" i="43"/>
  <c r="H1017" i="43"/>
  <c r="L951" i="43"/>
  <c r="H992" i="43"/>
  <c r="L926" i="43"/>
  <c r="H1122" i="43"/>
  <c r="L1056" i="43"/>
  <c r="M16" i="43"/>
  <c r="F17" i="43"/>
  <c r="F82" i="43"/>
  <c r="G368" i="43"/>
  <c r="K335" i="43"/>
  <c r="N335" i="43" s="1"/>
  <c r="D335" i="18" s="1"/>
  <c r="L1009" i="43"/>
  <c r="H1075" i="43"/>
  <c r="M276" i="43"/>
  <c r="F342" i="43"/>
  <c r="L946" i="43"/>
  <c r="H1012" i="43"/>
  <c r="H1036" i="43"/>
  <c r="L970" i="43"/>
  <c r="K207" i="43"/>
  <c r="N207" i="43" s="1"/>
  <c r="D207" i="18" s="1"/>
  <c r="G240" i="43"/>
  <c r="F667" i="43"/>
  <c r="M601" i="43"/>
  <c r="L879" i="43"/>
  <c r="H945" i="43"/>
  <c r="H1046" i="43"/>
  <c r="L980" i="43"/>
  <c r="M926" i="43"/>
  <c r="F992" i="43"/>
  <c r="G16" i="43"/>
  <c r="K15" i="43"/>
  <c r="N15" i="43" s="1"/>
  <c r="D15" i="18" s="1"/>
  <c r="G48" i="43"/>
  <c r="H1034" i="43"/>
  <c r="L968" i="43"/>
  <c r="K47" i="43"/>
  <c r="G80" i="43"/>
  <c r="H1153" i="43"/>
  <c r="L1087" i="43"/>
  <c r="L972" i="43"/>
  <c r="H1038" i="43"/>
  <c r="H1000" i="43"/>
  <c r="L934" i="43"/>
  <c r="K367" i="43"/>
  <c r="G400" i="43"/>
  <c r="H1037" i="43"/>
  <c r="L971" i="43"/>
  <c r="L1051" i="43"/>
  <c r="H1117" i="43"/>
  <c r="H1118" i="43"/>
  <c r="L1052" i="43"/>
  <c r="H1069" i="43"/>
  <c r="L1003" i="43"/>
  <c r="H1105" i="43"/>
  <c r="L1039" i="43"/>
  <c r="H969" i="43"/>
  <c r="L903" i="43"/>
  <c r="H947" i="43"/>
  <c r="L881" i="43"/>
  <c r="G272" i="43"/>
  <c r="K239" i="43"/>
  <c r="G336" i="43"/>
  <c r="K303" i="43"/>
  <c r="H1041" i="43"/>
  <c r="L975" i="43"/>
  <c r="F602" i="43"/>
  <c r="M536" i="43"/>
  <c r="H996" i="43"/>
  <c r="L930" i="43"/>
  <c r="L936" i="43"/>
  <c r="H1002" i="43"/>
  <c r="L1088" i="43"/>
  <c r="H1154" i="43"/>
  <c r="H1071" i="43"/>
  <c r="L1005" i="43"/>
  <c r="H1023" i="43"/>
  <c r="L957" i="43"/>
  <c r="H1048" i="43"/>
  <c r="L982" i="43"/>
  <c r="H935" i="43"/>
  <c r="L869" i="43"/>
  <c r="H1157" i="43"/>
  <c r="L1091" i="43"/>
  <c r="L958" i="43"/>
  <c r="H1024" i="43"/>
  <c r="H976" i="43"/>
  <c r="L910" i="43"/>
  <c r="F993" i="43"/>
  <c r="M927" i="43"/>
  <c r="M341" i="43"/>
  <c r="F407" i="43"/>
  <c r="H1045" i="43"/>
  <c r="L979" i="43"/>
  <c r="H1085" i="43"/>
  <c r="L1019" i="43"/>
  <c r="F928" i="43"/>
  <c r="M862" i="43"/>
  <c r="H999" i="43" l="1"/>
  <c r="L933" i="43"/>
  <c r="H1080" i="43"/>
  <c r="L1014" i="43"/>
  <c r="L988" i="43"/>
  <c r="H1054" i="43"/>
  <c r="L996" i="43"/>
  <c r="H1062" i="43"/>
  <c r="G337" i="43"/>
  <c r="K304" i="43"/>
  <c r="H1179" i="43"/>
  <c r="L1113" i="43"/>
  <c r="F473" i="43"/>
  <c r="M407" i="43"/>
  <c r="H1066" i="43"/>
  <c r="L1000" i="43"/>
  <c r="K465" i="43"/>
  <c r="N465" i="43" s="1"/>
  <c r="D465" i="18" s="1"/>
  <c r="G498" i="43"/>
  <c r="H1111" i="43"/>
  <c r="L1045" i="43"/>
  <c r="K112" i="43"/>
  <c r="G145" i="43"/>
  <c r="K176" i="43"/>
  <c r="G209" i="43"/>
  <c r="L1119" i="43"/>
  <c r="H1185" i="43"/>
  <c r="H1063" i="43"/>
  <c r="L997" i="43"/>
  <c r="L1027" i="43"/>
  <c r="H1093" i="43"/>
  <c r="H1110" i="43"/>
  <c r="L1044" i="43"/>
  <c r="H1049" i="43"/>
  <c r="L983" i="43"/>
  <c r="L1041" i="43"/>
  <c r="H1107" i="43"/>
  <c r="L1153" i="43"/>
  <c r="H1219" i="43"/>
  <c r="G113" i="43"/>
  <c r="K80" i="43"/>
  <c r="N80" i="43" s="1"/>
  <c r="D80" i="18" s="1"/>
  <c r="H1035" i="43"/>
  <c r="L969" i="43"/>
  <c r="G177" i="43"/>
  <c r="K144" i="43"/>
  <c r="N144" i="43" s="1"/>
  <c r="D144" i="18" s="1"/>
  <c r="L1040" i="43"/>
  <c r="H1106" i="43"/>
  <c r="H1102" i="43"/>
  <c r="L1036" i="43"/>
  <c r="H1013" i="43"/>
  <c r="L947" i="43"/>
  <c r="H1160" i="43"/>
  <c r="L1094" i="43"/>
  <c r="L1105" i="43"/>
  <c r="H1171" i="43"/>
  <c r="M992" i="43"/>
  <c r="F1058" i="43"/>
  <c r="L1098" i="43"/>
  <c r="H1164" i="43"/>
  <c r="L1213" i="43"/>
  <c r="H1279" i="43"/>
  <c r="H1158" i="43"/>
  <c r="L1092" i="43"/>
  <c r="H1042" i="43"/>
  <c r="L976" i="43"/>
  <c r="L1020" i="43"/>
  <c r="H1086" i="43"/>
  <c r="K272" i="43"/>
  <c r="N272" i="43" s="1"/>
  <c r="D272" i="18" s="1"/>
  <c r="G305" i="43"/>
  <c r="F603" i="43"/>
  <c r="M537" i="43"/>
  <c r="L1122" i="43"/>
  <c r="H1188" i="43"/>
  <c r="K530" i="43"/>
  <c r="N530" i="43" s="1"/>
  <c r="D530" i="18" s="1"/>
  <c r="G563" i="43"/>
  <c r="M212" i="43"/>
  <c r="F278" i="43"/>
  <c r="F798" i="43"/>
  <c r="M732" i="43"/>
  <c r="H1001" i="43"/>
  <c r="L935" i="43"/>
  <c r="H1135" i="43"/>
  <c r="L1069" i="43"/>
  <c r="L1189" i="43"/>
  <c r="H1255" i="43"/>
  <c r="H1059" i="43"/>
  <c r="L993" i="43"/>
  <c r="L1016" i="43"/>
  <c r="H1082" i="43"/>
  <c r="H1104" i="43"/>
  <c r="L1038" i="43"/>
  <c r="H1121" i="43"/>
  <c r="L1055" i="43"/>
  <c r="H1010" i="43"/>
  <c r="L944" i="43"/>
  <c r="L941" i="43"/>
  <c r="H1007" i="43"/>
  <c r="H1006" i="43"/>
  <c r="L940" i="43"/>
  <c r="G401" i="43"/>
  <c r="K368" i="43"/>
  <c r="M82" i="43"/>
  <c r="F148" i="43"/>
  <c r="H1137" i="43"/>
  <c r="L1071" i="43"/>
  <c r="L945" i="43"/>
  <c r="H1011" i="43"/>
  <c r="F343" i="43"/>
  <c r="M277" i="43"/>
  <c r="L1050" i="43"/>
  <c r="H1116" i="43"/>
  <c r="H1090" i="43"/>
  <c r="L1024" i="43"/>
  <c r="G81" i="43"/>
  <c r="K48" i="43"/>
  <c r="K16" i="43"/>
  <c r="N16" i="43" s="1"/>
  <c r="D16" i="18" s="1"/>
  <c r="G49" i="43"/>
  <c r="G17" i="43"/>
  <c r="H1220" i="43"/>
  <c r="L1154" i="43"/>
  <c r="H1083" i="43"/>
  <c r="L1017" i="43"/>
  <c r="F213" i="43"/>
  <c r="M147" i="43"/>
  <c r="L1030" i="43"/>
  <c r="H1096" i="43"/>
  <c r="H1136" i="43"/>
  <c r="L1070" i="43"/>
  <c r="F863" i="43"/>
  <c r="M797" i="43"/>
  <c r="L1061" i="43"/>
  <c r="H1127" i="43"/>
  <c r="H1100" i="43"/>
  <c r="L1034" i="43"/>
  <c r="H1112" i="43"/>
  <c r="L1046" i="43"/>
  <c r="H1064" i="43"/>
  <c r="L998" i="43"/>
  <c r="F538" i="43"/>
  <c r="M472" i="43"/>
  <c r="H1165" i="43"/>
  <c r="L1099" i="43"/>
  <c r="H1175" i="43"/>
  <c r="L1109" i="43"/>
  <c r="F83" i="43"/>
  <c r="F18" i="43"/>
  <c r="M17" i="43"/>
  <c r="H1114" i="43"/>
  <c r="L1048" i="43"/>
  <c r="H1184" i="43"/>
  <c r="L1118" i="43"/>
  <c r="L1002" i="43"/>
  <c r="H1068" i="43"/>
  <c r="M667" i="43"/>
  <c r="F733" i="43"/>
  <c r="L1074" i="43"/>
  <c r="H1140" i="43"/>
  <c r="F668" i="43"/>
  <c r="M602" i="43"/>
  <c r="H1078" i="43"/>
  <c r="L1012" i="43"/>
  <c r="M993" i="43"/>
  <c r="F1059" i="43"/>
  <c r="H1097" i="43"/>
  <c r="L1031" i="43"/>
  <c r="K336" i="43"/>
  <c r="N336" i="43" s="1"/>
  <c r="D336" i="18" s="1"/>
  <c r="G369" i="43"/>
  <c r="H1141" i="43"/>
  <c r="L1075" i="43"/>
  <c r="H1223" i="43"/>
  <c r="L1157" i="43"/>
  <c r="H1018" i="43"/>
  <c r="L952" i="43"/>
  <c r="L1023" i="43"/>
  <c r="H1089" i="43"/>
  <c r="L992" i="43"/>
  <c r="H1058" i="43"/>
  <c r="H1183" i="43"/>
  <c r="L1117" i="43"/>
  <c r="M928" i="43"/>
  <c r="F994" i="43"/>
  <c r="H1151" i="43"/>
  <c r="L1085" i="43"/>
  <c r="H1103" i="43"/>
  <c r="L1037" i="43"/>
  <c r="G273" i="43"/>
  <c r="K240" i="43"/>
  <c r="H994" i="43"/>
  <c r="L928" i="43"/>
  <c r="F408" i="43"/>
  <c r="M342" i="43"/>
  <c r="G433" i="43"/>
  <c r="K400" i="43"/>
  <c r="N400" i="43" s="1"/>
  <c r="D400" i="18" s="1"/>
  <c r="G241" i="43"/>
  <c r="K208" i="43"/>
  <c r="N208" i="43" s="1"/>
  <c r="D208" i="18" s="1"/>
  <c r="L1095" i="43"/>
  <c r="H1161" i="43"/>
  <c r="H1120" i="43" l="1"/>
  <c r="L1054" i="43"/>
  <c r="L1080" i="43"/>
  <c r="H1146" i="43"/>
  <c r="H1065" i="43"/>
  <c r="L999" i="43"/>
  <c r="L1010" i="43"/>
  <c r="H1076" i="43"/>
  <c r="G242" i="43"/>
  <c r="K209" i="43"/>
  <c r="N209" i="43" s="1"/>
  <c r="D209" i="18" s="1"/>
  <c r="L1121" i="43"/>
  <c r="H1187" i="43"/>
  <c r="M538" i="43"/>
  <c r="F604" i="43"/>
  <c r="G306" i="43"/>
  <c r="K273" i="43"/>
  <c r="N273" i="43" s="1"/>
  <c r="D273" i="18" s="1"/>
  <c r="G114" i="43"/>
  <c r="K81" i="43"/>
  <c r="N81" i="43" s="1"/>
  <c r="D81" i="18" s="1"/>
  <c r="H1152" i="43"/>
  <c r="L1086" i="43"/>
  <c r="K145" i="43"/>
  <c r="N145" i="43" s="1"/>
  <c r="D145" i="18" s="1"/>
  <c r="G178" i="43"/>
  <c r="H1170" i="43"/>
  <c r="L1104" i="43"/>
  <c r="H1169" i="43"/>
  <c r="L1103" i="43"/>
  <c r="F929" i="43"/>
  <c r="M863" i="43"/>
  <c r="H1203" i="43"/>
  <c r="L1137" i="43"/>
  <c r="H1201" i="43"/>
  <c r="L1135" i="43"/>
  <c r="L1279" i="43"/>
  <c r="H1345" i="43"/>
  <c r="H1173" i="43"/>
  <c r="L1107" i="43"/>
  <c r="H1132" i="43"/>
  <c r="L1066" i="43"/>
  <c r="M733" i="43"/>
  <c r="F799" i="43"/>
  <c r="H1124" i="43"/>
  <c r="L1058" i="43"/>
  <c r="H1129" i="43"/>
  <c r="L1063" i="43"/>
  <c r="H1166" i="43"/>
  <c r="L1100" i="43"/>
  <c r="H1250" i="43"/>
  <c r="L1184" i="43"/>
  <c r="H1162" i="43"/>
  <c r="L1096" i="43"/>
  <c r="H1067" i="43"/>
  <c r="L1001" i="43"/>
  <c r="H1230" i="43"/>
  <c r="L1164" i="43"/>
  <c r="M473" i="43"/>
  <c r="F539" i="43"/>
  <c r="M603" i="43"/>
  <c r="F669" i="43"/>
  <c r="F1125" i="43"/>
  <c r="M1059" i="43"/>
  <c r="H1217" i="43"/>
  <c r="L1151" i="43"/>
  <c r="H1101" i="43"/>
  <c r="L1035" i="43"/>
  <c r="H1193" i="43"/>
  <c r="L1127" i="43"/>
  <c r="H1285" i="43"/>
  <c r="L1219" i="43"/>
  <c r="H1134" i="43"/>
  <c r="L1068" i="43"/>
  <c r="H1060" i="43"/>
  <c r="L994" i="43"/>
  <c r="L1102" i="43"/>
  <c r="H1168" i="43"/>
  <c r="L1078" i="43"/>
  <c r="H1144" i="43"/>
  <c r="K177" i="43"/>
  <c r="G210" i="43"/>
  <c r="M668" i="43"/>
  <c r="F734" i="43"/>
  <c r="G531" i="43"/>
  <c r="K498" i="43"/>
  <c r="H1249" i="43"/>
  <c r="L1183" i="43"/>
  <c r="F214" i="43"/>
  <c r="M148" i="43"/>
  <c r="H1084" i="43"/>
  <c r="L1018" i="43"/>
  <c r="H1180" i="43"/>
  <c r="L1114" i="43"/>
  <c r="K401" i="43"/>
  <c r="N401" i="43" s="1"/>
  <c r="D401" i="18" s="1"/>
  <c r="G434" i="43"/>
  <c r="M798" i="43"/>
  <c r="F864" i="43"/>
  <c r="F1124" i="43"/>
  <c r="M1058" i="43"/>
  <c r="H1115" i="43"/>
  <c r="L1049" i="43"/>
  <c r="H1245" i="43"/>
  <c r="L1179" i="43"/>
  <c r="F1060" i="43"/>
  <c r="M994" i="43"/>
  <c r="F279" i="43"/>
  <c r="M213" i="43"/>
  <c r="F344" i="43"/>
  <c r="M278" i="43"/>
  <c r="H1231" i="43"/>
  <c r="L1165" i="43"/>
  <c r="H1172" i="43"/>
  <c r="L1106" i="43"/>
  <c r="L1064" i="43"/>
  <c r="H1130" i="43"/>
  <c r="H1148" i="43"/>
  <c r="L1082" i="43"/>
  <c r="H1206" i="43"/>
  <c r="L1140" i="43"/>
  <c r="H1177" i="43"/>
  <c r="L1111" i="43"/>
  <c r="H1077" i="43"/>
  <c r="L1011" i="43"/>
  <c r="H1227" i="43"/>
  <c r="L1161" i="43"/>
  <c r="H1289" i="43"/>
  <c r="L1223" i="43"/>
  <c r="F19" i="43"/>
  <c r="M18" i="43"/>
  <c r="F84" i="43"/>
  <c r="H1237" i="43"/>
  <c r="L1171" i="43"/>
  <c r="G82" i="43"/>
  <c r="K49" i="43"/>
  <c r="H1156" i="43"/>
  <c r="L1090" i="43"/>
  <c r="H1108" i="43"/>
  <c r="L1042" i="43"/>
  <c r="L1255" i="43"/>
  <c r="H1321" i="43"/>
  <c r="K241" i="43"/>
  <c r="G274" i="43"/>
  <c r="H1155" i="43"/>
  <c r="L1089" i="43"/>
  <c r="F149" i="43"/>
  <c r="M83" i="43"/>
  <c r="H1149" i="43"/>
  <c r="L1083" i="43"/>
  <c r="H1072" i="43"/>
  <c r="L1006" i="43"/>
  <c r="G596" i="43"/>
  <c r="K563" i="43"/>
  <c r="H1176" i="43"/>
  <c r="L1110" i="43"/>
  <c r="G370" i="43"/>
  <c r="K337" i="43"/>
  <c r="N337" i="43" s="1"/>
  <c r="D337" i="18" s="1"/>
  <c r="G50" i="43"/>
  <c r="G18" i="43"/>
  <c r="K17" i="43"/>
  <c r="N17" i="43" s="1"/>
  <c r="D17" i="18" s="1"/>
  <c r="K305" i="43"/>
  <c r="G338" i="43"/>
  <c r="L1112" i="43"/>
  <c r="H1178" i="43"/>
  <c r="H1125" i="43"/>
  <c r="L1059" i="43"/>
  <c r="L1158" i="43"/>
  <c r="H1224" i="43"/>
  <c r="H1159" i="43"/>
  <c r="L1093" i="43"/>
  <c r="H1128" i="43"/>
  <c r="L1062" i="43"/>
  <c r="L1013" i="43"/>
  <c r="H1079" i="43"/>
  <c r="H1163" i="43"/>
  <c r="L1097" i="43"/>
  <c r="H1251" i="43"/>
  <c r="L1185" i="43"/>
  <c r="H1182" i="43"/>
  <c r="L1116" i="43"/>
  <c r="F409" i="43"/>
  <c r="M343" i="43"/>
  <c r="G146" i="43"/>
  <c r="K113" i="43"/>
  <c r="L1136" i="43"/>
  <c r="H1202" i="43"/>
  <c r="G466" i="43"/>
  <c r="K433" i="43"/>
  <c r="F474" i="43"/>
  <c r="M408" i="43"/>
  <c r="L1141" i="43"/>
  <c r="H1207" i="43"/>
  <c r="H1073" i="43"/>
  <c r="L1007" i="43"/>
  <c r="G402" i="43"/>
  <c r="K369" i="43"/>
  <c r="H1241" i="43"/>
  <c r="L1175" i="43"/>
  <c r="L1220" i="43"/>
  <c r="H1286" i="43"/>
  <c r="L1188" i="43"/>
  <c r="H1254" i="43"/>
  <c r="L1160" i="43"/>
  <c r="H1226" i="43"/>
  <c r="H1131" i="43" l="1"/>
  <c r="L1065" i="43"/>
  <c r="L1146" i="43"/>
  <c r="H1212" i="43"/>
  <c r="H1186" i="43"/>
  <c r="L1120" i="43"/>
  <c r="F930" i="43"/>
  <c r="M864" i="43"/>
  <c r="H1293" i="43"/>
  <c r="L1227" i="43"/>
  <c r="H1181" i="43"/>
  <c r="L1115" i="43"/>
  <c r="H1311" i="43"/>
  <c r="L1245" i="43"/>
  <c r="L1162" i="43"/>
  <c r="H1228" i="43"/>
  <c r="H1244" i="43"/>
  <c r="L1178" i="43"/>
  <c r="H1200" i="43"/>
  <c r="L1134" i="43"/>
  <c r="L1148" i="43"/>
  <c r="H1214" i="43"/>
  <c r="H1292" i="43"/>
  <c r="L1226" i="43"/>
  <c r="H1246" i="43"/>
  <c r="L1180" i="43"/>
  <c r="L1182" i="43"/>
  <c r="H1248" i="43"/>
  <c r="G83" i="43"/>
  <c r="K50" i="43"/>
  <c r="H1238" i="43"/>
  <c r="L1172" i="43"/>
  <c r="H1167" i="43"/>
  <c r="L1101" i="43"/>
  <c r="K114" i="43"/>
  <c r="G147" i="43"/>
  <c r="H1225" i="43"/>
  <c r="L1159" i="43"/>
  <c r="H1268" i="43"/>
  <c r="L1202" i="43"/>
  <c r="L1203" i="43"/>
  <c r="H1269" i="43"/>
  <c r="F1190" i="43"/>
  <c r="M1124" i="43"/>
  <c r="G499" i="43"/>
  <c r="K466" i="43"/>
  <c r="N466" i="43" s="1"/>
  <c r="D466" i="18" s="1"/>
  <c r="K146" i="43"/>
  <c r="N146" i="43" s="1"/>
  <c r="D146" i="18" s="1"/>
  <c r="G179" i="43"/>
  <c r="M409" i="43"/>
  <c r="F475" i="43"/>
  <c r="L1217" i="43"/>
  <c r="H1283" i="43"/>
  <c r="K306" i="43"/>
  <c r="G339" i="43"/>
  <c r="H1222" i="43"/>
  <c r="L1156" i="43"/>
  <c r="F670" i="43"/>
  <c r="M604" i="43"/>
  <c r="H1143" i="43"/>
  <c r="L1077" i="43"/>
  <c r="H1243" i="43"/>
  <c r="L1177" i="43"/>
  <c r="G211" i="43"/>
  <c r="K178" i="43"/>
  <c r="H1174" i="43"/>
  <c r="L1108" i="43"/>
  <c r="H1259" i="43"/>
  <c r="L1193" i="43"/>
  <c r="L1237" i="43"/>
  <c r="H1303" i="43"/>
  <c r="M1125" i="43"/>
  <c r="F1191" i="43"/>
  <c r="L1132" i="43"/>
  <c r="H1198" i="43"/>
  <c r="H1133" i="43"/>
  <c r="L1067" i="43"/>
  <c r="L1125" i="43"/>
  <c r="H1191" i="43"/>
  <c r="L1206" i="43"/>
  <c r="H1272" i="43"/>
  <c r="H1352" i="43"/>
  <c r="L1286" i="43"/>
  <c r="M214" i="43"/>
  <c r="F280" i="43"/>
  <c r="K370" i="43"/>
  <c r="G403" i="43"/>
  <c r="F150" i="43"/>
  <c r="M84" i="43"/>
  <c r="F410" i="43"/>
  <c r="M344" i="43"/>
  <c r="K531" i="43"/>
  <c r="N531" i="43" s="1"/>
  <c r="D531" i="18" s="1"/>
  <c r="G564" i="43"/>
  <c r="F735" i="43"/>
  <c r="M669" i="43"/>
  <c r="H1253" i="43"/>
  <c r="L1187" i="43"/>
  <c r="H1126" i="43"/>
  <c r="L1060" i="43"/>
  <c r="G467" i="43"/>
  <c r="K434" i="43"/>
  <c r="G371" i="43"/>
  <c r="K338" i="43"/>
  <c r="N338" i="43" s="1"/>
  <c r="D338" i="18" s="1"/>
  <c r="L1129" i="43"/>
  <c r="H1195" i="43"/>
  <c r="L1124" i="43"/>
  <c r="H1190" i="43"/>
  <c r="L1254" i="43"/>
  <c r="H1320" i="43"/>
  <c r="F865" i="43"/>
  <c r="M799" i="43"/>
  <c r="H1307" i="43"/>
  <c r="L1241" i="43"/>
  <c r="H1145" i="43"/>
  <c r="L1079" i="43"/>
  <c r="K402" i="43"/>
  <c r="N402" i="43" s="1"/>
  <c r="D402" i="18" s="1"/>
  <c r="G435" i="43"/>
  <c r="G629" i="43"/>
  <c r="K596" i="43"/>
  <c r="N596" i="43" s="1"/>
  <c r="D596" i="18" s="1"/>
  <c r="F800" i="43"/>
  <c r="M734" i="43"/>
  <c r="H1239" i="43"/>
  <c r="L1173" i="43"/>
  <c r="F215" i="43"/>
  <c r="M149" i="43"/>
  <c r="L1224" i="43"/>
  <c r="H1290" i="43"/>
  <c r="F540" i="43"/>
  <c r="M474" i="43"/>
  <c r="M929" i="43"/>
  <c r="F995" i="43"/>
  <c r="L1321" i="43"/>
  <c r="H1387" i="43"/>
  <c r="L1170" i="43"/>
  <c r="H1236" i="43"/>
  <c r="G115" i="43"/>
  <c r="K82" i="43"/>
  <c r="N82" i="43" s="1"/>
  <c r="D82" i="18" s="1"/>
  <c r="M539" i="43"/>
  <c r="F605" i="43"/>
  <c r="L1345" i="43"/>
  <c r="H1411" i="43"/>
  <c r="H1221" i="43"/>
  <c r="L1155" i="43"/>
  <c r="H1316" i="43"/>
  <c r="L1250" i="43"/>
  <c r="H1317" i="43"/>
  <c r="L1251" i="43"/>
  <c r="H1139" i="43"/>
  <c r="L1073" i="43"/>
  <c r="H1138" i="43"/>
  <c r="L1072" i="43"/>
  <c r="K210" i="43"/>
  <c r="N210" i="43" s="1"/>
  <c r="D210" i="18" s="1"/>
  <c r="G243" i="43"/>
  <c r="K242" i="43"/>
  <c r="G275" i="43"/>
  <c r="G307" i="43"/>
  <c r="K274" i="43"/>
  <c r="N274" i="43" s="1"/>
  <c r="D274" i="18" s="1"/>
  <c r="H1235" i="43"/>
  <c r="L1169" i="43"/>
  <c r="L1166" i="43"/>
  <c r="H1232" i="43"/>
  <c r="H1297" i="43"/>
  <c r="L1231" i="43"/>
  <c r="L1176" i="43"/>
  <c r="H1242" i="43"/>
  <c r="F345" i="43"/>
  <c r="M279" i="43"/>
  <c r="L1207" i="43"/>
  <c r="H1273" i="43"/>
  <c r="H1355" i="43"/>
  <c r="L1289" i="43"/>
  <c r="F1126" i="43"/>
  <c r="M1060" i="43"/>
  <c r="H1142" i="43"/>
  <c r="L1076" i="43"/>
  <c r="H1234" i="43"/>
  <c r="L1168" i="43"/>
  <c r="L1285" i="43"/>
  <c r="H1351" i="43"/>
  <c r="H1196" i="43"/>
  <c r="L1130" i="43"/>
  <c r="L1152" i="43"/>
  <c r="H1218" i="43"/>
  <c r="G51" i="43"/>
  <c r="G19" i="43"/>
  <c r="K18" i="43"/>
  <c r="N18" i="43" s="1"/>
  <c r="D18" i="18" s="1"/>
  <c r="H1150" i="43"/>
  <c r="L1084" i="43"/>
  <c r="H1315" i="43"/>
  <c r="L1249" i="43"/>
  <c r="L1163" i="43"/>
  <c r="H1229" i="43"/>
  <c r="F20" i="43"/>
  <c r="M19" i="43"/>
  <c r="F85" i="43"/>
  <c r="L1128" i="43"/>
  <c r="H1194" i="43"/>
  <c r="L1149" i="43"/>
  <c r="H1215" i="43"/>
  <c r="H1210" i="43"/>
  <c r="L1144" i="43"/>
  <c r="L1230" i="43"/>
  <c r="H1296" i="43"/>
  <c r="H1267" i="43"/>
  <c r="L1201" i="43"/>
  <c r="L1186" i="43" l="1"/>
  <c r="H1252" i="43"/>
  <c r="H1278" i="43"/>
  <c r="L1212" i="43"/>
  <c r="H1197" i="43"/>
  <c r="L1131" i="43"/>
  <c r="H1298" i="43"/>
  <c r="L1232" i="43"/>
  <c r="F671" i="43"/>
  <c r="M605" i="43"/>
  <c r="H1314" i="43"/>
  <c r="L1248" i="43"/>
  <c r="H1301" i="43"/>
  <c r="L1235" i="43"/>
  <c r="G276" i="43"/>
  <c r="K243" i="43"/>
  <c r="M735" i="43"/>
  <c r="F801" i="43"/>
  <c r="K179" i="43"/>
  <c r="G212" i="43"/>
  <c r="H1280" i="43"/>
  <c r="L1214" i="43"/>
  <c r="H1312" i="43"/>
  <c r="L1246" i="43"/>
  <c r="H1373" i="43"/>
  <c r="L1307" i="43"/>
  <c r="K51" i="43"/>
  <c r="G84" i="43"/>
  <c r="F541" i="43"/>
  <c r="M475" i="43"/>
  <c r="G468" i="43"/>
  <c r="K435" i="43"/>
  <c r="H1369" i="43"/>
  <c r="L1303" i="43"/>
  <c r="G340" i="43"/>
  <c r="K307" i="43"/>
  <c r="H1453" i="43"/>
  <c r="L1387" i="43"/>
  <c r="F931" i="43"/>
  <c r="M865" i="43"/>
  <c r="H1386" i="43"/>
  <c r="L1320" i="43"/>
  <c r="L1352" i="43"/>
  <c r="H1418" i="43"/>
  <c r="H1209" i="43"/>
  <c r="L1143" i="43"/>
  <c r="H1291" i="43"/>
  <c r="L1225" i="43"/>
  <c r="H1294" i="43"/>
  <c r="L1228" i="43"/>
  <c r="H1284" i="43"/>
  <c r="L1218" i="43"/>
  <c r="K564" i="43"/>
  <c r="G597" i="43"/>
  <c r="F1256" i="43"/>
  <c r="M1190" i="43"/>
  <c r="L1200" i="43"/>
  <c r="H1266" i="43"/>
  <c r="F86" i="43"/>
  <c r="F21" i="43"/>
  <c r="M20" i="43"/>
  <c r="G180" i="43"/>
  <c r="K147" i="43"/>
  <c r="N147" i="43" s="1"/>
  <c r="D147" i="18" s="1"/>
  <c r="K629" i="43"/>
  <c r="G662" i="43"/>
  <c r="G116" i="43"/>
  <c r="K83" i="43"/>
  <c r="N83" i="43" s="1"/>
  <c r="D83" i="18" s="1"/>
  <c r="H1333" i="43"/>
  <c r="L1267" i="43"/>
  <c r="L1296" i="43"/>
  <c r="H1362" i="43"/>
  <c r="G532" i="43"/>
  <c r="K499" i="43"/>
  <c r="L1292" i="43"/>
  <c r="H1358" i="43"/>
  <c r="H1256" i="43"/>
  <c r="L1190" i="43"/>
  <c r="L1244" i="43"/>
  <c r="H1310" i="43"/>
  <c r="M670" i="43"/>
  <c r="F736" i="43"/>
  <c r="M410" i="43"/>
  <c r="F476" i="43"/>
  <c r="H1309" i="43"/>
  <c r="L1243" i="43"/>
  <c r="M1126" i="43"/>
  <c r="F1192" i="43"/>
  <c r="H1377" i="43"/>
  <c r="L1311" i="43"/>
  <c r="K115" i="43"/>
  <c r="G148" i="43"/>
  <c r="H1325" i="43"/>
  <c r="L1259" i="43"/>
  <c r="K275" i="43"/>
  <c r="N275" i="43" s="1"/>
  <c r="D275" i="18" s="1"/>
  <c r="G308" i="43"/>
  <c r="L1268" i="43"/>
  <c r="H1334" i="43"/>
  <c r="F606" i="43"/>
  <c r="M540" i="43"/>
  <c r="L1272" i="43"/>
  <c r="H1338" i="43"/>
  <c r="H1288" i="43"/>
  <c r="L1222" i="43"/>
  <c r="L1196" i="43"/>
  <c r="H1262" i="43"/>
  <c r="K211" i="43"/>
  <c r="N211" i="43" s="1"/>
  <c r="D211" i="18" s="1"/>
  <c r="G244" i="43"/>
  <c r="L1142" i="43"/>
  <c r="H1208" i="43"/>
  <c r="H1421" i="43"/>
  <c r="L1355" i="43"/>
  <c r="F281" i="43"/>
  <c r="M215" i="43"/>
  <c r="H1382" i="43"/>
  <c r="L1316" i="43"/>
  <c r="H1247" i="43"/>
  <c r="L1181" i="43"/>
  <c r="H1302" i="43"/>
  <c r="L1236" i="43"/>
  <c r="H1260" i="43"/>
  <c r="L1194" i="43"/>
  <c r="H1204" i="43"/>
  <c r="L1138" i="43"/>
  <c r="H1383" i="43"/>
  <c r="L1317" i="43"/>
  <c r="K371" i="43"/>
  <c r="G404" i="43"/>
  <c r="M345" i="43"/>
  <c r="F411" i="43"/>
  <c r="H1308" i="43"/>
  <c r="L1242" i="43"/>
  <c r="H1305" i="43"/>
  <c r="L1239" i="43"/>
  <c r="H1199" i="43"/>
  <c r="L1133" i="43"/>
  <c r="G372" i="43"/>
  <c r="K339" i="43"/>
  <c r="N339" i="43" s="1"/>
  <c r="D339" i="18" s="1"/>
  <c r="H1233" i="43"/>
  <c r="L1167" i="43"/>
  <c r="L1145" i="43"/>
  <c r="H1211" i="43"/>
  <c r="H1417" i="43"/>
  <c r="L1351" i="43"/>
  <c r="H1240" i="43"/>
  <c r="L1174" i="43"/>
  <c r="H1276" i="43"/>
  <c r="L1210" i="43"/>
  <c r="F1061" i="43"/>
  <c r="M995" i="43"/>
  <c r="H1356" i="43"/>
  <c r="L1290" i="43"/>
  <c r="H1295" i="43"/>
  <c r="L1229" i="43"/>
  <c r="H1339" i="43"/>
  <c r="L1273" i="43"/>
  <c r="H1257" i="43"/>
  <c r="L1191" i="43"/>
  <c r="H1381" i="43"/>
  <c r="L1315" i="43"/>
  <c r="G500" i="43"/>
  <c r="K467" i="43"/>
  <c r="N467" i="43" s="1"/>
  <c r="D467" i="18" s="1"/>
  <c r="H1216" i="43"/>
  <c r="L1150" i="43"/>
  <c r="L1221" i="43"/>
  <c r="H1287" i="43"/>
  <c r="H1192" i="43"/>
  <c r="L1126" i="43"/>
  <c r="H1264" i="43"/>
  <c r="L1198" i="43"/>
  <c r="L1293" i="43"/>
  <c r="H1359" i="43"/>
  <c r="F216" i="43"/>
  <c r="M150" i="43"/>
  <c r="L1234" i="43"/>
  <c r="H1300" i="43"/>
  <c r="L1269" i="43"/>
  <c r="H1335" i="43"/>
  <c r="H1281" i="43"/>
  <c r="L1215" i="43"/>
  <c r="F151" i="43"/>
  <c r="M85" i="43"/>
  <c r="H1261" i="43"/>
  <c r="L1195" i="43"/>
  <c r="H1205" i="43"/>
  <c r="L1139" i="43"/>
  <c r="H1477" i="43"/>
  <c r="L1411" i="43"/>
  <c r="F866" i="43"/>
  <c r="M800" i="43"/>
  <c r="H1349" i="43"/>
  <c r="L1283" i="43"/>
  <c r="H1304" i="43"/>
  <c r="L1238" i="43"/>
  <c r="G436" i="43"/>
  <c r="K403" i="43"/>
  <c r="N403" i="43" s="1"/>
  <c r="D403" i="18" s="1"/>
  <c r="M280" i="43"/>
  <c r="F346" i="43"/>
  <c r="G20" i="43"/>
  <c r="G52" i="43"/>
  <c r="K19" i="43"/>
  <c r="N19" i="43" s="1"/>
  <c r="D19" i="18" s="1"/>
  <c r="L1297" i="43"/>
  <c r="H1363" i="43"/>
  <c r="H1319" i="43"/>
  <c r="L1253" i="43"/>
  <c r="F1257" i="43"/>
  <c r="M1191" i="43"/>
  <c r="F996" i="43"/>
  <c r="M930" i="43"/>
  <c r="L1197" i="43" l="1"/>
  <c r="H1263" i="43"/>
  <c r="L1278" i="43"/>
  <c r="H1344" i="43"/>
  <c r="H1318" i="43"/>
  <c r="L1252" i="43"/>
  <c r="H1277" i="43"/>
  <c r="L1211" i="43"/>
  <c r="H1448" i="43"/>
  <c r="L1382" i="43"/>
  <c r="L1325" i="43"/>
  <c r="H1391" i="43"/>
  <c r="G565" i="43"/>
  <c r="K532" i="43"/>
  <c r="N532" i="43" s="1"/>
  <c r="D532" i="18" s="1"/>
  <c r="H1360" i="43"/>
  <c r="L1294" i="43"/>
  <c r="H1439" i="43"/>
  <c r="L1373" i="43"/>
  <c r="H1385" i="43"/>
  <c r="L1319" i="43"/>
  <c r="H1428" i="43"/>
  <c r="L1362" i="43"/>
  <c r="H1299" i="43"/>
  <c r="L1233" i="43"/>
  <c r="L1261" i="43"/>
  <c r="H1327" i="43"/>
  <c r="L1417" i="43"/>
  <c r="H1483" i="43"/>
  <c r="H1399" i="43"/>
  <c r="L1333" i="43"/>
  <c r="H1275" i="43"/>
  <c r="L1209" i="43"/>
  <c r="H1346" i="43"/>
  <c r="L1280" i="43"/>
  <c r="H1322" i="43"/>
  <c r="L1256" i="43"/>
  <c r="H1282" i="43"/>
  <c r="L1216" i="43"/>
  <c r="H1323" i="43"/>
  <c r="L1257" i="43"/>
  <c r="H1484" i="43"/>
  <c r="L1418" i="43"/>
  <c r="K84" i="43"/>
  <c r="N84" i="43" s="1"/>
  <c r="D84" i="18" s="1"/>
  <c r="G117" i="43"/>
  <c r="H1443" i="43"/>
  <c r="L1377" i="43"/>
  <c r="G149" i="43"/>
  <c r="K116" i="43"/>
  <c r="H1361" i="43"/>
  <c r="L1295" i="43"/>
  <c r="G341" i="43"/>
  <c r="K308" i="43"/>
  <c r="H1271" i="43"/>
  <c r="L1205" i="43"/>
  <c r="H1265" i="43"/>
  <c r="L1199" i="43"/>
  <c r="H1487" i="43"/>
  <c r="L1421" i="43"/>
  <c r="H1452" i="43"/>
  <c r="L1386" i="43"/>
  <c r="H1375" i="43"/>
  <c r="L1309" i="43"/>
  <c r="K180" i="43"/>
  <c r="G213" i="43"/>
  <c r="F997" i="43"/>
  <c r="M931" i="43"/>
  <c r="K276" i="43"/>
  <c r="N276" i="43" s="1"/>
  <c r="D276" i="18" s="1"/>
  <c r="G309" i="43"/>
  <c r="L1334" i="43"/>
  <c r="H1400" i="43"/>
  <c r="H1350" i="43"/>
  <c r="L1284" i="43"/>
  <c r="L1312" i="43"/>
  <c r="H1378" i="43"/>
  <c r="G277" i="43"/>
  <c r="K244" i="43"/>
  <c r="M541" i="43"/>
  <c r="F607" i="43"/>
  <c r="K500" i="43"/>
  <c r="G533" i="43"/>
  <c r="G405" i="43"/>
  <c r="K372" i="43"/>
  <c r="F217" i="43"/>
  <c r="M151" i="43"/>
  <c r="H1354" i="43"/>
  <c r="L1288" i="43"/>
  <c r="M476" i="43"/>
  <c r="F542" i="43"/>
  <c r="F87" i="43"/>
  <c r="F22" i="43"/>
  <c r="M21" i="43"/>
  <c r="H1519" i="43"/>
  <c r="L1453" i="43"/>
  <c r="L1301" i="43"/>
  <c r="H1367" i="43"/>
  <c r="H1313" i="43"/>
  <c r="L1247" i="43"/>
  <c r="K148" i="43"/>
  <c r="N148" i="43" s="1"/>
  <c r="D148" i="18" s="1"/>
  <c r="G181" i="43"/>
  <c r="H1429" i="43"/>
  <c r="L1363" i="43"/>
  <c r="L1335" i="43"/>
  <c r="H1401" i="43"/>
  <c r="G245" i="43"/>
  <c r="K212" i="43"/>
  <c r="N212" i="43" s="1"/>
  <c r="D212" i="18" s="1"/>
  <c r="M1061" i="43"/>
  <c r="F1127" i="43"/>
  <c r="M86" i="43"/>
  <c r="F152" i="43"/>
  <c r="M996" i="43"/>
  <c r="F1062" i="43"/>
  <c r="G21" i="43"/>
  <c r="K20" i="43"/>
  <c r="N20" i="43" s="1"/>
  <c r="D20" i="18" s="1"/>
  <c r="G53" i="43"/>
  <c r="F412" i="43"/>
  <c r="M346" i="43"/>
  <c r="F867" i="43"/>
  <c r="M801" i="43"/>
  <c r="F477" i="43"/>
  <c r="M411" i="43"/>
  <c r="G469" i="43"/>
  <c r="K436" i="43"/>
  <c r="H1449" i="43"/>
  <c r="L1383" i="43"/>
  <c r="H1332" i="43"/>
  <c r="L1266" i="43"/>
  <c r="K340" i="43"/>
  <c r="N340" i="43" s="1"/>
  <c r="D340" i="18" s="1"/>
  <c r="G373" i="43"/>
  <c r="H1380" i="43"/>
  <c r="L1314" i="43"/>
  <c r="F1323" i="43"/>
  <c r="M1257" i="43"/>
  <c r="H1447" i="43"/>
  <c r="L1381" i="43"/>
  <c r="F347" i="43"/>
  <c r="M281" i="43"/>
  <c r="H1404" i="43"/>
  <c r="L1338" i="43"/>
  <c r="F802" i="43"/>
  <c r="M736" i="43"/>
  <c r="H1424" i="43"/>
  <c r="L1358" i="43"/>
  <c r="H1347" i="43"/>
  <c r="L1281" i="43"/>
  <c r="H1405" i="43"/>
  <c r="L1339" i="43"/>
  <c r="H1274" i="43"/>
  <c r="L1208" i="43"/>
  <c r="H1366" i="43"/>
  <c r="L1300" i="43"/>
  <c r="F1258" i="43"/>
  <c r="M1192" i="43"/>
  <c r="H1422" i="43"/>
  <c r="L1356" i="43"/>
  <c r="H1270" i="43"/>
  <c r="L1204" i="43"/>
  <c r="L1369" i="43"/>
  <c r="H1435" i="43"/>
  <c r="M671" i="43"/>
  <c r="F737" i="43"/>
  <c r="H1368" i="43"/>
  <c r="L1302" i="43"/>
  <c r="K52" i="43"/>
  <c r="G85" i="43"/>
  <c r="L1305" i="43"/>
  <c r="H1371" i="43"/>
  <c r="L1308" i="43"/>
  <c r="H1374" i="43"/>
  <c r="K662" i="43"/>
  <c r="N662" i="43" s="1"/>
  <c r="D662" i="18" s="1"/>
  <c r="G695" i="43"/>
  <c r="H1328" i="43"/>
  <c r="L1262" i="43"/>
  <c r="M216" i="43"/>
  <c r="F282" i="43"/>
  <c r="L1359" i="43"/>
  <c r="H1425" i="43"/>
  <c r="H1330" i="43"/>
  <c r="L1264" i="43"/>
  <c r="H1376" i="43"/>
  <c r="L1310" i="43"/>
  <c r="F1322" i="43"/>
  <c r="M1256" i="43"/>
  <c r="H1543" i="43"/>
  <c r="L1477" i="43"/>
  <c r="H1357" i="43"/>
  <c r="L1291" i="43"/>
  <c r="G437" i="43"/>
  <c r="K404" i="43"/>
  <c r="N404" i="43" s="1"/>
  <c r="D404" i="18" s="1"/>
  <c r="L1304" i="43"/>
  <c r="H1370" i="43"/>
  <c r="H1342" i="43"/>
  <c r="L1276" i="43"/>
  <c r="H1415" i="43"/>
  <c r="L1349" i="43"/>
  <c r="H1258" i="43"/>
  <c r="L1192" i="43"/>
  <c r="H1306" i="43"/>
  <c r="L1240" i="43"/>
  <c r="F932" i="43"/>
  <c r="M866" i="43"/>
  <c r="H1353" i="43"/>
  <c r="L1287" i="43"/>
  <c r="H1326" i="43"/>
  <c r="L1260" i="43"/>
  <c r="M606" i="43"/>
  <c r="F672" i="43"/>
  <c r="G630" i="43"/>
  <c r="K597" i="43"/>
  <c r="N597" i="43" s="1"/>
  <c r="D597" i="18" s="1"/>
  <c r="K468" i="43"/>
  <c r="N468" i="43" s="1"/>
  <c r="D468" i="18" s="1"/>
  <c r="G501" i="43"/>
  <c r="L1298" i="43"/>
  <c r="H1364" i="43"/>
  <c r="L1318" i="43" l="1"/>
  <c r="H1384" i="43"/>
  <c r="H1410" i="43"/>
  <c r="L1344" i="43"/>
  <c r="H1329" i="43"/>
  <c r="L1263" i="43"/>
  <c r="L1385" i="43"/>
  <c r="H1451" i="43"/>
  <c r="M282" i="43"/>
  <c r="F348" i="43"/>
  <c r="M217" i="43"/>
  <c r="F283" i="43"/>
  <c r="H1441" i="43"/>
  <c r="L1375" i="43"/>
  <c r="H1505" i="43"/>
  <c r="L1439" i="43"/>
  <c r="L1361" i="43"/>
  <c r="H1427" i="43"/>
  <c r="K117" i="43"/>
  <c r="G150" i="43"/>
  <c r="H1372" i="43"/>
  <c r="L1306" i="43"/>
  <c r="H1446" i="43"/>
  <c r="L1380" i="43"/>
  <c r="K245" i="43"/>
  <c r="G278" i="43"/>
  <c r="H1426" i="43"/>
  <c r="L1360" i="43"/>
  <c r="F738" i="43"/>
  <c r="M672" i="43"/>
  <c r="F153" i="43"/>
  <c r="M87" i="43"/>
  <c r="L1368" i="43"/>
  <c r="H1434" i="43"/>
  <c r="H1442" i="43"/>
  <c r="L1376" i="43"/>
  <c r="H1408" i="43"/>
  <c r="L1342" i="43"/>
  <c r="K565" i="43"/>
  <c r="G598" i="43"/>
  <c r="H1393" i="43"/>
  <c r="L1327" i="43"/>
  <c r="H1494" i="43"/>
  <c r="L1428" i="43"/>
  <c r="G246" i="43"/>
  <c r="K213" i="43"/>
  <c r="N213" i="43" s="1"/>
  <c r="D213" i="18" s="1"/>
  <c r="M1258" i="43"/>
  <c r="F1324" i="43"/>
  <c r="M607" i="43"/>
  <c r="F673" i="43"/>
  <c r="H1553" i="43"/>
  <c r="L1487" i="43"/>
  <c r="L1322" i="43"/>
  <c r="H1388" i="43"/>
  <c r="H1457" i="43"/>
  <c r="L1391" i="43"/>
  <c r="H1470" i="43"/>
  <c r="L1404" i="43"/>
  <c r="H1501" i="43"/>
  <c r="L1435" i="43"/>
  <c r="M542" i="43"/>
  <c r="F608" i="43"/>
  <c r="F218" i="43"/>
  <c r="M152" i="43"/>
  <c r="M932" i="43"/>
  <c r="F998" i="43"/>
  <c r="H1398" i="43"/>
  <c r="L1332" i="43"/>
  <c r="H1467" i="43"/>
  <c r="L1401" i="43"/>
  <c r="H1495" i="43"/>
  <c r="L1429" i="43"/>
  <c r="H1365" i="43"/>
  <c r="L1299" i="43"/>
  <c r="G214" i="43"/>
  <c r="K181" i="43"/>
  <c r="L1265" i="43"/>
  <c r="H1331" i="43"/>
  <c r="H1412" i="43"/>
  <c r="L1346" i="43"/>
  <c r="H1416" i="43"/>
  <c r="L1350" i="43"/>
  <c r="M1322" i="43"/>
  <c r="F1388" i="43"/>
  <c r="H1392" i="43"/>
  <c r="L1326" i="43"/>
  <c r="F88" i="43"/>
  <c r="F23" i="43"/>
  <c r="M22" i="43"/>
  <c r="H1396" i="43"/>
  <c r="L1330" i="43"/>
  <c r="F1063" i="43"/>
  <c r="M997" i="43"/>
  <c r="G406" i="43"/>
  <c r="K373" i="43"/>
  <c r="H1481" i="43"/>
  <c r="L1415" i="43"/>
  <c r="G310" i="43"/>
  <c r="K277" i="43"/>
  <c r="N277" i="43" s="1"/>
  <c r="D277" i="18" s="1"/>
  <c r="H1514" i="43"/>
  <c r="L1448" i="43"/>
  <c r="F803" i="43"/>
  <c r="M737" i="43"/>
  <c r="F1389" i="43"/>
  <c r="M1323" i="43"/>
  <c r="H1491" i="43"/>
  <c r="L1425" i="43"/>
  <c r="H1324" i="43"/>
  <c r="L1258" i="43"/>
  <c r="K405" i="43"/>
  <c r="N405" i="43" s="1"/>
  <c r="D405" i="18" s="1"/>
  <c r="G438" i="43"/>
  <c r="G470" i="43"/>
  <c r="K437" i="43"/>
  <c r="L1371" i="43"/>
  <c r="H1437" i="43"/>
  <c r="H1341" i="43"/>
  <c r="L1275" i="43"/>
  <c r="F1128" i="43"/>
  <c r="M1062" i="43"/>
  <c r="K149" i="43"/>
  <c r="N149" i="43" s="1"/>
  <c r="D149" i="18" s="1"/>
  <c r="G182" i="43"/>
  <c r="H1419" i="43"/>
  <c r="L1353" i="43"/>
  <c r="L1443" i="43"/>
  <c r="H1509" i="43"/>
  <c r="H1336" i="43"/>
  <c r="L1270" i="43"/>
  <c r="H1488" i="43"/>
  <c r="L1422" i="43"/>
  <c r="F1193" i="43"/>
  <c r="M1127" i="43"/>
  <c r="H1389" i="43"/>
  <c r="L1323" i="43"/>
  <c r="L1282" i="43"/>
  <c r="H1348" i="43"/>
  <c r="H1471" i="43"/>
  <c r="L1405" i="43"/>
  <c r="H1423" i="43"/>
  <c r="L1357" i="43"/>
  <c r="H1490" i="43"/>
  <c r="L1424" i="43"/>
  <c r="F933" i="43"/>
  <c r="M867" i="43"/>
  <c r="H1379" i="43"/>
  <c r="L1313" i="43"/>
  <c r="H1337" i="43"/>
  <c r="L1271" i="43"/>
  <c r="H1466" i="43"/>
  <c r="L1400" i="43"/>
  <c r="M347" i="43"/>
  <c r="F413" i="43"/>
  <c r="L1354" i="43"/>
  <c r="H1420" i="43"/>
  <c r="H1550" i="43"/>
  <c r="L1484" i="43"/>
  <c r="H1432" i="43"/>
  <c r="L1366" i="43"/>
  <c r="G118" i="43"/>
  <c r="K85" i="43"/>
  <c r="N85" i="43" s="1"/>
  <c r="D85" i="18" s="1"/>
  <c r="H1433" i="43"/>
  <c r="L1367" i="43"/>
  <c r="L1378" i="43"/>
  <c r="H1444" i="43"/>
  <c r="L1399" i="43"/>
  <c r="H1465" i="43"/>
  <c r="H1343" i="43"/>
  <c r="L1277" i="43"/>
  <c r="G86" i="43"/>
  <c r="K53" i="43"/>
  <c r="H1585" i="43"/>
  <c r="L1519" i="43"/>
  <c r="G22" i="43"/>
  <c r="G54" i="43"/>
  <c r="K21" i="43"/>
  <c r="N21" i="43" s="1"/>
  <c r="D21" i="18" s="1"/>
  <c r="K309" i="43"/>
  <c r="G342" i="43"/>
  <c r="H1513" i="43"/>
  <c r="L1447" i="43"/>
  <c r="H1518" i="43"/>
  <c r="L1452" i="43"/>
  <c r="H1394" i="43"/>
  <c r="L1328" i="43"/>
  <c r="K533" i="43"/>
  <c r="N533" i="43" s="1"/>
  <c r="D533" i="18" s="1"/>
  <c r="G566" i="43"/>
  <c r="H1340" i="43"/>
  <c r="L1274" i="43"/>
  <c r="H1515" i="43"/>
  <c r="L1449" i="43"/>
  <c r="H1436" i="43"/>
  <c r="L1370" i="43"/>
  <c r="G728" i="43"/>
  <c r="K695" i="43"/>
  <c r="K469" i="43"/>
  <c r="N469" i="43" s="1"/>
  <c r="D469" i="18" s="1"/>
  <c r="G502" i="43"/>
  <c r="H1430" i="43"/>
  <c r="L1364" i="43"/>
  <c r="H1440" i="43"/>
  <c r="L1374" i="43"/>
  <c r="H1413" i="43"/>
  <c r="L1347" i="43"/>
  <c r="M477" i="43"/>
  <c r="F543" i="43"/>
  <c r="K501" i="43"/>
  <c r="G534" i="43"/>
  <c r="G663" i="43"/>
  <c r="K630" i="43"/>
  <c r="H1609" i="43"/>
  <c r="L1543" i="43"/>
  <c r="F868" i="43"/>
  <c r="M802" i="43"/>
  <c r="F478" i="43"/>
  <c r="M412" i="43"/>
  <c r="G374" i="43"/>
  <c r="K341" i="43"/>
  <c r="N341" i="43" s="1"/>
  <c r="D341" i="18" s="1"/>
  <c r="H1549" i="43"/>
  <c r="L1483" i="43"/>
  <c r="H1395" i="43" l="1"/>
  <c r="L1329" i="43"/>
  <c r="L1410" i="43"/>
  <c r="H1476" i="43"/>
  <c r="L1384" i="43"/>
  <c r="H1450" i="43"/>
  <c r="L1372" i="43"/>
  <c r="H1438" i="43"/>
  <c r="H1561" i="43"/>
  <c r="L1495" i="43"/>
  <c r="L1423" i="43"/>
  <c r="H1489" i="43"/>
  <c r="L1467" i="43"/>
  <c r="H1533" i="43"/>
  <c r="H1459" i="43"/>
  <c r="L1393" i="43"/>
  <c r="K118" i="43"/>
  <c r="G151" i="43"/>
  <c r="M218" i="43"/>
  <c r="F284" i="43"/>
  <c r="G279" i="43"/>
  <c r="K246" i="43"/>
  <c r="L1494" i="43"/>
  <c r="H1560" i="43"/>
  <c r="G631" i="43"/>
  <c r="K598" i="43"/>
  <c r="N598" i="43" s="1"/>
  <c r="D598" i="18" s="1"/>
  <c r="L1336" i="43"/>
  <c r="H1402" i="43"/>
  <c r="F1455" i="43"/>
  <c r="M1389" i="43"/>
  <c r="L1501" i="43"/>
  <c r="H1567" i="43"/>
  <c r="H1474" i="43"/>
  <c r="L1408" i="43"/>
  <c r="H1575" i="43"/>
  <c r="L1509" i="43"/>
  <c r="H1478" i="43"/>
  <c r="L1412" i="43"/>
  <c r="H1464" i="43"/>
  <c r="L1398" i="43"/>
  <c r="F609" i="43"/>
  <c r="M543" i="43"/>
  <c r="M1193" i="43"/>
  <c r="F1259" i="43"/>
  <c r="G375" i="43"/>
  <c r="K342" i="43"/>
  <c r="N342" i="43" s="1"/>
  <c r="D342" i="18" s="1"/>
  <c r="L1427" i="43"/>
  <c r="H1493" i="43"/>
  <c r="H1532" i="43"/>
  <c r="L1466" i="43"/>
  <c r="M803" i="43"/>
  <c r="F869" i="43"/>
  <c r="H1397" i="43"/>
  <c r="L1331" i="43"/>
  <c r="H1536" i="43"/>
  <c r="L1470" i="43"/>
  <c r="H1508" i="43"/>
  <c r="L1442" i="43"/>
  <c r="G183" i="43"/>
  <c r="K150" i="43"/>
  <c r="N150" i="43" s="1"/>
  <c r="D150" i="18" s="1"/>
  <c r="L1505" i="43"/>
  <c r="H1571" i="43"/>
  <c r="F479" i="43"/>
  <c r="M413" i="43"/>
  <c r="L1514" i="43"/>
  <c r="H1580" i="43"/>
  <c r="L1457" i="43"/>
  <c r="H1523" i="43"/>
  <c r="L1434" i="43"/>
  <c r="H1500" i="43"/>
  <c r="H1512" i="43"/>
  <c r="L1446" i="43"/>
  <c r="K438" i="43"/>
  <c r="G471" i="43"/>
  <c r="H1498" i="43"/>
  <c r="L1432" i="43"/>
  <c r="L1488" i="43"/>
  <c r="H1554" i="43"/>
  <c r="H1482" i="43"/>
  <c r="L1416" i="43"/>
  <c r="H1506" i="43"/>
  <c r="L1440" i="43"/>
  <c r="G55" i="43"/>
  <c r="G23" i="43"/>
  <c r="K22" i="43"/>
  <c r="N22" i="43" s="1"/>
  <c r="D22" i="18" s="1"/>
  <c r="G215" i="43"/>
  <c r="K182" i="43"/>
  <c r="H1454" i="43"/>
  <c r="L1388" i="43"/>
  <c r="L1441" i="43"/>
  <c r="H1507" i="43"/>
  <c r="F1129" i="43"/>
  <c r="M1063" i="43"/>
  <c r="L1609" i="43"/>
  <c r="H1675" i="43"/>
  <c r="H1616" i="43"/>
  <c r="L1550" i="43"/>
  <c r="G343" i="43"/>
  <c r="K310" i="43"/>
  <c r="K214" i="43"/>
  <c r="N214" i="43" s="1"/>
  <c r="D214" i="18" s="1"/>
  <c r="G247" i="43"/>
  <c r="M283" i="43"/>
  <c r="F349" i="43"/>
  <c r="H1460" i="43"/>
  <c r="L1394" i="43"/>
  <c r="M23" i="43"/>
  <c r="F89" i="43"/>
  <c r="F24" i="43"/>
  <c r="H1390" i="43"/>
  <c r="L1324" i="43"/>
  <c r="L1430" i="43"/>
  <c r="H1496" i="43"/>
  <c r="L1585" i="43"/>
  <c r="H1651" i="43"/>
  <c r="L1419" i="43"/>
  <c r="H1485" i="43"/>
  <c r="M153" i="43"/>
  <c r="F219" i="43"/>
  <c r="H1406" i="43"/>
  <c r="L1340" i="43"/>
  <c r="L1433" i="43"/>
  <c r="H1499" i="43"/>
  <c r="F1064" i="43"/>
  <c r="M998" i="43"/>
  <c r="F1454" i="43"/>
  <c r="M1388" i="43"/>
  <c r="L1420" i="43"/>
  <c r="H1486" i="43"/>
  <c r="K54" i="43"/>
  <c r="G87" i="43"/>
  <c r="H1502" i="43"/>
  <c r="L1436" i="43"/>
  <c r="L1465" i="43"/>
  <c r="H1531" i="43"/>
  <c r="M933" i="43"/>
  <c r="F999" i="43"/>
  <c r="M1128" i="43"/>
  <c r="F1194" i="43"/>
  <c r="L1481" i="43"/>
  <c r="H1547" i="43"/>
  <c r="H1619" i="43"/>
  <c r="L1553" i="43"/>
  <c r="F414" i="43"/>
  <c r="M348" i="43"/>
  <c r="G311" i="43"/>
  <c r="K278" i="43"/>
  <c r="N278" i="43" s="1"/>
  <c r="D278" i="18" s="1"/>
  <c r="G599" i="43"/>
  <c r="K566" i="43"/>
  <c r="L1396" i="43"/>
  <c r="H1462" i="43"/>
  <c r="H1414" i="43"/>
  <c r="L1348" i="43"/>
  <c r="K663" i="43"/>
  <c r="N663" i="43" s="1"/>
  <c r="D663" i="18" s="1"/>
  <c r="G696" i="43"/>
  <c r="G503" i="43"/>
  <c r="K470" i="43"/>
  <c r="N470" i="43" s="1"/>
  <c r="D470" i="18" s="1"/>
  <c r="F154" i="43"/>
  <c r="M88" i="43"/>
  <c r="L1518" i="43"/>
  <c r="H1584" i="43"/>
  <c r="H1455" i="43"/>
  <c r="L1389" i="43"/>
  <c r="H1579" i="43"/>
  <c r="L1513" i="43"/>
  <c r="K502" i="43"/>
  <c r="G535" i="43"/>
  <c r="G119" i="43"/>
  <c r="K86" i="43"/>
  <c r="N86" i="43" s="1"/>
  <c r="D86" i="18" s="1"/>
  <c r="L1379" i="43"/>
  <c r="H1445" i="43"/>
  <c r="F739" i="43"/>
  <c r="M673" i="43"/>
  <c r="M738" i="43"/>
  <c r="F804" i="43"/>
  <c r="H1458" i="43"/>
  <c r="L1392" i="43"/>
  <c r="F674" i="43"/>
  <c r="M608" i="43"/>
  <c r="H1557" i="43"/>
  <c r="L1491" i="43"/>
  <c r="K728" i="43"/>
  <c r="N728" i="43" s="1"/>
  <c r="D728" i="18" s="1"/>
  <c r="G761" i="43"/>
  <c r="H1409" i="43"/>
  <c r="L1343" i="43"/>
  <c r="F544" i="43"/>
  <c r="M478" i="43"/>
  <c r="L1515" i="43"/>
  <c r="H1581" i="43"/>
  <c r="H1556" i="43"/>
  <c r="L1490" i="43"/>
  <c r="H1407" i="43"/>
  <c r="L1341" i="43"/>
  <c r="G439" i="43"/>
  <c r="K406" i="43"/>
  <c r="N406" i="43" s="1"/>
  <c r="D406" i="18" s="1"/>
  <c r="L1365" i="43"/>
  <c r="H1431" i="43"/>
  <c r="H1517" i="43"/>
  <c r="L1451" i="43"/>
  <c r="F1390" i="43"/>
  <c r="M1324" i="43"/>
  <c r="H1503" i="43"/>
  <c r="L1437" i="43"/>
  <c r="L1471" i="43"/>
  <c r="H1537" i="43"/>
  <c r="K534" i="43"/>
  <c r="N534" i="43" s="1"/>
  <c r="D534" i="18" s="1"/>
  <c r="G567" i="43"/>
  <c r="H1479" i="43"/>
  <c r="L1413" i="43"/>
  <c r="H1403" i="43"/>
  <c r="L1337" i="43"/>
  <c r="H1615" i="43"/>
  <c r="L1549" i="43"/>
  <c r="K374" i="43"/>
  <c r="G407" i="43"/>
  <c r="M868" i="43"/>
  <c r="F934" i="43"/>
  <c r="H1510" i="43"/>
  <c r="L1444" i="43"/>
  <c r="L1426" i="43"/>
  <c r="H1492" i="43"/>
  <c r="L1450" i="43" l="1"/>
  <c r="H1516" i="43"/>
  <c r="L1476" i="43"/>
  <c r="H1542" i="43"/>
  <c r="H1461" i="43"/>
  <c r="L1395" i="43"/>
  <c r="H1578" i="43"/>
  <c r="L1512" i="43"/>
  <c r="H1520" i="43"/>
  <c r="L1454" i="43"/>
  <c r="H1646" i="43"/>
  <c r="L1580" i="43"/>
  <c r="F1325" i="43"/>
  <c r="M1259" i="43"/>
  <c r="K631" i="43"/>
  <c r="G664" i="43"/>
  <c r="K503" i="43"/>
  <c r="G536" i="43"/>
  <c r="F1260" i="43"/>
  <c r="M1194" i="43"/>
  <c r="H1717" i="43"/>
  <c r="L1651" i="43"/>
  <c r="K696" i="43"/>
  <c r="G729" i="43"/>
  <c r="G312" i="43"/>
  <c r="K279" i="43"/>
  <c r="N279" i="43" s="1"/>
  <c r="D279" i="18" s="1"/>
  <c r="H1480" i="43"/>
  <c r="L1414" i="43"/>
  <c r="F350" i="43"/>
  <c r="M284" i="43"/>
  <c r="H1521" i="43"/>
  <c r="L1455" i="43"/>
  <c r="H1650" i="43"/>
  <c r="L1584" i="43"/>
  <c r="M1390" i="43"/>
  <c r="F1456" i="43"/>
  <c r="M609" i="43"/>
  <c r="F675" i="43"/>
  <c r="L1517" i="43"/>
  <c r="H1583" i="43"/>
  <c r="H1526" i="43"/>
  <c r="L1460" i="43"/>
  <c r="G88" i="43"/>
  <c r="K55" i="43"/>
  <c r="L1531" i="43"/>
  <c r="H1597" i="43"/>
  <c r="G184" i="43"/>
  <c r="K151" i="43"/>
  <c r="N151" i="43" s="1"/>
  <c r="D151" i="18" s="1"/>
  <c r="L1532" i="43"/>
  <c r="H1598" i="43"/>
  <c r="M999" i="43"/>
  <c r="F1065" i="43"/>
  <c r="H1623" i="43"/>
  <c r="L1557" i="43"/>
  <c r="G408" i="43"/>
  <c r="K375" i="43"/>
  <c r="H1524" i="43"/>
  <c r="L1458" i="43"/>
  <c r="F545" i="43"/>
  <c r="M479" i="43"/>
  <c r="H1558" i="43"/>
  <c r="L1492" i="43"/>
  <c r="F1520" i="43"/>
  <c r="M1454" i="43"/>
  <c r="H1572" i="43"/>
  <c r="L1506" i="43"/>
  <c r="K183" i="43"/>
  <c r="G216" i="43"/>
  <c r="F870" i="43"/>
  <c r="M804" i="43"/>
  <c r="H1552" i="43"/>
  <c r="L1486" i="43"/>
  <c r="G280" i="43"/>
  <c r="K247" i="43"/>
  <c r="L1478" i="43"/>
  <c r="H1544" i="43"/>
  <c r="M154" i="43"/>
  <c r="F220" i="43"/>
  <c r="F740" i="43"/>
  <c r="M674" i="43"/>
  <c r="H1456" i="43"/>
  <c r="L1390" i="43"/>
  <c r="F90" i="43"/>
  <c r="F25" i="43"/>
  <c r="M24" i="43"/>
  <c r="L1482" i="43"/>
  <c r="H1548" i="43"/>
  <c r="H1525" i="43"/>
  <c r="L1459" i="43"/>
  <c r="K567" i="43"/>
  <c r="G600" i="43"/>
  <c r="L1500" i="43"/>
  <c r="H1566" i="43"/>
  <c r="G120" i="43"/>
  <c r="K87" i="43"/>
  <c r="N87" i="43" s="1"/>
  <c r="D87" i="18" s="1"/>
  <c r="K23" i="43"/>
  <c r="N23" i="43" s="1"/>
  <c r="D23" i="18" s="1"/>
  <c r="G56" i="43"/>
  <c r="G24" i="43"/>
  <c r="M739" i="43"/>
  <c r="F805" i="43"/>
  <c r="L1554" i="43"/>
  <c r="H1620" i="43"/>
  <c r="L1508" i="43"/>
  <c r="H1574" i="43"/>
  <c r="H1641" i="43"/>
  <c r="L1575" i="43"/>
  <c r="H1599" i="43"/>
  <c r="L1533" i="43"/>
  <c r="F415" i="43"/>
  <c r="M349" i="43"/>
  <c r="G472" i="43"/>
  <c r="K439" i="43"/>
  <c r="H1565" i="43"/>
  <c r="L1499" i="43"/>
  <c r="K343" i="43"/>
  <c r="N343" i="43" s="1"/>
  <c r="D343" i="18" s="1"/>
  <c r="G376" i="43"/>
  <c r="L1402" i="43"/>
  <c r="H1468" i="43"/>
  <c r="H1562" i="43"/>
  <c r="L1496" i="43"/>
  <c r="L1536" i="43"/>
  <c r="H1602" i="43"/>
  <c r="L1489" i="43"/>
  <c r="H1555" i="43"/>
  <c r="G794" i="43"/>
  <c r="K761" i="43"/>
  <c r="H1626" i="43"/>
  <c r="L1560" i="43"/>
  <c r="H1528" i="43"/>
  <c r="L1462" i="43"/>
  <c r="G152" i="43"/>
  <c r="K119" i="43"/>
  <c r="G568" i="43"/>
  <c r="K535" i="43"/>
  <c r="N535" i="43" s="1"/>
  <c r="D535" i="18" s="1"/>
  <c r="F480" i="43"/>
  <c r="M414" i="43"/>
  <c r="L1616" i="43"/>
  <c r="H1682" i="43"/>
  <c r="H1573" i="43"/>
  <c r="L1507" i="43"/>
  <c r="G248" i="43"/>
  <c r="K215" i="43"/>
  <c r="N215" i="43" s="1"/>
  <c r="D215" i="18" s="1"/>
  <c r="H1637" i="43"/>
  <c r="L1571" i="43"/>
  <c r="F1000" i="43"/>
  <c r="M934" i="43"/>
  <c r="H1511" i="43"/>
  <c r="L1445" i="43"/>
  <c r="M1064" i="43"/>
  <c r="F1130" i="43"/>
  <c r="H1647" i="43"/>
  <c r="L1581" i="43"/>
  <c r="L1403" i="43"/>
  <c r="H1469" i="43"/>
  <c r="H1472" i="43"/>
  <c r="L1406" i="43"/>
  <c r="L1498" i="43"/>
  <c r="H1564" i="43"/>
  <c r="H1463" i="43"/>
  <c r="L1397" i="43"/>
  <c r="L1474" i="43"/>
  <c r="H1540" i="43"/>
  <c r="M1455" i="43"/>
  <c r="F1521" i="43"/>
  <c r="H1497" i="43"/>
  <c r="L1431" i="43"/>
  <c r="G440" i="43"/>
  <c r="K407" i="43"/>
  <c r="N407" i="43" s="1"/>
  <c r="D407" i="18" s="1"/>
  <c r="K599" i="43"/>
  <c r="N599" i="43" s="1"/>
  <c r="D599" i="18" s="1"/>
  <c r="G632" i="43"/>
  <c r="G344" i="43"/>
  <c r="K311" i="43"/>
  <c r="F610" i="43"/>
  <c r="M544" i="43"/>
  <c r="H1685" i="43"/>
  <c r="L1619" i="43"/>
  <c r="M219" i="43"/>
  <c r="F285" i="43"/>
  <c r="K471" i="43"/>
  <c r="N471" i="43" s="1"/>
  <c r="D471" i="18" s="1"/>
  <c r="G504" i="43"/>
  <c r="F935" i="43"/>
  <c r="M869" i="43"/>
  <c r="H1633" i="43"/>
  <c r="L1567" i="43"/>
  <c r="L1561" i="43"/>
  <c r="H1627" i="43"/>
  <c r="L1493" i="43"/>
  <c r="H1559" i="43"/>
  <c r="H1589" i="43"/>
  <c r="L1523" i="43"/>
  <c r="H1568" i="43"/>
  <c r="L1502" i="43"/>
  <c r="M89" i="43"/>
  <c r="F155" i="43"/>
  <c r="H1622" i="43"/>
  <c r="L1556" i="43"/>
  <c r="H1545" i="43"/>
  <c r="L1479" i="43"/>
  <c r="H1645" i="43"/>
  <c r="L1579" i="43"/>
  <c r="H1613" i="43"/>
  <c r="L1547" i="43"/>
  <c r="H1741" i="43"/>
  <c r="L1675" i="43"/>
  <c r="H1504" i="43"/>
  <c r="L1438" i="43"/>
  <c r="M1129" i="43"/>
  <c r="F1195" i="43"/>
  <c r="H1603" i="43"/>
  <c r="L1537" i="43"/>
  <c r="H1569" i="43"/>
  <c r="L1503" i="43"/>
  <c r="L1464" i="43"/>
  <c r="H1530" i="43"/>
  <c r="H1576" i="43"/>
  <c r="L1510" i="43"/>
  <c r="H1473" i="43"/>
  <c r="L1407" i="43"/>
  <c r="H1681" i="43"/>
  <c r="L1615" i="43"/>
  <c r="L1409" i="43"/>
  <c r="H1475" i="43"/>
  <c r="H1551" i="43"/>
  <c r="L1485" i="43"/>
  <c r="H1527" i="43" l="1"/>
  <c r="L1461" i="43"/>
  <c r="H1608" i="43"/>
  <c r="L1542" i="43"/>
  <c r="H1582" i="43"/>
  <c r="L1516" i="43"/>
  <c r="H1606" i="43"/>
  <c r="L1540" i="43"/>
  <c r="G57" i="43"/>
  <c r="G25" i="43"/>
  <c r="K24" i="43"/>
  <c r="N24" i="43" s="1"/>
  <c r="D24" i="18" s="1"/>
  <c r="H1628" i="43"/>
  <c r="L1562" i="43"/>
  <c r="H1664" i="43"/>
  <c r="L1598" i="43"/>
  <c r="K184" i="43"/>
  <c r="G217" i="43"/>
  <c r="G345" i="43"/>
  <c r="K312" i="43"/>
  <c r="F1261" i="43"/>
  <c r="M1195" i="43"/>
  <c r="F416" i="43"/>
  <c r="M350" i="43"/>
  <c r="H1546" i="43"/>
  <c r="L1480" i="43"/>
  <c r="L1741" i="43"/>
  <c r="H1807" i="43"/>
  <c r="F936" i="43"/>
  <c r="M870" i="43"/>
  <c r="H1663" i="43"/>
  <c r="L1597" i="43"/>
  <c r="G762" i="43"/>
  <c r="K729" i="43"/>
  <c r="N729" i="43" s="1"/>
  <c r="D729" i="18" s="1"/>
  <c r="G537" i="43"/>
  <c r="K504" i="43"/>
  <c r="M415" i="43"/>
  <c r="F481" i="43"/>
  <c r="H1614" i="43"/>
  <c r="L1548" i="43"/>
  <c r="L1572" i="43"/>
  <c r="H1638" i="43"/>
  <c r="G121" i="43"/>
  <c r="K88" i="43"/>
  <c r="N88" i="43" s="1"/>
  <c r="D88" i="18" s="1"/>
  <c r="F1326" i="43"/>
  <c r="M1260" i="43"/>
  <c r="K56" i="43"/>
  <c r="G89" i="43"/>
  <c r="H1748" i="43"/>
  <c r="L1682" i="43"/>
  <c r="H1630" i="43"/>
  <c r="L1564" i="43"/>
  <c r="H1747" i="43"/>
  <c r="L1681" i="43"/>
  <c r="G569" i="43"/>
  <c r="K536" i="43"/>
  <c r="N536" i="43" s="1"/>
  <c r="D536" i="18" s="1"/>
  <c r="L1504" i="43"/>
  <c r="H1570" i="43"/>
  <c r="G153" i="43"/>
  <c r="K120" i="43"/>
  <c r="K568" i="43"/>
  <c r="G601" i="43"/>
  <c r="K472" i="43"/>
  <c r="N472" i="43" s="1"/>
  <c r="D472" i="18" s="1"/>
  <c r="G505" i="43"/>
  <c r="F1586" i="43"/>
  <c r="M1520" i="43"/>
  <c r="H1592" i="43"/>
  <c r="L1526" i="43"/>
  <c r="H1617" i="43"/>
  <c r="L1551" i="43"/>
  <c r="G249" i="43"/>
  <c r="K216" i="43"/>
  <c r="N216" i="43" s="1"/>
  <c r="D216" i="18" s="1"/>
  <c r="H1539" i="43"/>
  <c r="L1473" i="43"/>
  <c r="F676" i="43"/>
  <c r="M610" i="43"/>
  <c r="F1196" i="43"/>
  <c r="M1130" i="43"/>
  <c r="L1599" i="43"/>
  <c r="H1665" i="43"/>
  <c r="F91" i="43"/>
  <c r="F26" i="43"/>
  <c r="M25" i="43"/>
  <c r="H1649" i="43"/>
  <c r="L1583" i="43"/>
  <c r="K664" i="43"/>
  <c r="N664" i="43" s="1"/>
  <c r="D664" i="18" s="1"/>
  <c r="G697" i="43"/>
  <c r="F1001" i="43"/>
  <c r="M935" i="43"/>
  <c r="H1632" i="43"/>
  <c r="L1566" i="43"/>
  <c r="L1565" i="43"/>
  <c r="H1631" i="43"/>
  <c r="L1626" i="43"/>
  <c r="H1692" i="43"/>
  <c r="M90" i="43"/>
  <c r="F156" i="43"/>
  <c r="H1624" i="43"/>
  <c r="L1558" i="43"/>
  <c r="F1131" i="43"/>
  <c r="M1065" i="43"/>
  <c r="G409" i="43"/>
  <c r="K376" i="43"/>
  <c r="L1641" i="43"/>
  <c r="H1707" i="43"/>
  <c r="F741" i="43"/>
  <c r="M675" i="43"/>
  <c r="L1475" i="43"/>
  <c r="H1541" i="43"/>
  <c r="H1591" i="43"/>
  <c r="L1525" i="43"/>
  <c r="K632" i="43"/>
  <c r="G665" i="43"/>
  <c r="H1577" i="43"/>
  <c r="L1511" i="43"/>
  <c r="G827" i="43"/>
  <c r="K794" i="43"/>
  <c r="N794" i="43" s="1"/>
  <c r="D794" i="18" s="1"/>
  <c r="H1640" i="43"/>
  <c r="L1574" i="43"/>
  <c r="H1522" i="43"/>
  <c r="L1456" i="43"/>
  <c r="F611" i="43"/>
  <c r="M545" i="43"/>
  <c r="M1325" i="43"/>
  <c r="F1391" i="43"/>
  <c r="G313" i="43"/>
  <c r="K280" i="43"/>
  <c r="N280" i="43" s="1"/>
  <c r="D280" i="18" s="1"/>
  <c r="H1529" i="43"/>
  <c r="L1463" i="43"/>
  <c r="L1555" i="43"/>
  <c r="H1621" i="43"/>
  <c r="F1522" i="43"/>
  <c r="M1456" i="43"/>
  <c r="L1633" i="43"/>
  <c r="H1699" i="43"/>
  <c r="L1468" i="43"/>
  <c r="H1534" i="43"/>
  <c r="L1552" i="43"/>
  <c r="H1618" i="43"/>
  <c r="L1613" i="43"/>
  <c r="H1679" i="43"/>
  <c r="H1538" i="43"/>
  <c r="L1472" i="43"/>
  <c r="F1066" i="43"/>
  <c r="M1000" i="43"/>
  <c r="L1620" i="43"/>
  <c r="H1686" i="43"/>
  <c r="F806" i="43"/>
  <c r="M740" i="43"/>
  <c r="H1590" i="43"/>
  <c r="L1524" i="43"/>
  <c r="H1712" i="43"/>
  <c r="L1646" i="43"/>
  <c r="F546" i="43"/>
  <c r="M480" i="43"/>
  <c r="G633" i="43"/>
  <c r="K600" i="43"/>
  <c r="N600" i="43" s="1"/>
  <c r="D600" i="18" s="1"/>
  <c r="H1713" i="43"/>
  <c r="L1647" i="43"/>
  <c r="H1688" i="43"/>
  <c r="L1622" i="43"/>
  <c r="H1642" i="43"/>
  <c r="L1576" i="43"/>
  <c r="G377" i="43"/>
  <c r="K344" i="43"/>
  <c r="N344" i="43" s="1"/>
  <c r="D344" i="18" s="1"/>
  <c r="H1596" i="43"/>
  <c r="L1530" i="43"/>
  <c r="L1589" i="43"/>
  <c r="H1655" i="43"/>
  <c r="G473" i="43"/>
  <c r="K440" i="43"/>
  <c r="F286" i="43"/>
  <c r="M220" i="43"/>
  <c r="F351" i="43"/>
  <c r="M285" i="43"/>
  <c r="L1528" i="43"/>
  <c r="H1594" i="43"/>
  <c r="F221" i="43"/>
  <c r="M155" i="43"/>
  <c r="H1635" i="43"/>
  <c r="L1569" i="43"/>
  <c r="H1625" i="43"/>
  <c r="L1559" i="43"/>
  <c r="H1703" i="43"/>
  <c r="L1637" i="43"/>
  <c r="G441" i="43"/>
  <c r="K408" i="43"/>
  <c r="N408" i="43" s="1"/>
  <c r="D408" i="18" s="1"/>
  <c r="L1650" i="43"/>
  <c r="H1716" i="43"/>
  <c r="H1586" i="43"/>
  <c r="L1520" i="43"/>
  <c r="H1639" i="43"/>
  <c r="L1573" i="43"/>
  <c r="G185" i="43"/>
  <c r="K152" i="43"/>
  <c r="N152" i="43" s="1"/>
  <c r="D152" i="18" s="1"/>
  <c r="H1535" i="43"/>
  <c r="L1469" i="43"/>
  <c r="H1751" i="43"/>
  <c r="L1685" i="43"/>
  <c r="L1602" i="43"/>
  <c r="H1668" i="43"/>
  <c r="F871" i="43"/>
  <c r="M805" i="43"/>
  <c r="H1610" i="43"/>
  <c r="L1544" i="43"/>
  <c r="L1717" i="43"/>
  <c r="H1783" i="43"/>
  <c r="H1711" i="43"/>
  <c r="L1645" i="43"/>
  <c r="L1545" i="43"/>
  <c r="H1611" i="43"/>
  <c r="L1568" i="43"/>
  <c r="H1634" i="43"/>
  <c r="L1497" i="43"/>
  <c r="H1563" i="43"/>
  <c r="L1603" i="43"/>
  <c r="H1669" i="43"/>
  <c r="H1693" i="43"/>
  <c r="L1627" i="43"/>
  <c r="F1587" i="43"/>
  <c r="M1521" i="43"/>
  <c r="K248" i="43"/>
  <c r="G281" i="43"/>
  <c r="H1689" i="43"/>
  <c r="L1623" i="43"/>
  <c r="L1521" i="43"/>
  <c r="H1587" i="43"/>
  <c r="L1578" i="43"/>
  <c r="H1644" i="43"/>
  <c r="L1582" i="43" l="1"/>
  <c r="H1648" i="43"/>
  <c r="H1674" i="43"/>
  <c r="L1608" i="43"/>
  <c r="L1527" i="43"/>
  <c r="H1593" i="43"/>
  <c r="H1684" i="43"/>
  <c r="L1618" i="43"/>
  <c r="K249" i="43"/>
  <c r="G282" i="43"/>
  <c r="H1696" i="43"/>
  <c r="L1630" i="43"/>
  <c r="G698" i="43"/>
  <c r="K665" i="43"/>
  <c r="N665" i="43" s="1"/>
  <c r="D665" i="18" s="1"/>
  <c r="H1660" i="43"/>
  <c r="L1594" i="43"/>
  <c r="L1541" i="43"/>
  <c r="H1607" i="43"/>
  <c r="M1326" i="43"/>
  <c r="F1392" i="43"/>
  <c r="L1546" i="43"/>
  <c r="H1612" i="43"/>
  <c r="L1592" i="43"/>
  <c r="H1658" i="43"/>
  <c r="K633" i="43"/>
  <c r="G666" i="43"/>
  <c r="L1751" i="43"/>
  <c r="H1817" i="43"/>
  <c r="F612" i="43"/>
  <c r="M546" i="43"/>
  <c r="H1687" i="43"/>
  <c r="L1621" i="43"/>
  <c r="K697" i="43"/>
  <c r="G730" i="43"/>
  <c r="G538" i="43"/>
  <c r="K505" i="43"/>
  <c r="G154" i="43"/>
  <c r="K121" i="43"/>
  <c r="F482" i="43"/>
  <c r="M416" i="43"/>
  <c r="L1529" i="43"/>
  <c r="H1595" i="43"/>
  <c r="H1715" i="43"/>
  <c r="L1649" i="43"/>
  <c r="G634" i="43"/>
  <c r="K601" i="43"/>
  <c r="N601" i="43" s="1"/>
  <c r="D601" i="18" s="1"/>
  <c r="H1656" i="43"/>
  <c r="L1590" i="43"/>
  <c r="H1680" i="43"/>
  <c r="L1614" i="43"/>
  <c r="G378" i="43"/>
  <c r="K345" i="43"/>
  <c r="N345" i="43" s="1"/>
  <c r="D345" i="18" s="1"/>
  <c r="M1522" i="43"/>
  <c r="F1588" i="43"/>
  <c r="L1693" i="43"/>
  <c r="H1759" i="43"/>
  <c r="F352" i="43"/>
  <c r="M286" i="43"/>
  <c r="G346" i="43"/>
  <c r="K313" i="43"/>
  <c r="F27" i="43"/>
  <c r="M26" i="43"/>
  <c r="F92" i="43"/>
  <c r="M481" i="43"/>
  <c r="F547" i="43"/>
  <c r="K217" i="43"/>
  <c r="N217" i="43" s="1"/>
  <c r="D217" i="18" s="1"/>
  <c r="G250" i="43"/>
  <c r="H1710" i="43"/>
  <c r="L1644" i="43"/>
  <c r="H1600" i="43"/>
  <c r="L1534" i="43"/>
  <c r="F417" i="43"/>
  <c r="M351" i="43"/>
  <c r="G218" i="43"/>
  <c r="K185" i="43"/>
  <c r="H1629" i="43"/>
  <c r="L1563" i="43"/>
  <c r="H1705" i="43"/>
  <c r="L1639" i="43"/>
  <c r="F872" i="43"/>
  <c r="M806" i="43"/>
  <c r="F1457" i="43"/>
  <c r="M1391" i="43"/>
  <c r="G442" i="43"/>
  <c r="K409" i="43"/>
  <c r="N409" i="43" s="1"/>
  <c r="D409" i="18" s="1"/>
  <c r="M91" i="43"/>
  <c r="F157" i="43"/>
  <c r="G186" i="43"/>
  <c r="K153" i="43"/>
  <c r="N153" i="43" s="1"/>
  <c r="D153" i="18" s="1"/>
  <c r="L1663" i="43"/>
  <c r="H1729" i="43"/>
  <c r="H1752" i="43"/>
  <c r="L1686" i="43"/>
  <c r="H1731" i="43"/>
  <c r="L1665" i="43"/>
  <c r="H1636" i="43"/>
  <c r="L1570" i="43"/>
  <c r="H1735" i="43"/>
  <c r="L1669" i="43"/>
  <c r="H1700" i="43"/>
  <c r="L1634" i="43"/>
  <c r="K473" i="43"/>
  <c r="N473" i="43" s="1"/>
  <c r="D473" i="18" s="1"/>
  <c r="G506" i="43"/>
  <c r="F1197" i="43"/>
  <c r="M1131" i="43"/>
  <c r="L1664" i="43"/>
  <c r="H1730" i="43"/>
  <c r="H1676" i="43"/>
  <c r="L1610" i="43"/>
  <c r="G122" i="43"/>
  <c r="K89" i="43"/>
  <c r="N89" i="43" s="1"/>
  <c r="D89" i="18" s="1"/>
  <c r="H1765" i="43"/>
  <c r="L1699" i="43"/>
  <c r="M221" i="43"/>
  <c r="F287" i="43"/>
  <c r="F1653" i="43"/>
  <c r="M1587" i="43"/>
  <c r="L1707" i="43"/>
  <c r="H1773" i="43"/>
  <c r="L1586" i="43"/>
  <c r="H1652" i="43"/>
  <c r="M611" i="43"/>
  <c r="F677" i="43"/>
  <c r="H1677" i="43"/>
  <c r="L1611" i="43"/>
  <c r="H1782" i="43"/>
  <c r="L1716" i="43"/>
  <c r="F1132" i="43"/>
  <c r="M1066" i="43"/>
  <c r="M1196" i="43"/>
  <c r="F1262" i="43"/>
  <c r="G602" i="43"/>
  <c r="K569" i="43"/>
  <c r="H1694" i="43"/>
  <c r="L1628" i="43"/>
  <c r="H1708" i="43"/>
  <c r="L1642" i="43"/>
  <c r="H1691" i="43"/>
  <c r="L1625" i="43"/>
  <c r="H1643" i="43"/>
  <c r="L1577" i="43"/>
  <c r="H1683" i="43"/>
  <c r="L1617" i="43"/>
  <c r="H1734" i="43"/>
  <c r="L1668" i="43"/>
  <c r="H1779" i="43"/>
  <c r="L1713" i="43"/>
  <c r="H1755" i="43"/>
  <c r="L1689" i="43"/>
  <c r="H1698" i="43"/>
  <c r="L1632" i="43"/>
  <c r="F1067" i="43"/>
  <c r="M1001" i="43"/>
  <c r="H1601" i="43"/>
  <c r="L1535" i="43"/>
  <c r="H1704" i="43"/>
  <c r="L1638" i="43"/>
  <c r="H1778" i="43"/>
  <c r="L1712" i="43"/>
  <c r="L1522" i="43"/>
  <c r="H1588" i="43"/>
  <c r="H1690" i="43"/>
  <c r="L1624" i="43"/>
  <c r="H1653" i="43"/>
  <c r="L1587" i="43"/>
  <c r="H1697" i="43"/>
  <c r="L1631" i="43"/>
  <c r="G314" i="43"/>
  <c r="K281" i="43"/>
  <c r="N281" i="43" s="1"/>
  <c r="D281" i="18" s="1"/>
  <c r="L1655" i="43"/>
  <c r="H1721" i="43"/>
  <c r="H1662" i="43"/>
  <c r="L1596" i="43"/>
  <c r="H1604" i="43"/>
  <c r="L1538" i="43"/>
  <c r="F222" i="43"/>
  <c r="M156" i="43"/>
  <c r="F742" i="43"/>
  <c r="M676" i="43"/>
  <c r="H1813" i="43"/>
  <c r="L1747" i="43"/>
  <c r="K537" i="43"/>
  <c r="N537" i="43" s="1"/>
  <c r="D537" i="18" s="1"/>
  <c r="G570" i="43"/>
  <c r="G26" i="43"/>
  <c r="K25" i="43"/>
  <c r="N25" i="43" s="1"/>
  <c r="D25" i="18" s="1"/>
  <c r="G58" i="43"/>
  <c r="L1748" i="43"/>
  <c r="H1814" i="43"/>
  <c r="M1586" i="43"/>
  <c r="F1652" i="43"/>
  <c r="F807" i="43"/>
  <c r="M741" i="43"/>
  <c r="H1745" i="43"/>
  <c r="L1679" i="43"/>
  <c r="L1640" i="43"/>
  <c r="H1706" i="43"/>
  <c r="G90" i="43"/>
  <c r="K57" i="43"/>
  <c r="M936" i="43"/>
  <c r="F1002" i="43"/>
  <c r="F937" i="43"/>
  <c r="M871" i="43"/>
  <c r="H1657" i="43"/>
  <c r="L1591" i="43"/>
  <c r="G474" i="43"/>
  <c r="K441" i="43"/>
  <c r="H1849" i="43"/>
  <c r="L1783" i="43"/>
  <c r="K377" i="43"/>
  <c r="G410" i="43"/>
  <c r="H1758" i="43"/>
  <c r="L1692" i="43"/>
  <c r="L1539" i="43"/>
  <c r="H1605" i="43"/>
  <c r="K762" i="43"/>
  <c r="G795" i="43"/>
  <c r="H1754" i="43"/>
  <c r="L1688" i="43"/>
  <c r="H1701" i="43"/>
  <c r="L1635" i="43"/>
  <c r="L1807" i="43"/>
  <c r="H1873" i="43"/>
  <c r="F1327" i="43"/>
  <c r="M1261" i="43"/>
  <c r="L1711" i="43"/>
  <c r="H1777" i="43"/>
  <c r="H1769" i="43"/>
  <c r="L1703" i="43"/>
  <c r="K827" i="43"/>
  <c r="G860" i="43"/>
  <c r="H1672" i="43"/>
  <c r="L1606" i="43"/>
  <c r="L1593" i="43" l="1"/>
  <c r="H1659" i="43"/>
  <c r="H1740" i="43"/>
  <c r="L1674" i="43"/>
  <c r="H1714" i="43"/>
  <c r="L1648" i="43"/>
  <c r="K378" i="43"/>
  <c r="G411" i="43"/>
  <c r="H1746" i="43"/>
  <c r="L1680" i="43"/>
  <c r="F353" i="43"/>
  <c r="M287" i="43"/>
  <c r="H1678" i="43"/>
  <c r="L1612" i="43"/>
  <c r="L1708" i="43"/>
  <c r="H1774" i="43"/>
  <c r="G283" i="43"/>
  <c r="K250" i="43"/>
  <c r="F1003" i="43"/>
  <c r="M937" i="43"/>
  <c r="M1392" i="43"/>
  <c r="F1458" i="43"/>
  <c r="H1654" i="43"/>
  <c r="L1588" i="43"/>
  <c r="L1769" i="43"/>
  <c r="H1835" i="43"/>
  <c r="H1781" i="43"/>
  <c r="L1715" i="43"/>
  <c r="F1068" i="43"/>
  <c r="M1002" i="43"/>
  <c r="G475" i="43"/>
  <c r="K442" i="43"/>
  <c r="F158" i="43"/>
  <c r="M92" i="43"/>
  <c r="H1661" i="43"/>
  <c r="L1595" i="43"/>
  <c r="H1673" i="43"/>
  <c r="L1607" i="43"/>
  <c r="F483" i="43"/>
  <c r="M417" i="43"/>
  <c r="G507" i="43"/>
  <c r="K474" i="43"/>
  <c r="N474" i="43" s="1"/>
  <c r="D474" i="18" s="1"/>
  <c r="H1666" i="43"/>
  <c r="L1600" i="43"/>
  <c r="L1813" i="43"/>
  <c r="H1879" i="43"/>
  <c r="L1656" i="43"/>
  <c r="H1722" i="43"/>
  <c r="H1796" i="43"/>
  <c r="L1730" i="43"/>
  <c r="F288" i="43"/>
  <c r="M222" i="43"/>
  <c r="H1772" i="43"/>
  <c r="L1706" i="43"/>
  <c r="L1782" i="43"/>
  <c r="H1848" i="43"/>
  <c r="M1197" i="43"/>
  <c r="F1263" i="43"/>
  <c r="H1820" i="43"/>
  <c r="L1754" i="43"/>
  <c r="H1728" i="43"/>
  <c r="L1662" i="43"/>
  <c r="L1698" i="43"/>
  <c r="H1764" i="43"/>
  <c r="G828" i="43"/>
  <c r="K795" i="43"/>
  <c r="N795" i="43" s="1"/>
  <c r="D795" i="18" s="1"/>
  <c r="H1787" i="43"/>
  <c r="L1721" i="43"/>
  <c r="K506" i="43"/>
  <c r="G539" i="43"/>
  <c r="M1457" i="43"/>
  <c r="F1523" i="43"/>
  <c r="F93" i="43"/>
  <c r="M27" i="43"/>
  <c r="F28" i="43"/>
  <c r="G603" i="43"/>
  <c r="K570" i="43"/>
  <c r="K666" i="43"/>
  <c r="N666" i="43" s="1"/>
  <c r="D666" i="18" s="1"/>
  <c r="G699" i="43"/>
  <c r="L1676" i="43"/>
  <c r="H1742" i="43"/>
  <c r="F548" i="43"/>
  <c r="M482" i="43"/>
  <c r="L1660" i="43"/>
  <c r="H1726" i="43"/>
  <c r="H1756" i="43"/>
  <c r="L1690" i="43"/>
  <c r="G59" i="43"/>
  <c r="K26" i="43"/>
  <c r="N26" i="43" s="1"/>
  <c r="D26" i="18" s="1"/>
  <c r="G27" i="43"/>
  <c r="L1704" i="43"/>
  <c r="H1770" i="43"/>
  <c r="G635" i="43"/>
  <c r="K602" i="43"/>
  <c r="N602" i="43" s="1"/>
  <c r="D602" i="18" s="1"/>
  <c r="H1939" i="43"/>
  <c r="L1873" i="43"/>
  <c r="K218" i="43"/>
  <c r="N218" i="43" s="1"/>
  <c r="D218" i="18" s="1"/>
  <c r="G251" i="43"/>
  <c r="L1817" i="43"/>
  <c r="H1883" i="43"/>
  <c r="H1844" i="43"/>
  <c r="L1778" i="43"/>
  <c r="L1677" i="43"/>
  <c r="H1743" i="43"/>
  <c r="H1845" i="43"/>
  <c r="L1779" i="43"/>
  <c r="L1700" i="43"/>
  <c r="H1766" i="43"/>
  <c r="K346" i="43"/>
  <c r="N346" i="43" s="1"/>
  <c r="D346" i="18" s="1"/>
  <c r="G379" i="43"/>
  <c r="G187" i="43"/>
  <c r="K154" i="43"/>
  <c r="N154" i="43" s="1"/>
  <c r="D154" i="18" s="1"/>
  <c r="G731" i="43"/>
  <c r="K698" i="43"/>
  <c r="H1843" i="43"/>
  <c r="L1777" i="43"/>
  <c r="F1133" i="43"/>
  <c r="M1067" i="43"/>
  <c r="G893" i="43"/>
  <c r="K860" i="43"/>
  <c r="N860" i="43" s="1"/>
  <c r="D860" i="18" s="1"/>
  <c r="L1765" i="43"/>
  <c r="H1831" i="43"/>
  <c r="H1795" i="43"/>
  <c r="L1729" i="43"/>
  <c r="H1776" i="43"/>
  <c r="L1710" i="43"/>
  <c r="F1393" i="43"/>
  <c r="M1327" i="43"/>
  <c r="M742" i="43"/>
  <c r="F808" i="43"/>
  <c r="M1262" i="43"/>
  <c r="F1328" i="43"/>
  <c r="F938" i="43"/>
  <c r="M872" i="43"/>
  <c r="G347" i="43"/>
  <c r="K314" i="43"/>
  <c r="F1718" i="43"/>
  <c r="M1652" i="43"/>
  <c r="H1763" i="43"/>
  <c r="L1697" i="43"/>
  <c r="L1734" i="43"/>
  <c r="H1800" i="43"/>
  <c r="L1735" i="43"/>
  <c r="H1801" i="43"/>
  <c r="F418" i="43"/>
  <c r="M352" i="43"/>
  <c r="G571" i="43"/>
  <c r="K538" i="43"/>
  <c r="N538" i="43" s="1"/>
  <c r="D538" i="18" s="1"/>
  <c r="H1762" i="43"/>
  <c r="L1696" i="43"/>
  <c r="M612" i="43"/>
  <c r="F678" i="43"/>
  <c r="H1667" i="43"/>
  <c r="L1601" i="43"/>
  <c r="F223" i="43"/>
  <c r="M157" i="43"/>
  <c r="L1745" i="43"/>
  <c r="H1811" i="43"/>
  <c r="L1773" i="43"/>
  <c r="H1839" i="43"/>
  <c r="H1771" i="43"/>
  <c r="L1705" i="43"/>
  <c r="H1825" i="43"/>
  <c r="L1759" i="43"/>
  <c r="G763" i="43"/>
  <c r="K730" i="43"/>
  <c r="N730" i="43" s="1"/>
  <c r="D730" i="18" s="1"/>
  <c r="K282" i="43"/>
  <c r="N282" i="43" s="1"/>
  <c r="D282" i="18" s="1"/>
  <c r="G315" i="43"/>
  <c r="L1731" i="43"/>
  <c r="H1797" i="43"/>
  <c r="H1757" i="43"/>
  <c r="L1691" i="43"/>
  <c r="L1752" i="43"/>
  <c r="H1818" i="43"/>
  <c r="G667" i="43"/>
  <c r="K634" i="43"/>
  <c r="L1701" i="43"/>
  <c r="H1767" i="43"/>
  <c r="H1670" i="43"/>
  <c r="L1604" i="43"/>
  <c r="L1755" i="43"/>
  <c r="H1821" i="43"/>
  <c r="M677" i="43"/>
  <c r="F743" i="43"/>
  <c r="M807" i="43"/>
  <c r="F873" i="43"/>
  <c r="L1758" i="43"/>
  <c r="H1824" i="43"/>
  <c r="L1814" i="43"/>
  <c r="H1880" i="43"/>
  <c r="H1719" i="43"/>
  <c r="L1653" i="43"/>
  <c r="L1683" i="43"/>
  <c r="H1749" i="43"/>
  <c r="K122" i="43"/>
  <c r="G155" i="43"/>
  <c r="H1724" i="43"/>
  <c r="L1658" i="43"/>
  <c r="G123" i="43"/>
  <c r="K90" i="43"/>
  <c r="N90" i="43" s="1"/>
  <c r="D90" i="18" s="1"/>
  <c r="G443" i="43"/>
  <c r="K410" i="43"/>
  <c r="N410" i="43" s="1"/>
  <c r="D410" i="18" s="1"/>
  <c r="H1702" i="43"/>
  <c r="L1636" i="43"/>
  <c r="H1695" i="43"/>
  <c r="L1629" i="43"/>
  <c r="F1654" i="43"/>
  <c r="M1588" i="43"/>
  <c r="H1915" i="43"/>
  <c r="L1849" i="43"/>
  <c r="L1657" i="43"/>
  <c r="H1723" i="43"/>
  <c r="L1694" i="43"/>
  <c r="H1760" i="43"/>
  <c r="K186" i="43"/>
  <c r="G219" i="43"/>
  <c r="F613" i="43"/>
  <c r="M547" i="43"/>
  <c r="M1132" i="43"/>
  <c r="F1198" i="43"/>
  <c r="H1671" i="43"/>
  <c r="L1605" i="43"/>
  <c r="H1718" i="43"/>
  <c r="L1652" i="43"/>
  <c r="H1738" i="43"/>
  <c r="L1672" i="43"/>
  <c r="G91" i="43"/>
  <c r="K58" i="43"/>
  <c r="H1709" i="43"/>
  <c r="L1643" i="43"/>
  <c r="F1719" i="43"/>
  <c r="M1653" i="43"/>
  <c r="L1687" i="43"/>
  <c r="H1753" i="43"/>
  <c r="L1684" i="43"/>
  <c r="H1750" i="43"/>
  <c r="H1780" i="43" l="1"/>
  <c r="L1714" i="43"/>
  <c r="H1806" i="43"/>
  <c r="L1740" i="43"/>
  <c r="L1659" i="43"/>
  <c r="H1725" i="43"/>
  <c r="K251" i="43"/>
  <c r="G284" i="43"/>
  <c r="F809" i="43"/>
  <c r="M743" i="43"/>
  <c r="G572" i="43"/>
  <c r="K539" i="43"/>
  <c r="N539" i="43" s="1"/>
  <c r="D539" i="18" s="1"/>
  <c r="H1945" i="43"/>
  <c r="L1879" i="43"/>
  <c r="H1720" i="43"/>
  <c r="L1654" i="43"/>
  <c r="H1761" i="43"/>
  <c r="L1695" i="43"/>
  <c r="K635" i="43"/>
  <c r="G668" i="43"/>
  <c r="F1524" i="43"/>
  <c r="M1458" i="43"/>
  <c r="L1796" i="43"/>
  <c r="H1862" i="43"/>
  <c r="L1763" i="43"/>
  <c r="H1829" i="43"/>
  <c r="H1804" i="43"/>
  <c r="L1738" i="43"/>
  <c r="H1905" i="43"/>
  <c r="L1839" i="43"/>
  <c r="G476" i="43"/>
  <c r="K443" i="43"/>
  <c r="H1737" i="43"/>
  <c r="L1671" i="43"/>
  <c r="H1853" i="43"/>
  <c r="L1787" i="43"/>
  <c r="H1732" i="43"/>
  <c r="L1666" i="43"/>
  <c r="H1790" i="43"/>
  <c r="L1724" i="43"/>
  <c r="K667" i="43"/>
  <c r="N667" i="43" s="1"/>
  <c r="D667" i="18" s="1"/>
  <c r="G700" i="43"/>
  <c r="F289" i="43"/>
  <c r="M223" i="43"/>
  <c r="K187" i="43"/>
  <c r="G220" i="43"/>
  <c r="K59" i="43"/>
  <c r="G92" i="43"/>
  <c r="H1830" i="43"/>
  <c r="L1764" i="43"/>
  <c r="F1069" i="43"/>
  <c r="M1003" i="43"/>
  <c r="H1847" i="43"/>
  <c r="L1781" i="43"/>
  <c r="F159" i="43"/>
  <c r="M93" i="43"/>
  <c r="H1837" i="43"/>
  <c r="L1771" i="43"/>
  <c r="L1939" i="43"/>
  <c r="H2005" i="43"/>
  <c r="H1833" i="43"/>
  <c r="L1767" i="43"/>
  <c r="K731" i="43"/>
  <c r="N731" i="43" s="1"/>
  <c r="D731" i="18" s="1"/>
  <c r="G764" i="43"/>
  <c r="F1394" i="43"/>
  <c r="M1328" i="43"/>
  <c r="F874" i="43"/>
  <c r="M808" i="43"/>
  <c r="G412" i="43"/>
  <c r="K379" i="43"/>
  <c r="M483" i="43"/>
  <c r="F549" i="43"/>
  <c r="F354" i="43"/>
  <c r="M288" i="43"/>
  <c r="K91" i="43"/>
  <c r="N91" i="43" s="1"/>
  <c r="D91" i="18" s="1"/>
  <c r="G124" i="43"/>
  <c r="H1909" i="43"/>
  <c r="L1843" i="43"/>
  <c r="L1756" i="43"/>
  <c r="H1822" i="43"/>
  <c r="G316" i="43"/>
  <c r="K283" i="43"/>
  <c r="N283" i="43" s="1"/>
  <c r="D283" i="18" s="1"/>
  <c r="M678" i="43"/>
  <c r="F744" i="43"/>
  <c r="H1832" i="43"/>
  <c r="L1766" i="43"/>
  <c r="H1792" i="43"/>
  <c r="L1726" i="43"/>
  <c r="L1728" i="43"/>
  <c r="H1794" i="43"/>
  <c r="H1739" i="43"/>
  <c r="L1673" i="43"/>
  <c r="H1840" i="43"/>
  <c r="L1774" i="43"/>
  <c r="F1004" i="43"/>
  <c r="M938" i="43"/>
  <c r="F1459" i="43"/>
  <c r="M1393" i="43"/>
  <c r="K347" i="43"/>
  <c r="N347" i="43" s="1"/>
  <c r="D347" i="18" s="1"/>
  <c r="G380" i="43"/>
  <c r="G156" i="43"/>
  <c r="K123" i="43"/>
  <c r="G861" i="43"/>
  <c r="K828" i="43"/>
  <c r="M613" i="43"/>
  <c r="F679" i="43"/>
  <c r="H1826" i="43"/>
  <c r="L1760" i="43"/>
  <c r="H1886" i="43"/>
  <c r="L1820" i="43"/>
  <c r="H1727" i="43"/>
  <c r="L1661" i="43"/>
  <c r="L1722" i="43"/>
  <c r="H1788" i="43"/>
  <c r="G60" i="43"/>
  <c r="G28" i="43"/>
  <c r="K27" i="43"/>
  <c r="N27" i="43" s="1"/>
  <c r="D27" i="18" s="1"/>
  <c r="L1667" i="43"/>
  <c r="H1733" i="43"/>
  <c r="G252" i="43"/>
  <c r="K219" i="43"/>
  <c r="N219" i="43" s="1"/>
  <c r="D219" i="18" s="1"/>
  <c r="H1823" i="43"/>
  <c r="L1757" i="43"/>
  <c r="L1762" i="43"/>
  <c r="H1828" i="43"/>
  <c r="H1842" i="43"/>
  <c r="L1776" i="43"/>
  <c r="H1911" i="43"/>
  <c r="L1845" i="43"/>
  <c r="M548" i="43"/>
  <c r="F614" i="43"/>
  <c r="F1329" i="43"/>
  <c r="M1263" i="43"/>
  <c r="H1744" i="43"/>
  <c r="L1678" i="43"/>
  <c r="H1809" i="43"/>
  <c r="L1743" i="43"/>
  <c r="H1808" i="43"/>
  <c r="L1742" i="43"/>
  <c r="F224" i="43"/>
  <c r="M158" i="43"/>
  <c r="H1901" i="43"/>
  <c r="L1835" i="43"/>
  <c r="H1768" i="43"/>
  <c r="L1702" i="43"/>
  <c r="H1884" i="43"/>
  <c r="L1818" i="43"/>
  <c r="H1785" i="43"/>
  <c r="L1719" i="43"/>
  <c r="K571" i="43"/>
  <c r="G604" i="43"/>
  <c r="H1861" i="43"/>
  <c r="L1795" i="43"/>
  <c r="H1914" i="43"/>
  <c r="L1848" i="43"/>
  <c r="F419" i="43"/>
  <c r="M353" i="43"/>
  <c r="M28" i="43"/>
  <c r="F94" i="43"/>
  <c r="F29" i="43"/>
  <c r="H1891" i="43"/>
  <c r="L1825" i="43"/>
  <c r="F1264" i="43"/>
  <c r="M1198" i="43"/>
  <c r="H1816" i="43"/>
  <c r="L1750" i="43"/>
  <c r="L1749" i="43"/>
  <c r="H1815" i="43"/>
  <c r="H1819" i="43"/>
  <c r="L1753" i="43"/>
  <c r="H1789" i="43"/>
  <c r="L1723" i="43"/>
  <c r="H1863" i="43"/>
  <c r="L1797" i="43"/>
  <c r="H1946" i="43"/>
  <c r="L1880" i="43"/>
  <c r="G348" i="43"/>
  <c r="K315" i="43"/>
  <c r="H1897" i="43"/>
  <c r="L1831" i="43"/>
  <c r="G732" i="43"/>
  <c r="K699" i="43"/>
  <c r="K475" i="43"/>
  <c r="N475" i="43" s="1"/>
  <c r="D475" i="18" s="1"/>
  <c r="G508" i="43"/>
  <c r="L1800" i="43"/>
  <c r="H1866" i="43"/>
  <c r="F1589" i="43"/>
  <c r="M1523" i="43"/>
  <c r="H1887" i="43"/>
  <c r="L1821" i="43"/>
  <c r="M1718" i="43"/>
  <c r="F1784" i="43"/>
  <c r="L1718" i="43"/>
  <c r="H1784" i="43"/>
  <c r="H1877" i="43"/>
  <c r="L1811" i="43"/>
  <c r="M418" i="43"/>
  <c r="F484" i="43"/>
  <c r="H1812" i="43"/>
  <c r="L1746" i="43"/>
  <c r="F939" i="43"/>
  <c r="M873" i="43"/>
  <c r="G926" i="43"/>
  <c r="K893" i="43"/>
  <c r="F1199" i="43"/>
  <c r="M1133" i="43"/>
  <c r="H1736" i="43"/>
  <c r="L1670" i="43"/>
  <c r="H1836" i="43"/>
  <c r="L1770" i="43"/>
  <c r="K507" i="43"/>
  <c r="G540" i="43"/>
  <c r="K155" i="43"/>
  <c r="N155" i="43" s="1"/>
  <c r="D155" i="18" s="1"/>
  <c r="G188" i="43"/>
  <c r="F1785" i="43"/>
  <c r="M1719" i="43"/>
  <c r="L1915" i="43"/>
  <c r="H1981" i="43"/>
  <c r="L1824" i="43"/>
  <c r="H1890" i="43"/>
  <c r="H1867" i="43"/>
  <c r="L1801" i="43"/>
  <c r="H1910" i="43"/>
  <c r="L1844" i="43"/>
  <c r="H1838" i="43"/>
  <c r="L1772" i="43"/>
  <c r="M1068" i="43"/>
  <c r="F1134" i="43"/>
  <c r="G444" i="43"/>
  <c r="K411" i="43"/>
  <c r="N411" i="43" s="1"/>
  <c r="D411" i="18" s="1"/>
  <c r="H1775" i="43"/>
  <c r="L1709" i="43"/>
  <c r="M1654" i="43"/>
  <c r="F1720" i="43"/>
  <c r="G796" i="43"/>
  <c r="K763" i="43"/>
  <c r="H1949" i="43"/>
  <c r="L1883" i="43"/>
  <c r="G636" i="43"/>
  <c r="K603" i="43"/>
  <c r="N603" i="43" s="1"/>
  <c r="D603" i="18" s="1"/>
  <c r="L1725" i="43" l="1"/>
  <c r="H1791" i="43"/>
  <c r="H1872" i="43"/>
  <c r="L1806" i="43"/>
  <c r="L1780" i="43"/>
  <c r="H1846" i="43"/>
  <c r="H1928" i="43"/>
  <c r="L1862" i="43"/>
  <c r="F1070" i="43"/>
  <c r="M1004" i="43"/>
  <c r="L1891" i="43"/>
  <c r="H1957" i="43"/>
  <c r="F95" i="43"/>
  <c r="F30" i="43"/>
  <c r="M29" i="43"/>
  <c r="H1870" i="43"/>
  <c r="L1804" i="43"/>
  <c r="L1840" i="43"/>
  <c r="H1906" i="43"/>
  <c r="K926" i="43"/>
  <c r="N926" i="43" s="1"/>
  <c r="D926" i="18" s="1"/>
  <c r="G959" i="43"/>
  <c r="F1590" i="43"/>
  <c r="M1524" i="43"/>
  <c r="H1858" i="43"/>
  <c r="L1792" i="43"/>
  <c r="G733" i="43"/>
  <c r="K700" i="43"/>
  <c r="G701" i="43"/>
  <c r="K668" i="43"/>
  <c r="N668" i="43" s="1"/>
  <c r="D668" i="18" s="1"/>
  <c r="M354" i="43"/>
  <c r="F420" i="43"/>
  <c r="H1856" i="43"/>
  <c r="L1790" i="43"/>
  <c r="H1932" i="43"/>
  <c r="L1866" i="43"/>
  <c r="H1898" i="43"/>
  <c r="L1832" i="43"/>
  <c r="F745" i="43"/>
  <c r="M679" i="43"/>
  <c r="H2047" i="43"/>
  <c r="L1981" i="43"/>
  <c r="L1861" i="43"/>
  <c r="H1927" i="43"/>
  <c r="H1827" i="43"/>
  <c r="L1761" i="43"/>
  <c r="H1967" i="43"/>
  <c r="L1901" i="43"/>
  <c r="F1005" i="43"/>
  <c r="M939" i="43"/>
  <c r="H1963" i="43"/>
  <c r="L1897" i="43"/>
  <c r="H1980" i="43"/>
  <c r="L1914" i="43"/>
  <c r="L1833" i="43"/>
  <c r="H1899" i="43"/>
  <c r="H1798" i="43"/>
  <c r="L1732" i="43"/>
  <c r="L1830" i="43"/>
  <c r="H1896" i="43"/>
  <c r="H1904" i="43"/>
  <c r="L1838" i="43"/>
  <c r="F550" i="43"/>
  <c r="M484" i="43"/>
  <c r="G381" i="43"/>
  <c r="K348" i="43"/>
  <c r="N348" i="43" s="1"/>
  <c r="D348" i="18" s="1"/>
  <c r="H1956" i="43"/>
  <c r="L1890" i="43"/>
  <c r="F680" i="43"/>
  <c r="M614" i="43"/>
  <c r="H1850" i="43"/>
  <c r="L1784" i="43"/>
  <c r="K861" i="43"/>
  <c r="N861" i="43" s="1"/>
  <c r="D861" i="18" s="1"/>
  <c r="G894" i="43"/>
  <c r="K316" i="43"/>
  <c r="G349" i="43"/>
  <c r="L2005" i="43"/>
  <c r="H2071" i="43"/>
  <c r="H1786" i="43"/>
  <c r="L1720" i="43"/>
  <c r="F615" i="43"/>
  <c r="M549" i="43"/>
  <c r="H1875" i="43"/>
  <c r="L1809" i="43"/>
  <c r="F940" i="43"/>
  <c r="M874" i="43"/>
  <c r="F810" i="43"/>
  <c r="M744" i="43"/>
  <c r="H1929" i="43"/>
  <c r="L1863" i="43"/>
  <c r="L1789" i="43"/>
  <c r="H1855" i="43"/>
  <c r="H1908" i="43"/>
  <c r="L1842" i="43"/>
  <c r="H1888" i="43"/>
  <c r="L1822" i="43"/>
  <c r="H1919" i="43"/>
  <c r="L1853" i="43"/>
  <c r="G797" i="43"/>
  <c r="K764" i="43"/>
  <c r="L1946" i="43"/>
  <c r="H2012" i="43"/>
  <c r="K604" i="43"/>
  <c r="N604" i="43" s="1"/>
  <c r="D604" i="18" s="1"/>
  <c r="G637" i="43"/>
  <c r="F1851" i="43"/>
  <c r="M1785" i="43"/>
  <c r="H2015" i="43"/>
  <c r="L1949" i="43"/>
  <c r="G221" i="43"/>
  <c r="K188" i="43"/>
  <c r="F1850" i="43"/>
  <c r="M1784" i="43"/>
  <c r="H1851" i="43"/>
  <c r="L1785" i="43"/>
  <c r="L1828" i="43"/>
  <c r="H1894" i="43"/>
  <c r="K156" i="43"/>
  <c r="N156" i="43" s="1"/>
  <c r="D156" i="18" s="1"/>
  <c r="G189" i="43"/>
  <c r="H2011" i="43"/>
  <c r="L1945" i="43"/>
  <c r="K60" i="43"/>
  <c r="G93" i="43"/>
  <c r="H1854" i="43"/>
  <c r="L1788" i="43"/>
  <c r="H1805" i="43"/>
  <c r="L1739" i="43"/>
  <c r="H1976" i="43"/>
  <c r="L1910" i="43"/>
  <c r="M419" i="43"/>
  <c r="F485" i="43"/>
  <c r="H1952" i="43"/>
  <c r="L1886" i="43"/>
  <c r="K380" i="43"/>
  <c r="G413" i="43"/>
  <c r="L1837" i="43"/>
  <c r="H1903" i="43"/>
  <c r="F1135" i="43"/>
  <c r="M1069" i="43"/>
  <c r="K444" i="43"/>
  <c r="G477" i="43"/>
  <c r="M224" i="43"/>
  <c r="F290" i="43"/>
  <c r="G253" i="43"/>
  <c r="K220" i="43"/>
  <c r="N220" i="43" s="1"/>
  <c r="D220" i="18" s="1"/>
  <c r="G765" i="43"/>
  <c r="K732" i="43"/>
  <c r="N732" i="43" s="1"/>
  <c r="D732" i="18" s="1"/>
  <c r="H1878" i="43"/>
  <c r="L1812" i="43"/>
  <c r="H1943" i="43"/>
  <c r="L1877" i="43"/>
  <c r="L1909" i="43"/>
  <c r="H1975" i="43"/>
  <c r="H1803" i="43"/>
  <c r="L1737" i="43"/>
  <c r="K572" i="43"/>
  <c r="G605" i="43"/>
  <c r="F1200" i="43"/>
  <c r="M1134" i="43"/>
  <c r="G125" i="43"/>
  <c r="K92" i="43"/>
  <c r="N92" i="43" s="1"/>
  <c r="D92" i="18" s="1"/>
  <c r="F160" i="43"/>
  <c r="M94" i="43"/>
  <c r="G445" i="43"/>
  <c r="K412" i="43"/>
  <c r="N412" i="43" s="1"/>
  <c r="D412" i="18" s="1"/>
  <c r="M289" i="43"/>
  <c r="F355" i="43"/>
  <c r="F1460" i="43"/>
  <c r="M1394" i="43"/>
  <c r="H1977" i="43"/>
  <c r="L1911" i="43"/>
  <c r="H1885" i="43"/>
  <c r="L1819" i="43"/>
  <c r="K796" i="43"/>
  <c r="N796" i="43" s="1"/>
  <c r="D796" i="18" s="1"/>
  <c r="G829" i="43"/>
  <c r="G573" i="43"/>
  <c r="K540" i="43"/>
  <c r="N540" i="43" s="1"/>
  <c r="D540" i="18" s="1"/>
  <c r="H1881" i="43"/>
  <c r="L1815" i="43"/>
  <c r="F1786" i="43"/>
  <c r="M1720" i="43"/>
  <c r="H1953" i="43"/>
  <c r="L1887" i="43"/>
  <c r="L1884" i="43"/>
  <c r="H1950" i="43"/>
  <c r="L1823" i="43"/>
  <c r="H1889" i="43"/>
  <c r="F225" i="43"/>
  <c r="M159" i="43"/>
  <c r="H1802" i="43"/>
  <c r="L1736" i="43"/>
  <c r="H1895" i="43"/>
  <c r="L1829" i="43"/>
  <c r="G541" i="43"/>
  <c r="K508" i="43"/>
  <c r="H1874" i="43"/>
  <c r="L1808" i="43"/>
  <c r="H1860" i="43"/>
  <c r="L1794" i="43"/>
  <c r="G669" i="43"/>
  <c r="K636" i="43"/>
  <c r="F1525" i="43"/>
  <c r="M1459" i="43"/>
  <c r="K476" i="43"/>
  <c r="N476" i="43" s="1"/>
  <c r="D476" i="18" s="1"/>
  <c r="G509" i="43"/>
  <c r="F875" i="43"/>
  <c r="M809" i="43"/>
  <c r="F1330" i="43"/>
  <c r="M1264" i="43"/>
  <c r="G61" i="43"/>
  <c r="G29" i="43"/>
  <c r="K28" i="43"/>
  <c r="N28" i="43" s="1"/>
  <c r="D28" i="18" s="1"/>
  <c r="H1810" i="43"/>
  <c r="L1744" i="43"/>
  <c r="H1933" i="43"/>
  <c r="L1867" i="43"/>
  <c r="F1395" i="43"/>
  <c r="M1329" i="43"/>
  <c r="H1892" i="43"/>
  <c r="L1826" i="43"/>
  <c r="H1902" i="43"/>
  <c r="L1836" i="43"/>
  <c r="M1589" i="43"/>
  <c r="F1655" i="43"/>
  <c r="H1882" i="43"/>
  <c r="L1816" i="43"/>
  <c r="H1834" i="43"/>
  <c r="L1768" i="43"/>
  <c r="K252" i="43"/>
  <c r="G285" i="43"/>
  <c r="G157" i="43"/>
  <c r="K124" i="43"/>
  <c r="L1847" i="43"/>
  <c r="H1913" i="43"/>
  <c r="K284" i="43"/>
  <c r="N284" i="43" s="1"/>
  <c r="D284" i="18" s="1"/>
  <c r="G317" i="43"/>
  <c r="F1265" i="43"/>
  <c r="M1199" i="43"/>
  <c r="L1727" i="43"/>
  <c r="H1793" i="43"/>
  <c r="L1775" i="43"/>
  <c r="H1841" i="43"/>
  <c r="H1799" i="43"/>
  <c r="L1733" i="43"/>
  <c r="L1905" i="43"/>
  <c r="H1971" i="43"/>
  <c r="L1846" i="43" l="1"/>
  <c r="H1912" i="43"/>
  <c r="H1938" i="43"/>
  <c r="L1872" i="43"/>
  <c r="L1791" i="43"/>
  <c r="H1857" i="43"/>
  <c r="G446" i="43"/>
  <c r="K413" i="43"/>
  <c r="N413" i="43" s="1"/>
  <c r="D413" i="18" s="1"/>
  <c r="G766" i="43"/>
  <c r="K733" i="43"/>
  <c r="N733" i="43" s="1"/>
  <c r="D733" i="18" s="1"/>
  <c r="M160" i="43"/>
  <c r="F226" i="43"/>
  <c r="L1908" i="43"/>
  <c r="H1974" i="43"/>
  <c r="L1850" i="43"/>
  <c r="H1916" i="43"/>
  <c r="H2033" i="43"/>
  <c r="L1967" i="43"/>
  <c r="F1201" i="43"/>
  <c r="M1135" i="43"/>
  <c r="F1591" i="43"/>
  <c r="M1525" i="43"/>
  <c r="G638" i="43"/>
  <c r="K605" i="43"/>
  <c r="N605" i="43" s="1"/>
  <c r="D605" i="18" s="1"/>
  <c r="H1917" i="43"/>
  <c r="L1851" i="43"/>
  <c r="H1921" i="43"/>
  <c r="L1855" i="43"/>
  <c r="H1924" i="43"/>
  <c r="L1858" i="43"/>
  <c r="H1985" i="43"/>
  <c r="L1919" i="43"/>
  <c r="G542" i="43"/>
  <c r="K509" i="43"/>
  <c r="L1888" i="43"/>
  <c r="H1954" i="43"/>
  <c r="H1900" i="43"/>
  <c r="L1834" i="43"/>
  <c r="L1953" i="43"/>
  <c r="H2019" i="43"/>
  <c r="F1721" i="43"/>
  <c r="M1655" i="43"/>
  <c r="M1850" i="43"/>
  <c r="F1916" i="43"/>
  <c r="H1993" i="43"/>
  <c r="L1927" i="43"/>
  <c r="F1656" i="43"/>
  <c r="M1590" i="43"/>
  <c r="L1799" i="43"/>
  <c r="H1865" i="43"/>
  <c r="G606" i="43"/>
  <c r="K573" i="43"/>
  <c r="F551" i="43"/>
  <c r="M485" i="43"/>
  <c r="M810" i="43"/>
  <c r="F876" i="43"/>
  <c r="K381" i="43"/>
  <c r="G414" i="43"/>
  <c r="H2113" i="43"/>
  <c r="L2047" i="43"/>
  <c r="L1906" i="43"/>
  <c r="H1972" i="43"/>
  <c r="L1963" i="43"/>
  <c r="H2029" i="43"/>
  <c r="G862" i="43"/>
  <c r="K829" i="43"/>
  <c r="H2081" i="43"/>
  <c r="L2015" i="43"/>
  <c r="K125" i="43"/>
  <c r="G158" i="43"/>
  <c r="G992" i="43"/>
  <c r="K959" i="43"/>
  <c r="F1461" i="43"/>
  <c r="M1395" i="43"/>
  <c r="L1943" i="43"/>
  <c r="H2009" i="43"/>
  <c r="F1006" i="43"/>
  <c r="M940" i="43"/>
  <c r="F616" i="43"/>
  <c r="M550" i="43"/>
  <c r="F811" i="43"/>
  <c r="M745" i="43"/>
  <c r="G318" i="43"/>
  <c r="K285" i="43"/>
  <c r="N285" i="43" s="1"/>
  <c r="D285" i="18" s="1"/>
  <c r="F1071" i="43"/>
  <c r="M1005" i="43"/>
  <c r="K221" i="43"/>
  <c r="N221" i="43" s="1"/>
  <c r="D221" i="18" s="1"/>
  <c r="G254" i="43"/>
  <c r="H2042" i="43"/>
  <c r="L1976" i="43"/>
  <c r="M1851" i="43"/>
  <c r="F1917" i="43"/>
  <c r="H1936" i="43"/>
  <c r="L1870" i="43"/>
  <c r="K894" i="43"/>
  <c r="G927" i="43"/>
  <c r="H2041" i="43"/>
  <c r="L1975" i="43"/>
  <c r="H1999" i="43"/>
  <c r="L1933" i="43"/>
  <c r="K541" i="43"/>
  <c r="N541" i="43" s="1"/>
  <c r="D541" i="18" s="1"/>
  <c r="G574" i="43"/>
  <c r="L1885" i="43"/>
  <c r="H1951" i="43"/>
  <c r="L1878" i="43"/>
  <c r="H1944" i="43"/>
  <c r="K637" i="43"/>
  <c r="G670" i="43"/>
  <c r="H1941" i="43"/>
  <c r="L1875" i="43"/>
  <c r="H1970" i="43"/>
  <c r="L1904" i="43"/>
  <c r="L1898" i="43"/>
  <c r="H1964" i="43"/>
  <c r="M875" i="43"/>
  <c r="F941" i="43"/>
  <c r="H1960" i="43"/>
  <c r="L1894" i="43"/>
  <c r="L1956" i="43"/>
  <c r="H2022" i="43"/>
  <c r="H1962" i="43"/>
  <c r="L1896" i="43"/>
  <c r="M30" i="43"/>
  <c r="F96" i="43"/>
  <c r="F31" i="43"/>
  <c r="L2011" i="43"/>
  <c r="H2077" i="43"/>
  <c r="K189" i="43"/>
  <c r="G222" i="43"/>
  <c r="L1892" i="43"/>
  <c r="H1958" i="43"/>
  <c r="L1793" i="43"/>
  <c r="H1859" i="43"/>
  <c r="H1961" i="43"/>
  <c r="L1895" i="43"/>
  <c r="H2043" i="43"/>
  <c r="L1977" i="43"/>
  <c r="G798" i="43"/>
  <c r="K765" i="43"/>
  <c r="H2078" i="43"/>
  <c r="L2012" i="43"/>
  <c r="L1932" i="43"/>
  <c r="H1998" i="43"/>
  <c r="M95" i="43"/>
  <c r="F161" i="43"/>
  <c r="H2016" i="43"/>
  <c r="L1950" i="43"/>
  <c r="H1969" i="43"/>
  <c r="L1903" i="43"/>
  <c r="G702" i="43"/>
  <c r="K669" i="43"/>
  <c r="N669" i="43" s="1"/>
  <c r="D669" i="18" s="1"/>
  <c r="H1926" i="43"/>
  <c r="L1860" i="43"/>
  <c r="L1854" i="43"/>
  <c r="H1920" i="43"/>
  <c r="F681" i="43"/>
  <c r="M615" i="43"/>
  <c r="H2023" i="43"/>
  <c r="L1957" i="43"/>
  <c r="H1907" i="43"/>
  <c r="L1841" i="43"/>
  <c r="H1940" i="43"/>
  <c r="L1874" i="43"/>
  <c r="G30" i="43"/>
  <c r="K29" i="43"/>
  <c r="N29" i="43" s="1"/>
  <c r="D29" i="18" s="1"/>
  <c r="G62" i="43"/>
  <c r="H1868" i="43"/>
  <c r="L1802" i="43"/>
  <c r="F1526" i="43"/>
  <c r="M1460" i="43"/>
  <c r="K253" i="43"/>
  <c r="G286" i="43"/>
  <c r="G126" i="43"/>
  <c r="K93" i="43"/>
  <c r="N93" i="43" s="1"/>
  <c r="D93" i="18" s="1"/>
  <c r="H1864" i="43"/>
  <c r="L1798" i="43"/>
  <c r="H1922" i="43"/>
  <c r="L1856" i="43"/>
  <c r="H1893" i="43"/>
  <c r="L1827" i="43"/>
  <c r="L1929" i="43"/>
  <c r="H1995" i="43"/>
  <c r="H2018" i="43"/>
  <c r="L1952" i="43"/>
  <c r="H1871" i="43"/>
  <c r="L1805" i="43"/>
  <c r="G350" i="43"/>
  <c r="K317" i="43"/>
  <c r="H1979" i="43"/>
  <c r="L1913" i="43"/>
  <c r="K61" i="43"/>
  <c r="G94" i="43"/>
  <c r="F421" i="43"/>
  <c r="M355" i="43"/>
  <c r="F356" i="43"/>
  <c r="M290" i="43"/>
  <c r="G830" i="43"/>
  <c r="K797" i="43"/>
  <c r="N797" i="43" s="1"/>
  <c r="D797" i="18" s="1"/>
  <c r="H1852" i="43"/>
  <c r="L1786" i="43"/>
  <c r="L1899" i="43"/>
  <c r="H1965" i="43"/>
  <c r="G734" i="43"/>
  <c r="K701" i="43"/>
  <c r="L1882" i="43"/>
  <c r="H1948" i="43"/>
  <c r="M1200" i="43"/>
  <c r="F1266" i="43"/>
  <c r="H2037" i="43"/>
  <c r="L1971" i="43"/>
  <c r="F1852" i="43"/>
  <c r="M1786" i="43"/>
  <c r="L1902" i="43"/>
  <c r="H1968" i="43"/>
  <c r="H1947" i="43"/>
  <c r="L1881" i="43"/>
  <c r="H1869" i="43"/>
  <c r="L1803" i="43"/>
  <c r="M1265" i="43"/>
  <c r="F1331" i="43"/>
  <c r="L1810" i="43"/>
  <c r="H1876" i="43"/>
  <c r="H2137" i="43"/>
  <c r="L2137" i="43" s="1"/>
  <c r="L2071" i="43"/>
  <c r="F1136" i="43"/>
  <c r="M1070" i="43"/>
  <c r="F746" i="43"/>
  <c r="M680" i="43"/>
  <c r="K477" i="43"/>
  <c r="N477" i="43" s="1"/>
  <c r="D477" i="18" s="1"/>
  <c r="G510" i="43"/>
  <c r="F1396" i="43"/>
  <c r="M1330" i="43"/>
  <c r="M225" i="43"/>
  <c r="F291" i="43"/>
  <c r="G190" i="43"/>
  <c r="K157" i="43"/>
  <c r="N157" i="43" s="1"/>
  <c r="D157" i="18" s="1"/>
  <c r="H1955" i="43"/>
  <c r="L1889" i="43"/>
  <c r="K445" i="43"/>
  <c r="G478" i="43"/>
  <c r="K349" i="43"/>
  <c r="N349" i="43" s="1"/>
  <c r="D349" i="18" s="1"/>
  <c r="G382" i="43"/>
  <c r="L1980" i="43"/>
  <c r="H2046" i="43"/>
  <c r="F486" i="43"/>
  <c r="M420" i="43"/>
  <c r="H1994" i="43"/>
  <c r="L1928" i="43"/>
  <c r="L1857" i="43" l="1"/>
  <c r="H1923" i="43"/>
  <c r="L1938" i="43"/>
  <c r="H2004" i="43"/>
  <c r="L1912" i="43"/>
  <c r="H1978" i="43"/>
  <c r="H1987" i="43"/>
  <c r="L1921" i="43"/>
  <c r="L1936" i="43"/>
  <c r="H2002" i="43"/>
  <c r="M1916" i="43"/>
  <c r="F1982" i="43"/>
  <c r="H2030" i="43"/>
  <c r="L1964" i="43"/>
  <c r="G191" i="43"/>
  <c r="K158" i="43"/>
  <c r="N158" i="43" s="1"/>
  <c r="D158" i="18" s="1"/>
  <c r="F552" i="43"/>
  <c r="M486" i="43"/>
  <c r="H2147" i="43"/>
  <c r="L2147" i="43" s="1"/>
  <c r="L2081" i="43"/>
  <c r="F1267" i="43"/>
  <c r="M1201" i="43"/>
  <c r="H2006" i="43"/>
  <c r="L1940" i="43"/>
  <c r="L1995" i="43"/>
  <c r="H2061" i="43"/>
  <c r="L1864" i="43"/>
  <c r="H1930" i="43"/>
  <c r="H2010" i="43"/>
  <c r="L1944" i="43"/>
  <c r="K510" i="43"/>
  <c r="G543" i="43"/>
  <c r="H1925" i="43"/>
  <c r="L1859" i="43"/>
  <c r="F747" i="43"/>
  <c r="M681" i="43"/>
  <c r="K670" i="43"/>
  <c r="N670" i="43" s="1"/>
  <c r="D670" i="18" s="1"/>
  <c r="G703" i="43"/>
  <c r="K830" i="43"/>
  <c r="G863" i="43"/>
  <c r="H1992" i="43"/>
  <c r="L1926" i="43"/>
  <c r="G255" i="43"/>
  <c r="K222" i="43"/>
  <c r="N222" i="43" s="1"/>
  <c r="D222" i="18" s="1"/>
  <c r="K862" i="43"/>
  <c r="N862" i="43" s="1"/>
  <c r="D862" i="18" s="1"/>
  <c r="G895" i="43"/>
  <c r="F1787" i="43"/>
  <c r="M1721" i="43"/>
  <c r="H2099" i="43"/>
  <c r="L2033" i="43"/>
  <c r="L1871" i="43"/>
  <c r="H1937" i="43"/>
  <c r="K798" i="43"/>
  <c r="N798" i="43" s="1"/>
  <c r="D798" i="18" s="1"/>
  <c r="G831" i="43"/>
  <c r="K992" i="43"/>
  <c r="N992" i="43" s="1"/>
  <c r="D992" i="18" s="1"/>
  <c r="G1025" i="43"/>
  <c r="H2031" i="43"/>
  <c r="L1965" i="43"/>
  <c r="H2017" i="43"/>
  <c r="L1951" i="43"/>
  <c r="H2095" i="43"/>
  <c r="L2029" i="43"/>
  <c r="H2085" i="43"/>
  <c r="L2019" i="43"/>
  <c r="L1916" i="43"/>
  <c r="H1982" i="43"/>
  <c r="H2075" i="43"/>
  <c r="L2009" i="43"/>
  <c r="F1983" i="43"/>
  <c r="M1917" i="43"/>
  <c r="L1994" i="43"/>
  <c r="H2060" i="43"/>
  <c r="H2059" i="43"/>
  <c r="L1993" i="43"/>
  <c r="G415" i="43"/>
  <c r="K382" i="43"/>
  <c r="G159" i="43"/>
  <c r="K126" i="43"/>
  <c r="G735" i="43"/>
  <c r="K702" i="43"/>
  <c r="L2077" i="43"/>
  <c r="H2143" i="43"/>
  <c r="L2143" i="43" s="1"/>
  <c r="H1931" i="43"/>
  <c r="L1865" i="43"/>
  <c r="H2089" i="43"/>
  <c r="L2023" i="43"/>
  <c r="L1922" i="43"/>
  <c r="H1988" i="43"/>
  <c r="H1918" i="43"/>
  <c r="L1852" i="43"/>
  <c r="F422" i="43"/>
  <c r="M356" i="43"/>
  <c r="G319" i="43"/>
  <c r="K286" i="43"/>
  <c r="N286" i="43" s="1"/>
  <c r="D286" i="18" s="1"/>
  <c r="G607" i="43"/>
  <c r="K574" i="43"/>
  <c r="M1071" i="43"/>
  <c r="F1137" i="43"/>
  <c r="H2038" i="43"/>
  <c r="L1972" i="43"/>
  <c r="H2040" i="43"/>
  <c r="L1974" i="43"/>
  <c r="L2018" i="43"/>
  <c r="H2084" i="43"/>
  <c r="H2109" i="43"/>
  <c r="L2043" i="43"/>
  <c r="L2042" i="43"/>
  <c r="H2108" i="43"/>
  <c r="H1959" i="43"/>
  <c r="L1893" i="43"/>
  <c r="H2007" i="43"/>
  <c r="L1941" i="43"/>
  <c r="H1986" i="43"/>
  <c r="L1920" i="43"/>
  <c r="H1966" i="43"/>
  <c r="L1900" i="43"/>
  <c r="M1136" i="43"/>
  <c r="F1202" i="43"/>
  <c r="G287" i="43"/>
  <c r="K254" i="43"/>
  <c r="H2112" i="43"/>
  <c r="L2046" i="43"/>
  <c r="H2020" i="43"/>
  <c r="L1954" i="43"/>
  <c r="F1592" i="43"/>
  <c r="M1526" i="43"/>
  <c r="H2065" i="43"/>
  <c r="L1999" i="43"/>
  <c r="G351" i="43"/>
  <c r="K318" i="43"/>
  <c r="H2179" i="43"/>
  <c r="L2179" i="43" s="1"/>
  <c r="L2113" i="43"/>
  <c r="F292" i="43"/>
  <c r="M226" i="43"/>
  <c r="K606" i="43"/>
  <c r="N606" i="43" s="1"/>
  <c r="D606" i="18" s="1"/>
  <c r="G639" i="43"/>
  <c r="H2014" i="43"/>
  <c r="L1948" i="43"/>
  <c r="F1527" i="43"/>
  <c r="M1461" i="43"/>
  <c r="K638" i="43"/>
  <c r="G671" i="43"/>
  <c r="F1657" i="43"/>
  <c r="M1591" i="43"/>
  <c r="F1397" i="43"/>
  <c r="M1331" i="43"/>
  <c r="H2035" i="43"/>
  <c r="L1969" i="43"/>
  <c r="H2021" i="43"/>
  <c r="L1955" i="43"/>
  <c r="M421" i="43"/>
  <c r="F487" i="43"/>
  <c r="F162" i="43"/>
  <c r="M96" i="43"/>
  <c r="L1947" i="43"/>
  <c r="H2013" i="43"/>
  <c r="K94" i="43"/>
  <c r="N94" i="43" s="1"/>
  <c r="D94" i="18" s="1"/>
  <c r="G127" i="43"/>
  <c r="H2082" i="43"/>
  <c r="L2016" i="43"/>
  <c r="K190" i="43"/>
  <c r="G223" i="43"/>
  <c r="H2034" i="43"/>
  <c r="L1968" i="43"/>
  <c r="F227" i="43"/>
  <c r="M161" i="43"/>
  <c r="G447" i="43"/>
  <c r="K414" i="43"/>
  <c r="N414" i="43" s="1"/>
  <c r="D414" i="18" s="1"/>
  <c r="K734" i="43"/>
  <c r="N734" i="43" s="1"/>
  <c r="D734" i="18" s="1"/>
  <c r="G767" i="43"/>
  <c r="H1934" i="43"/>
  <c r="L1868" i="43"/>
  <c r="H2107" i="43"/>
  <c r="L2041" i="43"/>
  <c r="G575" i="43"/>
  <c r="K542" i="43"/>
  <c r="N542" i="43" s="1"/>
  <c r="D542" i="18" s="1"/>
  <c r="F1332" i="43"/>
  <c r="M1266" i="43"/>
  <c r="H1983" i="43"/>
  <c r="L1917" i="43"/>
  <c r="H2024" i="43"/>
  <c r="L1958" i="43"/>
  <c r="M811" i="43"/>
  <c r="F877" i="43"/>
  <c r="H2045" i="43"/>
  <c r="L1979" i="43"/>
  <c r="G95" i="43"/>
  <c r="K62" i="43"/>
  <c r="L1998" i="43"/>
  <c r="H2064" i="43"/>
  <c r="H2088" i="43"/>
  <c r="L2022" i="43"/>
  <c r="F942" i="43"/>
  <c r="M876" i="43"/>
  <c r="K766" i="43"/>
  <c r="G799" i="43"/>
  <c r="H1973" i="43"/>
  <c r="L1907" i="43"/>
  <c r="M1656" i="43"/>
  <c r="F1722" i="43"/>
  <c r="G511" i="43"/>
  <c r="K478" i="43"/>
  <c r="N478" i="43" s="1"/>
  <c r="D478" i="18" s="1"/>
  <c r="F357" i="43"/>
  <c r="M291" i="43"/>
  <c r="F1918" i="43"/>
  <c r="M1852" i="43"/>
  <c r="M616" i="43"/>
  <c r="F682" i="43"/>
  <c r="H2051" i="43"/>
  <c r="L1985" i="43"/>
  <c r="F812" i="43"/>
  <c r="M746" i="43"/>
  <c r="H2027" i="43"/>
  <c r="L1961" i="43"/>
  <c r="H1942" i="43"/>
  <c r="L1876" i="43"/>
  <c r="F1462" i="43"/>
  <c r="M1396" i="43"/>
  <c r="K350" i="43"/>
  <c r="N350" i="43" s="1"/>
  <c r="D350" i="18" s="1"/>
  <c r="G383" i="43"/>
  <c r="G63" i="43"/>
  <c r="K30" i="43"/>
  <c r="N30" i="43" s="1"/>
  <c r="D30" i="18" s="1"/>
  <c r="G31" i="43"/>
  <c r="G960" i="43"/>
  <c r="K927" i="43"/>
  <c r="N927" i="43" s="1"/>
  <c r="D927" i="18" s="1"/>
  <c r="G479" i="43"/>
  <c r="K446" i="43"/>
  <c r="M941" i="43"/>
  <c r="F1007" i="43"/>
  <c r="L1970" i="43"/>
  <c r="H2036" i="43"/>
  <c r="H1935" i="43"/>
  <c r="L1869" i="43"/>
  <c r="F97" i="43"/>
  <c r="F32" i="43"/>
  <c r="M31" i="43"/>
  <c r="H2028" i="43"/>
  <c r="L1962" i="43"/>
  <c r="H2103" i="43"/>
  <c r="L2037" i="43"/>
  <c r="H2144" i="43"/>
  <c r="L2144" i="43" s="1"/>
  <c r="L2078" i="43"/>
  <c r="L1960" i="43"/>
  <c r="H2026" i="43"/>
  <c r="M1006" i="43"/>
  <c r="F1072" i="43"/>
  <c r="F617" i="43"/>
  <c r="M551" i="43"/>
  <c r="H1990" i="43"/>
  <c r="L1924" i="43"/>
  <c r="L1978" i="43" l="1"/>
  <c r="H2044" i="43"/>
  <c r="L2004" i="43"/>
  <c r="H2070" i="43"/>
  <c r="L1923" i="43"/>
  <c r="H1989" i="43"/>
  <c r="H2076" i="43"/>
  <c r="L2010" i="43"/>
  <c r="F943" i="43"/>
  <c r="M877" i="43"/>
  <c r="F1138" i="43"/>
  <c r="M1072" i="43"/>
  <c r="K479" i="43"/>
  <c r="N479" i="43" s="1"/>
  <c r="D479" i="18" s="1"/>
  <c r="G512" i="43"/>
  <c r="F1984" i="43"/>
  <c r="M1918" i="43"/>
  <c r="H2100" i="43"/>
  <c r="L2034" i="43"/>
  <c r="K319" i="43"/>
  <c r="G352" i="43"/>
  <c r="M1787" i="43"/>
  <c r="F1853" i="43"/>
  <c r="H2127" i="43"/>
  <c r="L2127" i="43" s="1"/>
  <c r="L2061" i="43"/>
  <c r="G256" i="43"/>
  <c r="K223" i="43"/>
  <c r="N223" i="43" s="1"/>
  <c r="D223" i="18" s="1"/>
  <c r="F1593" i="43"/>
  <c r="M1527" i="43"/>
  <c r="F2049" i="43"/>
  <c r="M1983" i="43"/>
  <c r="K895" i="43"/>
  <c r="G928" i="43"/>
  <c r="L2059" i="43"/>
  <c r="H2125" i="43"/>
  <c r="L2125" i="43" s="1"/>
  <c r="H2111" i="43"/>
  <c r="L2045" i="43"/>
  <c r="G32" i="43"/>
  <c r="G64" i="43"/>
  <c r="K31" i="43"/>
  <c r="N31" i="43" s="1"/>
  <c r="D31" i="18" s="1"/>
  <c r="H2080" i="43"/>
  <c r="L2014" i="43"/>
  <c r="H2141" i="43"/>
  <c r="L2141" i="43" s="1"/>
  <c r="L2075" i="43"/>
  <c r="H2072" i="43"/>
  <c r="L2006" i="43"/>
  <c r="F748" i="43"/>
  <c r="M682" i="43"/>
  <c r="G640" i="43"/>
  <c r="K607" i="43"/>
  <c r="N607" i="43" s="1"/>
  <c r="D607" i="18" s="1"/>
  <c r="H2032" i="43"/>
  <c r="L1966" i="43"/>
  <c r="K863" i="43"/>
  <c r="N863" i="43" s="1"/>
  <c r="D863" i="18" s="1"/>
  <c r="G896" i="43"/>
  <c r="L2060" i="43"/>
  <c r="H2126" i="43"/>
  <c r="L2126" i="43" s="1"/>
  <c r="H2092" i="43"/>
  <c r="L2026" i="43"/>
  <c r="H2049" i="43"/>
  <c r="L1983" i="43"/>
  <c r="M1722" i="43"/>
  <c r="F1788" i="43"/>
  <c r="F1333" i="43"/>
  <c r="M1267" i="43"/>
  <c r="F1528" i="43"/>
  <c r="M1462" i="43"/>
  <c r="K799" i="43"/>
  <c r="N799" i="43" s="1"/>
  <c r="D799" i="18" s="1"/>
  <c r="G832" i="43"/>
  <c r="L2108" i="43"/>
  <c r="H2174" i="43"/>
  <c r="L2174" i="43" s="1"/>
  <c r="H2161" i="43"/>
  <c r="L2161" i="43" s="1"/>
  <c r="L2095" i="43"/>
  <c r="G736" i="43"/>
  <c r="K703" i="43"/>
  <c r="F618" i="43"/>
  <c r="M552" i="43"/>
  <c r="L1930" i="43"/>
  <c r="H1996" i="43"/>
  <c r="F423" i="43"/>
  <c r="M357" i="43"/>
  <c r="F1398" i="43"/>
  <c r="M1332" i="43"/>
  <c r="L2028" i="43"/>
  <c r="H2094" i="43"/>
  <c r="L2107" i="43"/>
  <c r="H2173" i="43"/>
  <c r="L2173" i="43" s="1"/>
  <c r="F553" i="43"/>
  <c r="M487" i="43"/>
  <c r="G384" i="43"/>
  <c r="K351" i="43"/>
  <c r="N351" i="43" s="1"/>
  <c r="D351" i="18" s="1"/>
  <c r="H2083" i="43"/>
  <c r="L2017" i="43"/>
  <c r="G224" i="43"/>
  <c r="K191" i="43"/>
  <c r="F1073" i="43"/>
  <c r="M1007" i="43"/>
  <c r="H2165" i="43"/>
  <c r="L2165" i="43" s="1"/>
  <c r="L2099" i="43"/>
  <c r="F683" i="43"/>
  <c r="M617" i="43"/>
  <c r="H1984" i="43"/>
  <c r="L1918" i="43"/>
  <c r="H2175" i="43"/>
  <c r="L2175" i="43" s="1"/>
  <c r="L2109" i="43"/>
  <c r="M747" i="43"/>
  <c r="F813" i="43"/>
  <c r="H2090" i="43"/>
  <c r="L2024" i="43"/>
  <c r="G288" i="43"/>
  <c r="K255" i="43"/>
  <c r="K63" i="43"/>
  <c r="G96" i="43"/>
  <c r="G160" i="43"/>
  <c r="K127" i="43"/>
  <c r="H2073" i="43"/>
  <c r="L2007" i="43"/>
  <c r="F358" i="43"/>
  <c r="M292" i="43"/>
  <c r="H2169" i="43"/>
  <c r="L2169" i="43" s="1"/>
  <c r="L2103" i="43"/>
  <c r="H2039" i="43"/>
  <c r="L1973" i="43"/>
  <c r="H1997" i="43"/>
  <c r="L1931" i="43"/>
  <c r="F98" i="43"/>
  <c r="F33" i="43"/>
  <c r="M32" i="43"/>
  <c r="H2000" i="43"/>
  <c r="L1934" i="43"/>
  <c r="H2131" i="43"/>
  <c r="L2131" i="43" s="1"/>
  <c r="L2065" i="43"/>
  <c r="L2084" i="43"/>
  <c r="H2150" i="43"/>
  <c r="L2150" i="43" s="1"/>
  <c r="H2096" i="43"/>
  <c r="L2030" i="43"/>
  <c r="K639" i="43"/>
  <c r="G672" i="43"/>
  <c r="H2058" i="43"/>
  <c r="L1992" i="43"/>
  <c r="H2025" i="43"/>
  <c r="L1959" i="43"/>
  <c r="H2087" i="43"/>
  <c r="L2021" i="43"/>
  <c r="H2097" i="43"/>
  <c r="L2031" i="43"/>
  <c r="H1991" i="43"/>
  <c r="L1925" i="43"/>
  <c r="F2048" i="43"/>
  <c r="M1982" i="43"/>
  <c r="G993" i="43"/>
  <c r="K960" i="43"/>
  <c r="H2093" i="43"/>
  <c r="L2027" i="43"/>
  <c r="G800" i="43"/>
  <c r="K767" i="43"/>
  <c r="M1592" i="43"/>
  <c r="F1658" i="43"/>
  <c r="K735" i="43"/>
  <c r="N735" i="43" s="1"/>
  <c r="D735" i="18" s="1"/>
  <c r="G768" i="43"/>
  <c r="G1058" i="43"/>
  <c r="K1025" i="43"/>
  <c r="G576" i="43"/>
  <c r="K543" i="43"/>
  <c r="N543" i="43" s="1"/>
  <c r="D543" i="18" s="1"/>
  <c r="M422" i="43"/>
  <c r="F488" i="43"/>
  <c r="H2048" i="43"/>
  <c r="L1982" i="43"/>
  <c r="L1988" i="43"/>
  <c r="H2054" i="43"/>
  <c r="H2079" i="43"/>
  <c r="L2013" i="43"/>
  <c r="H2106" i="43"/>
  <c r="L2040" i="43"/>
  <c r="H2052" i="43"/>
  <c r="L1986" i="43"/>
  <c r="F1008" i="43"/>
  <c r="M942" i="43"/>
  <c r="H2001" i="43"/>
  <c r="L1935" i="43"/>
  <c r="H2154" i="43"/>
  <c r="L2154" i="43" s="1"/>
  <c r="L2088" i="43"/>
  <c r="L2035" i="43"/>
  <c r="H2101" i="43"/>
  <c r="L2036" i="43"/>
  <c r="H2102" i="43"/>
  <c r="F878" i="43"/>
  <c r="M812" i="43"/>
  <c r="H2130" i="43"/>
  <c r="L2130" i="43" s="1"/>
  <c r="L2064" i="43"/>
  <c r="G192" i="43"/>
  <c r="K159" i="43"/>
  <c r="N159" i="43" s="1"/>
  <c r="D159" i="18" s="1"/>
  <c r="G864" i="43"/>
  <c r="K831" i="43"/>
  <c r="H2068" i="43"/>
  <c r="L2002" i="43"/>
  <c r="M1657" i="43"/>
  <c r="F1723" i="43"/>
  <c r="G320" i="43"/>
  <c r="K287" i="43"/>
  <c r="N287" i="43" s="1"/>
  <c r="D287" i="18" s="1"/>
  <c r="K511" i="43"/>
  <c r="G544" i="43"/>
  <c r="G416" i="43"/>
  <c r="K383" i="43"/>
  <c r="H2151" i="43"/>
  <c r="L2151" i="43" s="1"/>
  <c r="L2085" i="43"/>
  <c r="K575" i="43"/>
  <c r="G608" i="43"/>
  <c r="F1463" i="43"/>
  <c r="M1397" i="43"/>
  <c r="H2086" i="43"/>
  <c r="L2020" i="43"/>
  <c r="H2104" i="43"/>
  <c r="L2038" i="43"/>
  <c r="F293" i="43"/>
  <c r="M227" i="43"/>
  <c r="G704" i="43"/>
  <c r="K671" i="43"/>
  <c r="N671" i="43" s="1"/>
  <c r="D671" i="18" s="1"/>
  <c r="F1268" i="43"/>
  <c r="M1202" i="43"/>
  <c r="H2148" i="43"/>
  <c r="L2148" i="43" s="1"/>
  <c r="L2082" i="43"/>
  <c r="F228" i="43"/>
  <c r="M162" i="43"/>
  <c r="M97" i="43"/>
  <c r="F163" i="43"/>
  <c r="K447" i="43"/>
  <c r="G480" i="43"/>
  <c r="F1203" i="43"/>
  <c r="M1137" i="43"/>
  <c r="K415" i="43"/>
  <c r="N415" i="43" s="1"/>
  <c r="D415" i="18" s="1"/>
  <c r="G448" i="43"/>
  <c r="H2003" i="43"/>
  <c r="L1937" i="43"/>
  <c r="H2056" i="43"/>
  <c r="L1990" i="43"/>
  <c r="H2155" i="43"/>
  <c r="L2155" i="43" s="1"/>
  <c r="L2089" i="43"/>
  <c r="H2008" i="43"/>
  <c r="L1942" i="43"/>
  <c r="H2117" i="43"/>
  <c r="L2117" i="43" s="1"/>
  <c r="L2051" i="43"/>
  <c r="G128" i="43"/>
  <c r="K95" i="43"/>
  <c r="N95" i="43" s="1"/>
  <c r="D95" i="18" s="1"/>
  <c r="H2178" i="43"/>
  <c r="L2178" i="43" s="1"/>
  <c r="L2112" i="43"/>
  <c r="L1987" i="43"/>
  <c r="H2053" i="43"/>
  <c r="H2055" i="43" l="1"/>
  <c r="L1989" i="43"/>
  <c r="H2136" i="43"/>
  <c r="L2136" i="43" s="1"/>
  <c r="L2070" i="43"/>
  <c r="L2044" i="43"/>
  <c r="H2110" i="43"/>
  <c r="F1659" i="43"/>
  <c r="M1593" i="43"/>
  <c r="G929" i="43"/>
  <c r="K896" i="43"/>
  <c r="G289" i="43"/>
  <c r="K256" i="43"/>
  <c r="F944" i="43"/>
  <c r="M878" i="43"/>
  <c r="G769" i="43"/>
  <c r="K736" i="43"/>
  <c r="N736" i="43" s="1"/>
  <c r="D736" i="18" s="1"/>
  <c r="K640" i="43"/>
  <c r="G673" i="43"/>
  <c r="H2145" i="43"/>
  <c r="L2145" i="43" s="1"/>
  <c r="L2079" i="43"/>
  <c r="M98" i="43"/>
  <c r="F164" i="43"/>
  <c r="G225" i="43"/>
  <c r="K192" i="43"/>
  <c r="H2153" i="43"/>
  <c r="L2153" i="43" s="1"/>
  <c r="L2087" i="43"/>
  <c r="G897" i="43"/>
  <c r="K864" i="43"/>
  <c r="N864" i="43" s="1"/>
  <c r="D864" i="18" s="1"/>
  <c r="F1139" i="43"/>
  <c r="M1073" i="43"/>
  <c r="M748" i="43"/>
  <c r="F814" i="43"/>
  <c r="F1919" i="43"/>
  <c r="M1853" i="43"/>
  <c r="F34" i="43"/>
  <c r="F99" i="43"/>
  <c r="M33" i="43"/>
  <c r="H2120" i="43"/>
  <c r="L2120" i="43" s="1"/>
  <c r="L2054" i="43"/>
  <c r="H2098" i="43"/>
  <c r="L2032" i="43"/>
  <c r="G609" i="43"/>
  <c r="K576" i="43"/>
  <c r="M358" i="43"/>
  <c r="F424" i="43"/>
  <c r="L1984" i="43"/>
  <c r="H2050" i="43"/>
  <c r="L2097" i="43"/>
  <c r="H2163" i="43"/>
  <c r="L2163" i="43" s="1"/>
  <c r="L2025" i="43"/>
  <c r="H2091" i="43"/>
  <c r="G257" i="43"/>
  <c r="K224" i="43"/>
  <c r="N224" i="43" s="1"/>
  <c r="D224" i="18" s="1"/>
  <c r="H2138" i="43"/>
  <c r="L2138" i="43" s="1"/>
  <c r="L2072" i="43"/>
  <c r="G385" i="43"/>
  <c r="K352" i="43"/>
  <c r="N352" i="43" s="1"/>
  <c r="D352" i="18" s="1"/>
  <c r="K448" i="43"/>
  <c r="G481" i="43"/>
  <c r="H2152" i="43"/>
  <c r="L2152" i="43" s="1"/>
  <c r="L2086" i="43"/>
  <c r="G1091" i="43"/>
  <c r="K1058" i="43"/>
  <c r="N1058" i="43" s="1"/>
  <c r="D1058" i="18" s="1"/>
  <c r="H2139" i="43"/>
  <c r="L2139" i="43" s="1"/>
  <c r="L2073" i="43"/>
  <c r="G865" i="43"/>
  <c r="K832" i="43"/>
  <c r="H2057" i="43"/>
  <c r="L1991" i="43"/>
  <c r="H2069" i="43"/>
  <c r="L2003" i="43"/>
  <c r="F489" i="43"/>
  <c r="M423" i="43"/>
  <c r="K608" i="43"/>
  <c r="N608" i="43" s="1"/>
  <c r="D608" i="18" s="1"/>
  <c r="G641" i="43"/>
  <c r="L2100" i="43"/>
  <c r="H2166" i="43"/>
  <c r="L2166" i="43" s="1"/>
  <c r="G449" i="43"/>
  <c r="K416" i="43"/>
  <c r="N416" i="43" s="1"/>
  <c r="D416" i="18" s="1"/>
  <c r="H2067" i="43"/>
  <c r="L2001" i="43"/>
  <c r="M1658" i="43"/>
  <c r="F1724" i="43"/>
  <c r="G129" i="43"/>
  <c r="K96" i="43"/>
  <c r="N96" i="43" s="1"/>
  <c r="D96" i="18" s="1"/>
  <c r="K384" i="43"/>
  <c r="G417" i="43"/>
  <c r="M1528" i="43"/>
  <c r="F1594" i="43"/>
  <c r="L2080" i="43"/>
  <c r="H2146" i="43"/>
  <c r="L2146" i="43" s="1"/>
  <c r="H2063" i="43"/>
  <c r="L1997" i="43"/>
  <c r="H2105" i="43"/>
  <c r="L2039" i="43"/>
  <c r="H2168" i="43"/>
  <c r="L2168" i="43" s="1"/>
  <c r="L2102" i="43"/>
  <c r="M1984" i="43"/>
  <c r="F2050" i="43"/>
  <c r="M228" i="43"/>
  <c r="F294" i="43"/>
  <c r="F619" i="43"/>
  <c r="M553" i="43"/>
  <c r="F1399" i="43"/>
  <c r="M1333" i="43"/>
  <c r="G97" i="43"/>
  <c r="K64" i="43"/>
  <c r="G545" i="43"/>
  <c r="K512" i="43"/>
  <c r="M2049" i="43"/>
  <c r="F2115" i="43"/>
  <c r="M2115" i="43" s="1"/>
  <c r="M163" i="43"/>
  <c r="F229" i="43"/>
  <c r="K128" i="43"/>
  <c r="G161" i="43"/>
  <c r="M488" i="43"/>
  <c r="F554" i="43"/>
  <c r="K768" i="43"/>
  <c r="G801" i="43"/>
  <c r="K672" i="43"/>
  <c r="N672" i="43" s="1"/>
  <c r="D672" i="18" s="1"/>
  <c r="G705" i="43"/>
  <c r="G353" i="43"/>
  <c r="K320" i="43"/>
  <c r="F684" i="43"/>
  <c r="M618" i="43"/>
  <c r="M1203" i="43"/>
  <c r="F1269" i="43"/>
  <c r="G513" i="43"/>
  <c r="K480" i="43"/>
  <c r="N480" i="43" s="1"/>
  <c r="D480" i="18" s="1"/>
  <c r="L2083" i="43"/>
  <c r="H2149" i="43"/>
  <c r="L2149" i="43" s="1"/>
  <c r="K544" i="43"/>
  <c r="N544" i="43" s="1"/>
  <c r="D544" i="18" s="1"/>
  <c r="G577" i="43"/>
  <c r="L2008" i="43"/>
  <c r="H2074" i="43"/>
  <c r="M1268" i="43"/>
  <c r="F1334" i="43"/>
  <c r="F1789" i="43"/>
  <c r="M1723" i="43"/>
  <c r="H2159" i="43"/>
  <c r="L2159" i="43" s="1"/>
  <c r="L2093" i="43"/>
  <c r="L2090" i="43"/>
  <c r="H2156" i="43"/>
  <c r="L2156" i="43" s="1"/>
  <c r="H2160" i="43"/>
  <c r="L2160" i="43" s="1"/>
  <c r="L2094" i="43"/>
  <c r="H2177" i="43"/>
  <c r="L2177" i="43" s="1"/>
  <c r="L2111" i="43"/>
  <c r="F1204" i="43"/>
  <c r="M1138" i="43"/>
  <c r="F1529" i="43"/>
  <c r="M1463" i="43"/>
  <c r="H2119" i="43"/>
  <c r="L2119" i="43" s="1"/>
  <c r="L2053" i="43"/>
  <c r="H2167" i="43"/>
  <c r="L2167" i="43" s="1"/>
  <c r="L2101" i="43"/>
  <c r="H2124" i="43"/>
  <c r="L2124" i="43" s="1"/>
  <c r="L2058" i="43"/>
  <c r="G193" i="43"/>
  <c r="K160" i="43"/>
  <c r="N160" i="43" s="1"/>
  <c r="D160" i="18" s="1"/>
  <c r="H2162" i="43"/>
  <c r="L2162" i="43" s="1"/>
  <c r="L2096" i="43"/>
  <c r="K800" i="43"/>
  <c r="N800" i="43" s="1"/>
  <c r="D800" i="18" s="1"/>
  <c r="G833" i="43"/>
  <c r="K288" i="43"/>
  <c r="N288" i="43" s="1"/>
  <c r="D288" i="18" s="1"/>
  <c r="G321" i="43"/>
  <c r="H2115" i="43"/>
  <c r="L2115" i="43" s="1"/>
  <c r="L2049" i="43"/>
  <c r="G33" i="43"/>
  <c r="G65" i="43"/>
  <c r="K32" i="43"/>
  <c r="N32" i="43" s="1"/>
  <c r="D32" i="18" s="1"/>
  <c r="L2052" i="43"/>
  <c r="H2118" i="43"/>
  <c r="L2118" i="43" s="1"/>
  <c r="K704" i="43"/>
  <c r="G737" i="43"/>
  <c r="G1026" i="43"/>
  <c r="K993" i="43"/>
  <c r="N993" i="43" s="1"/>
  <c r="D993" i="18" s="1"/>
  <c r="M813" i="43"/>
  <c r="F879" i="43"/>
  <c r="M943" i="43"/>
  <c r="F1009" i="43"/>
  <c r="H2062" i="43"/>
  <c r="L1996" i="43"/>
  <c r="L2104" i="43"/>
  <c r="H2170" i="43"/>
  <c r="L2170" i="43" s="1"/>
  <c r="H2114" i="43"/>
  <c r="L2114" i="43" s="1"/>
  <c r="L2048" i="43"/>
  <c r="F1074" i="43"/>
  <c r="M1008" i="43"/>
  <c r="H2134" i="43"/>
  <c r="L2134" i="43" s="1"/>
  <c r="L2068" i="43"/>
  <c r="H2172" i="43"/>
  <c r="L2172" i="43" s="1"/>
  <c r="L2106" i="43"/>
  <c r="H2066" i="43"/>
  <c r="L2000" i="43"/>
  <c r="F1464" i="43"/>
  <c r="M1398" i="43"/>
  <c r="H2158" i="43"/>
  <c r="L2158" i="43" s="1"/>
  <c r="L2092" i="43"/>
  <c r="G961" i="43"/>
  <c r="K928" i="43"/>
  <c r="N928" i="43" s="1"/>
  <c r="D928" i="18" s="1"/>
  <c r="F2114" i="43"/>
  <c r="M2114" i="43" s="1"/>
  <c r="M2048" i="43"/>
  <c r="F749" i="43"/>
  <c r="M683" i="43"/>
  <c r="F1854" i="43"/>
  <c r="M1788" i="43"/>
  <c r="H2122" i="43"/>
  <c r="L2122" i="43" s="1"/>
  <c r="L2056" i="43"/>
  <c r="F359" i="43"/>
  <c r="M293" i="43"/>
  <c r="L2076" i="43"/>
  <c r="H2142" i="43"/>
  <c r="L2142" i="43" s="1"/>
  <c r="H2176" i="43" l="1"/>
  <c r="L2176" i="43" s="1"/>
  <c r="L2110" i="43"/>
  <c r="H2121" i="43"/>
  <c r="L2121" i="43" s="1"/>
  <c r="L2055" i="43"/>
  <c r="G930" i="43"/>
  <c r="K897" i="43"/>
  <c r="H2135" i="43"/>
  <c r="L2135" i="43" s="1"/>
  <c r="L2069" i="43"/>
  <c r="H2171" i="43"/>
  <c r="L2171" i="43" s="1"/>
  <c r="L2105" i="43"/>
  <c r="G290" i="43"/>
  <c r="K257" i="43"/>
  <c r="H2123" i="43"/>
  <c r="L2123" i="43" s="1"/>
  <c r="L2057" i="43"/>
  <c r="H2116" i="43"/>
  <c r="L2116" i="43" s="1"/>
  <c r="L2050" i="43"/>
  <c r="F1660" i="43"/>
  <c r="M1594" i="43"/>
  <c r="G258" i="43"/>
  <c r="K225" i="43"/>
  <c r="N225" i="43" s="1"/>
  <c r="D225" i="18" s="1"/>
  <c r="M164" i="43"/>
  <c r="F230" i="43"/>
  <c r="G194" i="43"/>
  <c r="K161" i="43"/>
  <c r="N161" i="43" s="1"/>
  <c r="D161" i="18" s="1"/>
  <c r="M1854" i="43"/>
  <c r="F1920" i="43"/>
  <c r="K417" i="43"/>
  <c r="N417" i="43" s="1"/>
  <c r="D417" i="18" s="1"/>
  <c r="G450" i="43"/>
  <c r="G898" i="43"/>
  <c r="K865" i="43"/>
  <c r="N865" i="43" s="1"/>
  <c r="D865" i="18" s="1"/>
  <c r="F490" i="43"/>
  <c r="M424" i="43"/>
  <c r="G578" i="43"/>
  <c r="K545" i="43"/>
  <c r="N545" i="43" s="1"/>
  <c r="D545" i="18" s="1"/>
  <c r="F1400" i="43"/>
  <c r="M1334" i="43"/>
  <c r="F555" i="43"/>
  <c r="M489" i="43"/>
  <c r="F1075" i="43"/>
  <c r="M1009" i="43"/>
  <c r="K609" i="43"/>
  <c r="N609" i="43" s="1"/>
  <c r="D609" i="18" s="1"/>
  <c r="G642" i="43"/>
  <c r="G706" i="43"/>
  <c r="K673" i="43"/>
  <c r="N673" i="43" s="1"/>
  <c r="D673" i="18" s="1"/>
  <c r="M1269" i="43"/>
  <c r="F1335" i="43"/>
  <c r="K1091" i="43"/>
  <c r="G1124" i="43"/>
  <c r="K129" i="43"/>
  <c r="G162" i="43"/>
  <c r="G802" i="43"/>
  <c r="K769" i="43"/>
  <c r="F620" i="43"/>
  <c r="M554" i="43"/>
  <c r="H2129" i="43"/>
  <c r="L2129" i="43" s="1"/>
  <c r="L2063" i="43"/>
  <c r="K193" i="43"/>
  <c r="G226" i="43"/>
  <c r="M1204" i="43"/>
  <c r="F1270" i="43"/>
  <c r="M684" i="43"/>
  <c r="F750" i="43"/>
  <c r="F685" i="43"/>
  <c r="M619" i="43"/>
  <c r="M1789" i="43"/>
  <c r="F1855" i="43"/>
  <c r="K961" i="43"/>
  <c r="G994" i="43"/>
  <c r="K1026" i="43"/>
  <c r="G1059" i="43"/>
  <c r="H2164" i="43"/>
  <c r="L2164" i="43" s="1"/>
  <c r="L2098" i="43"/>
  <c r="G98" i="43"/>
  <c r="K65" i="43"/>
  <c r="H2133" i="43"/>
  <c r="L2133" i="43" s="1"/>
  <c r="L2067" i="43"/>
  <c r="G514" i="43"/>
  <c r="K481" i="43"/>
  <c r="N481" i="43" s="1"/>
  <c r="D481" i="18" s="1"/>
  <c r="F1010" i="43"/>
  <c r="M944" i="43"/>
  <c r="L2091" i="43"/>
  <c r="H2157" i="43"/>
  <c r="L2157" i="43" s="1"/>
  <c r="G34" i="43"/>
  <c r="G66" i="43"/>
  <c r="K33" i="43"/>
  <c r="N33" i="43" s="1"/>
  <c r="D33" i="18" s="1"/>
  <c r="K353" i="43"/>
  <c r="N353" i="43" s="1"/>
  <c r="D353" i="18" s="1"/>
  <c r="G386" i="43"/>
  <c r="F165" i="43"/>
  <c r="M99" i="43"/>
  <c r="G546" i="43"/>
  <c r="K513" i="43"/>
  <c r="F35" i="43"/>
  <c r="F100" i="43"/>
  <c r="M34" i="43"/>
  <c r="G322" i="43"/>
  <c r="K289" i="43"/>
  <c r="N289" i="43" s="1"/>
  <c r="D289" i="18" s="1"/>
  <c r="G770" i="43"/>
  <c r="K737" i="43"/>
  <c r="N737" i="43" s="1"/>
  <c r="D737" i="18" s="1"/>
  <c r="G130" i="43"/>
  <c r="K97" i="43"/>
  <c r="N97" i="43" s="1"/>
  <c r="D97" i="18" s="1"/>
  <c r="M1464" i="43"/>
  <c r="F1530" i="43"/>
  <c r="M1529" i="43"/>
  <c r="F1595" i="43"/>
  <c r="M1724" i="43"/>
  <c r="F1790" i="43"/>
  <c r="G482" i="43"/>
  <c r="K449" i="43"/>
  <c r="G418" i="43"/>
  <c r="K385" i="43"/>
  <c r="H2128" i="43"/>
  <c r="L2128" i="43" s="1"/>
  <c r="L2062" i="43"/>
  <c r="M749" i="43"/>
  <c r="F815" i="43"/>
  <c r="G834" i="43"/>
  <c r="K801" i="43"/>
  <c r="N801" i="43" s="1"/>
  <c r="D801" i="18" s="1"/>
  <c r="M2050" i="43"/>
  <c r="F2116" i="43"/>
  <c r="M2116" i="43" s="1"/>
  <c r="F1985" i="43"/>
  <c r="M1919" i="43"/>
  <c r="K929" i="43"/>
  <c r="N929" i="43" s="1"/>
  <c r="D929" i="18" s="1"/>
  <c r="G962" i="43"/>
  <c r="F1205" i="43"/>
  <c r="M1139" i="43"/>
  <c r="H2140" i="43"/>
  <c r="L2140" i="43" s="1"/>
  <c r="L2074" i="43"/>
  <c r="G610" i="43"/>
  <c r="K577" i="43"/>
  <c r="L2066" i="43"/>
  <c r="H2132" i="43"/>
  <c r="L2132" i="43" s="1"/>
  <c r="G738" i="43"/>
  <c r="K705" i="43"/>
  <c r="M294" i="43"/>
  <c r="F360" i="43"/>
  <c r="F1140" i="43"/>
  <c r="M1074" i="43"/>
  <c r="G354" i="43"/>
  <c r="K321" i="43"/>
  <c r="F880" i="43"/>
  <c r="M814" i="43"/>
  <c r="G866" i="43"/>
  <c r="K833" i="43"/>
  <c r="F295" i="43"/>
  <c r="M229" i="43"/>
  <c r="F945" i="43"/>
  <c r="M879" i="43"/>
  <c r="M1399" i="43"/>
  <c r="F1465" i="43"/>
  <c r="F425" i="43"/>
  <c r="M359" i="43"/>
  <c r="K641" i="43"/>
  <c r="G674" i="43"/>
  <c r="M1659" i="43"/>
  <c r="F1725" i="43"/>
  <c r="F231" i="43" l="1"/>
  <c r="M165" i="43"/>
  <c r="F1986" i="43"/>
  <c r="M1920" i="43"/>
  <c r="F1141" i="43"/>
  <c r="M1075" i="43"/>
  <c r="K258" i="43"/>
  <c r="G291" i="43"/>
  <c r="G419" i="43"/>
  <c r="K386" i="43"/>
  <c r="G707" i="43"/>
  <c r="K674" i="43"/>
  <c r="N674" i="43" s="1"/>
  <c r="D674" i="18" s="1"/>
  <c r="G67" i="43"/>
  <c r="K34" i="43"/>
  <c r="N34" i="43" s="1"/>
  <c r="D34" i="18" s="1"/>
  <c r="F1336" i="43"/>
  <c r="M1270" i="43"/>
  <c r="F1921" i="43"/>
  <c r="M1855" i="43"/>
  <c r="F1791" i="43"/>
  <c r="M1725" i="43"/>
  <c r="K738" i="43"/>
  <c r="N738" i="43" s="1"/>
  <c r="D738" i="18" s="1"/>
  <c r="G771" i="43"/>
  <c r="M750" i="43"/>
  <c r="F816" i="43"/>
  <c r="M555" i="43"/>
  <c r="F621" i="43"/>
  <c r="M1660" i="43"/>
  <c r="F1726" i="43"/>
  <c r="F1206" i="43"/>
  <c r="M1140" i="43"/>
  <c r="K194" i="43"/>
  <c r="G227" i="43"/>
  <c r="K418" i="43"/>
  <c r="N418" i="43" s="1"/>
  <c r="D418" i="18" s="1"/>
  <c r="G451" i="43"/>
  <c r="G259" i="43"/>
  <c r="K226" i="43"/>
  <c r="N226" i="43" s="1"/>
  <c r="D226" i="18" s="1"/>
  <c r="G739" i="43"/>
  <c r="K706" i="43"/>
  <c r="M685" i="43"/>
  <c r="F751" i="43"/>
  <c r="F1596" i="43"/>
  <c r="M1530" i="43"/>
  <c r="G1027" i="43"/>
  <c r="K994" i="43"/>
  <c r="N994" i="43" s="1"/>
  <c r="D994" i="18" s="1"/>
  <c r="M1010" i="43"/>
  <c r="F1076" i="43"/>
  <c r="F1466" i="43"/>
  <c r="M1400" i="43"/>
  <c r="M1335" i="43"/>
  <c r="F1401" i="43"/>
  <c r="M620" i="43"/>
  <c r="F686" i="43"/>
  <c r="K578" i="43"/>
  <c r="G611" i="43"/>
  <c r="K642" i="43"/>
  <c r="G675" i="43"/>
  <c r="G99" i="43"/>
  <c r="K66" i="43"/>
  <c r="G323" i="43"/>
  <c r="K290" i="43"/>
  <c r="N290" i="43" s="1"/>
  <c r="D290" i="18" s="1"/>
  <c r="K802" i="43"/>
  <c r="N802" i="43" s="1"/>
  <c r="D802" i="18" s="1"/>
  <c r="G835" i="43"/>
  <c r="M490" i="43"/>
  <c r="F556" i="43"/>
  <c r="F296" i="43"/>
  <c r="M230" i="43"/>
  <c r="G803" i="43"/>
  <c r="K770" i="43"/>
  <c r="K322" i="43"/>
  <c r="G355" i="43"/>
  <c r="F946" i="43"/>
  <c r="M880" i="43"/>
  <c r="G131" i="43"/>
  <c r="K98" i="43"/>
  <c r="N98" i="43" s="1"/>
  <c r="D98" i="18" s="1"/>
  <c r="K898" i="43"/>
  <c r="G931" i="43"/>
  <c r="F426" i="43"/>
  <c r="M360" i="43"/>
  <c r="F166" i="43"/>
  <c r="M100" i="43"/>
  <c r="G483" i="43"/>
  <c r="K450" i="43"/>
  <c r="G579" i="43"/>
  <c r="K546" i="43"/>
  <c r="N546" i="43" s="1"/>
  <c r="D546" i="18" s="1"/>
  <c r="M425" i="43"/>
  <c r="F491" i="43"/>
  <c r="G643" i="43"/>
  <c r="K610" i="43"/>
  <c r="N610" i="43" s="1"/>
  <c r="D610" i="18" s="1"/>
  <c r="M1465" i="43"/>
  <c r="F1531" i="43"/>
  <c r="F1661" i="43"/>
  <c r="M1595" i="43"/>
  <c r="F2051" i="43"/>
  <c r="M1985" i="43"/>
  <c r="G867" i="43"/>
  <c r="K834" i="43"/>
  <c r="G1157" i="43"/>
  <c r="K1124" i="43"/>
  <c r="N1124" i="43" s="1"/>
  <c r="D1124" i="18" s="1"/>
  <c r="G515" i="43"/>
  <c r="K482" i="43"/>
  <c r="N482" i="43" s="1"/>
  <c r="D482" i="18" s="1"/>
  <c r="F1856" i="43"/>
  <c r="M1790" i="43"/>
  <c r="F1011" i="43"/>
  <c r="M945" i="43"/>
  <c r="F1271" i="43"/>
  <c r="M1205" i="43"/>
  <c r="G995" i="43"/>
  <c r="K962" i="43"/>
  <c r="G163" i="43"/>
  <c r="K130" i="43"/>
  <c r="K514" i="43"/>
  <c r="G547" i="43"/>
  <c r="F361" i="43"/>
  <c r="M295" i="43"/>
  <c r="G899" i="43"/>
  <c r="K866" i="43"/>
  <c r="N866" i="43" s="1"/>
  <c r="D866" i="18" s="1"/>
  <c r="K162" i="43"/>
  <c r="N162" i="43" s="1"/>
  <c r="D162" i="18" s="1"/>
  <c r="G195" i="43"/>
  <c r="M35" i="43"/>
  <c r="N35" i="43" s="1"/>
  <c r="D35" i="18" s="1"/>
  <c r="F101" i="43"/>
  <c r="F36" i="43"/>
  <c r="K354" i="43"/>
  <c r="N354" i="43" s="1"/>
  <c r="D354" i="18" s="1"/>
  <c r="G387" i="43"/>
  <c r="M815" i="43"/>
  <c r="F881" i="43"/>
  <c r="G1092" i="43"/>
  <c r="K1059" i="43"/>
  <c r="N1059" i="43" s="1"/>
  <c r="D1059" i="18" s="1"/>
  <c r="G963" i="43"/>
  <c r="K930" i="43"/>
  <c r="N930" i="43" s="1"/>
  <c r="D930" i="18" s="1"/>
  <c r="K995" i="43" l="1"/>
  <c r="N995" i="43" s="1"/>
  <c r="D995" i="18" s="1"/>
  <c r="G1028" i="43"/>
  <c r="G516" i="43"/>
  <c r="K483" i="43"/>
  <c r="N483" i="43" s="1"/>
  <c r="D483" i="18" s="1"/>
  <c r="F947" i="43"/>
  <c r="M881" i="43"/>
  <c r="F1077" i="43"/>
  <c r="M1011" i="43"/>
  <c r="K323" i="43"/>
  <c r="G356" i="43"/>
  <c r="M1596" i="43"/>
  <c r="F1662" i="43"/>
  <c r="F1857" i="43"/>
  <c r="M1791" i="43"/>
  <c r="F232" i="43"/>
  <c r="M166" i="43"/>
  <c r="F817" i="43"/>
  <c r="M751" i="43"/>
  <c r="K387" i="43"/>
  <c r="G420" i="43"/>
  <c r="F1922" i="43"/>
  <c r="M1856" i="43"/>
  <c r="F1987" i="43"/>
  <c r="M1921" i="43"/>
  <c r="F1337" i="43"/>
  <c r="M1271" i="43"/>
  <c r="M426" i="43"/>
  <c r="F492" i="43"/>
  <c r="K99" i="43"/>
  <c r="N99" i="43" s="1"/>
  <c r="D99" i="18" s="1"/>
  <c r="G132" i="43"/>
  <c r="F37" i="43"/>
  <c r="F102" i="43"/>
  <c r="M36" i="43"/>
  <c r="N36" i="43" s="1"/>
  <c r="D36" i="18" s="1"/>
  <c r="G548" i="43"/>
  <c r="K515" i="43"/>
  <c r="G964" i="43"/>
  <c r="K931" i="43"/>
  <c r="N931" i="43" s="1"/>
  <c r="D931" i="18" s="1"/>
  <c r="G708" i="43"/>
  <c r="K675" i="43"/>
  <c r="N675" i="43" s="1"/>
  <c r="D675" i="18" s="1"/>
  <c r="G772" i="43"/>
  <c r="K739" i="43"/>
  <c r="N739" i="43" s="1"/>
  <c r="D739" i="18" s="1"/>
  <c r="M1336" i="43"/>
  <c r="F1402" i="43"/>
  <c r="F167" i="43"/>
  <c r="M101" i="43"/>
  <c r="N101" i="43" s="1"/>
  <c r="D101" i="18" s="1"/>
  <c r="G1125" i="43"/>
  <c r="K1092" i="43"/>
  <c r="G292" i="43"/>
  <c r="K259" i="43"/>
  <c r="K67" i="43"/>
  <c r="G100" i="43"/>
  <c r="G1190" i="43"/>
  <c r="K1157" i="43"/>
  <c r="G644" i="43"/>
  <c r="K611" i="43"/>
  <c r="N611" i="43" s="1"/>
  <c r="D611" i="18" s="1"/>
  <c r="G228" i="43"/>
  <c r="K195" i="43"/>
  <c r="G164" i="43"/>
  <c r="K131" i="43"/>
  <c r="K451" i="43"/>
  <c r="G484" i="43"/>
  <c r="K707" i="43"/>
  <c r="G740" i="43"/>
  <c r="K867" i="43"/>
  <c r="N867" i="43" s="1"/>
  <c r="D867" i="18" s="1"/>
  <c r="G900" i="43"/>
  <c r="F752" i="43"/>
  <c r="M686" i="43"/>
  <c r="M946" i="43"/>
  <c r="F1012" i="43"/>
  <c r="G260" i="43"/>
  <c r="K227" i="43"/>
  <c r="N227" i="43" s="1"/>
  <c r="D227" i="18" s="1"/>
  <c r="G452" i="43"/>
  <c r="K419" i="43"/>
  <c r="N419" i="43" s="1"/>
  <c r="D419" i="18" s="1"/>
  <c r="G932" i="43"/>
  <c r="K899" i="43"/>
  <c r="F2117" i="43"/>
  <c r="M2117" i="43" s="1"/>
  <c r="M2051" i="43"/>
  <c r="G388" i="43"/>
  <c r="K355" i="43"/>
  <c r="N355" i="43" s="1"/>
  <c r="D355" i="18" s="1"/>
  <c r="F1467" i="43"/>
  <c r="M1401" i="43"/>
  <c r="G324" i="43"/>
  <c r="K291" i="43"/>
  <c r="N291" i="43" s="1"/>
  <c r="D291" i="18" s="1"/>
  <c r="F1727" i="43"/>
  <c r="M1661" i="43"/>
  <c r="F1272" i="43"/>
  <c r="M1206" i="43"/>
  <c r="M361" i="43"/>
  <c r="F427" i="43"/>
  <c r="M1531" i="43"/>
  <c r="F1597" i="43"/>
  <c r="G836" i="43"/>
  <c r="K803" i="43"/>
  <c r="N803" i="43" s="1"/>
  <c r="D803" i="18" s="1"/>
  <c r="F1207" i="43"/>
  <c r="M1141" i="43"/>
  <c r="G868" i="43"/>
  <c r="K835" i="43"/>
  <c r="K547" i="43"/>
  <c r="N547" i="43" s="1"/>
  <c r="D547" i="18" s="1"/>
  <c r="G580" i="43"/>
  <c r="F1532" i="43"/>
  <c r="M1466" i="43"/>
  <c r="F1792" i="43"/>
  <c r="M1726" i="43"/>
  <c r="G804" i="43"/>
  <c r="K771" i="43"/>
  <c r="F1142" i="43"/>
  <c r="M1076" i="43"/>
  <c r="F2052" i="43"/>
  <c r="M1986" i="43"/>
  <c r="G1060" i="43"/>
  <c r="K1027" i="43"/>
  <c r="K643" i="43"/>
  <c r="G676" i="43"/>
  <c r="M296" i="43"/>
  <c r="F362" i="43"/>
  <c r="F687" i="43"/>
  <c r="M621" i="43"/>
  <c r="K163" i="43"/>
  <c r="N163" i="43" s="1"/>
  <c r="D163" i="18" s="1"/>
  <c r="G196" i="43"/>
  <c r="F557" i="43"/>
  <c r="M491" i="43"/>
  <c r="G612" i="43"/>
  <c r="K579" i="43"/>
  <c r="G996" i="43"/>
  <c r="K963" i="43"/>
  <c r="M556" i="43"/>
  <c r="F622" i="43"/>
  <c r="F882" i="43"/>
  <c r="M816" i="43"/>
  <c r="M231" i="43"/>
  <c r="F297" i="43"/>
  <c r="G933" i="43" l="1"/>
  <c r="K900" i="43"/>
  <c r="M1142" i="43"/>
  <c r="F1208" i="43"/>
  <c r="F1793" i="43"/>
  <c r="M1727" i="43"/>
  <c r="F233" i="43"/>
  <c r="M167" i="43"/>
  <c r="N167" i="43" s="1"/>
  <c r="D167" i="18" s="1"/>
  <c r="F688" i="43"/>
  <c r="M622" i="43"/>
  <c r="G773" i="43"/>
  <c r="K740" i="43"/>
  <c r="N740" i="43" s="1"/>
  <c r="D740" i="18" s="1"/>
  <c r="F1468" i="43"/>
  <c r="M1402" i="43"/>
  <c r="M1922" i="43"/>
  <c r="F1988" i="43"/>
  <c r="G453" i="43"/>
  <c r="K420" i="43"/>
  <c r="N420" i="43" s="1"/>
  <c r="D420" i="18" s="1"/>
  <c r="K996" i="43"/>
  <c r="N996" i="43" s="1"/>
  <c r="D996" i="18" s="1"/>
  <c r="G1029" i="43"/>
  <c r="F1858" i="43"/>
  <c r="M1792" i="43"/>
  <c r="K772" i="43"/>
  <c r="G805" i="43"/>
  <c r="G741" i="43"/>
  <c r="K708" i="43"/>
  <c r="F883" i="43"/>
  <c r="M817" i="43"/>
  <c r="G837" i="43"/>
  <c r="K804" i="43"/>
  <c r="N804" i="43" s="1"/>
  <c r="D804" i="18" s="1"/>
  <c r="G645" i="43"/>
  <c r="K612" i="43"/>
  <c r="N612" i="43" s="1"/>
  <c r="D612" i="18" s="1"/>
  <c r="M1532" i="43"/>
  <c r="F1598" i="43"/>
  <c r="F1533" i="43"/>
  <c r="M1467" i="43"/>
  <c r="G197" i="43"/>
  <c r="K164" i="43"/>
  <c r="N164" i="43" s="1"/>
  <c r="D164" i="18" s="1"/>
  <c r="G517" i="43"/>
  <c r="K484" i="43"/>
  <c r="N484" i="43" s="1"/>
  <c r="D484" i="18" s="1"/>
  <c r="G613" i="43"/>
  <c r="K580" i="43"/>
  <c r="K964" i="43"/>
  <c r="G997" i="43"/>
  <c r="M232" i="43"/>
  <c r="F298" i="43"/>
  <c r="G357" i="43"/>
  <c r="K324" i="43"/>
  <c r="K388" i="43"/>
  <c r="G421" i="43"/>
  <c r="K196" i="43"/>
  <c r="G229" i="43"/>
  <c r="G261" i="43"/>
  <c r="K228" i="43"/>
  <c r="N228" i="43" s="1"/>
  <c r="D228" i="18" s="1"/>
  <c r="K548" i="43"/>
  <c r="N548" i="43" s="1"/>
  <c r="D548" i="18" s="1"/>
  <c r="G581" i="43"/>
  <c r="M1857" i="43"/>
  <c r="F1923" i="43"/>
  <c r="M882" i="43"/>
  <c r="F948" i="43"/>
  <c r="F1728" i="43"/>
  <c r="M1662" i="43"/>
  <c r="G677" i="43"/>
  <c r="K644" i="43"/>
  <c r="M102" i="43"/>
  <c r="N102" i="43" s="1"/>
  <c r="D102" i="18" s="1"/>
  <c r="F168" i="43"/>
  <c r="F623" i="43"/>
  <c r="M557" i="43"/>
  <c r="M687" i="43"/>
  <c r="F753" i="43"/>
  <c r="F1273" i="43"/>
  <c r="M1207" i="43"/>
  <c r="K932" i="43"/>
  <c r="N932" i="43" s="1"/>
  <c r="D932" i="18" s="1"/>
  <c r="G965" i="43"/>
  <c r="F38" i="43"/>
  <c r="F103" i="43"/>
  <c r="M37" i="43"/>
  <c r="N37" i="43" s="1"/>
  <c r="D37" i="18" s="1"/>
  <c r="K356" i="43"/>
  <c r="N356" i="43" s="1"/>
  <c r="D356" i="18" s="1"/>
  <c r="G389" i="43"/>
  <c r="G1223" i="43"/>
  <c r="K1190" i="43"/>
  <c r="N1190" i="43" s="1"/>
  <c r="D1190" i="18" s="1"/>
  <c r="F428" i="43"/>
  <c r="M362" i="43"/>
  <c r="K836" i="43"/>
  <c r="G869" i="43"/>
  <c r="K452" i="43"/>
  <c r="G485" i="43"/>
  <c r="G133" i="43"/>
  <c r="K100" i="43"/>
  <c r="N100" i="43" s="1"/>
  <c r="D100" i="18" s="1"/>
  <c r="K132" i="43"/>
  <c r="G165" i="43"/>
  <c r="F1663" i="43"/>
  <c r="M1597" i="43"/>
  <c r="F1143" i="43"/>
  <c r="M1077" i="43"/>
  <c r="K676" i="43"/>
  <c r="N676" i="43" s="1"/>
  <c r="D676" i="18" s="1"/>
  <c r="G709" i="43"/>
  <c r="K260" i="43"/>
  <c r="G293" i="43"/>
  <c r="F558" i="43"/>
  <c r="M492" i="43"/>
  <c r="F493" i="43"/>
  <c r="M427" i="43"/>
  <c r="F1078" i="43"/>
  <c r="M1012" i="43"/>
  <c r="K292" i="43"/>
  <c r="N292" i="43" s="1"/>
  <c r="D292" i="18" s="1"/>
  <c r="G325" i="43"/>
  <c r="F1013" i="43"/>
  <c r="M947" i="43"/>
  <c r="K1060" i="43"/>
  <c r="N1060" i="43" s="1"/>
  <c r="D1060" i="18" s="1"/>
  <c r="G1093" i="43"/>
  <c r="K1125" i="43"/>
  <c r="N1125" i="43" s="1"/>
  <c r="D1125" i="18" s="1"/>
  <c r="G1158" i="43"/>
  <c r="F1403" i="43"/>
  <c r="M1337" i="43"/>
  <c r="G549" i="43"/>
  <c r="K516" i="43"/>
  <c r="K868" i="43"/>
  <c r="N868" i="43" s="1"/>
  <c r="D868" i="18" s="1"/>
  <c r="G901" i="43"/>
  <c r="F363" i="43"/>
  <c r="M297" i="43"/>
  <c r="M1272" i="43"/>
  <c r="F1338" i="43"/>
  <c r="G1061" i="43"/>
  <c r="K1028" i="43"/>
  <c r="F2118" i="43"/>
  <c r="M2118" i="43" s="1"/>
  <c r="M2052" i="43"/>
  <c r="M752" i="43"/>
  <c r="F818" i="43"/>
  <c r="F2053" i="43"/>
  <c r="M1987" i="43"/>
  <c r="F1404" i="43" l="1"/>
  <c r="M1338" i="43"/>
  <c r="F1794" i="43"/>
  <c r="M1728" i="43"/>
  <c r="K613" i="43"/>
  <c r="N613" i="43" s="1"/>
  <c r="D613" i="18" s="1"/>
  <c r="G646" i="43"/>
  <c r="F624" i="43"/>
  <c r="M558" i="43"/>
  <c r="F1014" i="43"/>
  <c r="M948" i="43"/>
  <c r="K517" i="43"/>
  <c r="G550" i="43"/>
  <c r="F1924" i="43"/>
  <c r="M1858" i="43"/>
  <c r="G1256" i="43"/>
  <c r="K1223" i="43"/>
  <c r="G486" i="43"/>
  <c r="K453" i="43"/>
  <c r="F494" i="43"/>
  <c r="M428" i="43"/>
  <c r="F429" i="43"/>
  <c r="M363" i="43"/>
  <c r="G326" i="43"/>
  <c r="K293" i="43"/>
  <c r="N293" i="43" s="1"/>
  <c r="D293" i="18" s="1"/>
  <c r="M1923" i="43"/>
  <c r="F1989" i="43"/>
  <c r="K197" i="43"/>
  <c r="G230" i="43"/>
  <c r="G710" i="43"/>
  <c r="K677" i="43"/>
  <c r="N677" i="43" s="1"/>
  <c r="D677" i="18" s="1"/>
  <c r="M493" i="43"/>
  <c r="F559" i="43"/>
  <c r="K901" i="43"/>
  <c r="G934" i="43"/>
  <c r="G422" i="43"/>
  <c r="K389" i="43"/>
  <c r="K581" i="43"/>
  <c r="G614" i="43"/>
  <c r="F1599" i="43"/>
  <c r="M1533" i="43"/>
  <c r="M1988" i="43"/>
  <c r="F2054" i="43"/>
  <c r="G742" i="43"/>
  <c r="K709" i="43"/>
  <c r="F1664" i="43"/>
  <c r="M1598" i="43"/>
  <c r="G1094" i="43"/>
  <c r="K1061" i="43"/>
  <c r="N1061" i="43" s="1"/>
  <c r="D1061" i="18" s="1"/>
  <c r="G582" i="43"/>
  <c r="K549" i="43"/>
  <c r="N549" i="43" s="1"/>
  <c r="D549" i="18" s="1"/>
  <c r="F169" i="43"/>
  <c r="M103" i="43"/>
  <c r="N103" i="43" s="1"/>
  <c r="D103" i="18" s="1"/>
  <c r="F39" i="43"/>
  <c r="M38" i="43"/>
  <c r="N38" i="43" s="1"/>
  <c r="D38" i="18" s="1"/>
  <c r="F104" i="43"/>
  <c r="G294" i="43"/>
  <c r="K261" i="43"/>
  <c r="M1468" i="43"/>
  <c r="F1534" i="43"/>
  <c r="F1469" i="43"/>
  <c r="M1403" i="43"/>
  <c r="G678" i="43"/>
  <c r="K645" i="43"/>
  <c r="G1191" i="43"/>
  <c r="K1158" i="43"/>
  <c r="M1143" i="43"/>
  <c r="F1209" i="43"/>
  <c r="K965" i="43"/>
  <c r="G998" i="43"/>
  <c r="G262" i="43"/>
  <c r="K229" i="43"/>
  <c r="N229" i="43" s="1"/>
  <c r="D229" i="18" s="1"/>
  <c r="G806" i="43"/>
  <c r="K773" i="43"/>
  <c r="K837" i="43"/>
  <c r="G870" i="43"/>
  <c r="G1126" i="43"/>
  <c r="K1093" i="43"/>
  <c r="M688" i="43"/>
  <c r="F754" i="43"/>
  <c r="M1663" i="43"/>
  <c r="F1729" i="43"/>
  <c r="F1339" i="43"/>
  <c r="M1273" i="43"/>
  <c r="F949" i="43"/>
  <c r="M883" i="43"/>
  <c r="G198" i="43"/>
  <c r="K165" i="43"/>
  <c r="N165" i="43" s="1"/>
  <c r="D165" i="18" s="1"/>
  <c r="F819" i="43"/>
  <c r="M753" i="43"/>
  <c r="K421" i="43"/>
  <c r="N421" i="43" s="1"/>
  <c r="D421" i="18" s="1"/>
  <c r="G454" i="43"/>
  <c r="F299" i="43"/>
  <c r="M233" i="43"/>
  <c r="N233" i="43" s="1"/>
  <c r="D233" i="18" s="1"/>
  <c r="G774" i="43"/>
  <c r="K741" i="43"/>
  <c r="N741" i="43" s="1"/>
  <c r="D741" i="18" s="1"/>
  <c r="F1859" i="43"/>
  <c r="M1793" i="43"/>
  <c r="F2119" i="43"/>
  <c r="M2119" i="43" s="1"/>
  <c r="M2053" i="43"/>
  <c r="M1013" i="43"/>
  <c r="F1079" i="43"/>
  <c r="G166" i="43"/>
  <c r="K133" i="43"/>
  <c r="F689" i="43"/>
  <c r="M623" i="43"/>
  <c r="K357" i="43"/>
  <c r="N357" i="43" s="1"/>
  <c r="D357" i="18" s="1"/>
  <c r="G390" i="43"/>
  <c r="F1274" i="43"/>
  <c r="M1208" i="43"/>
  <c r="M1078" i="43"/>
  <c r="F1144" i="43"/>
  <c r="M818" i="43"/>
  <c r="F884" i="43"/>
  <c r="G358" i="43"/>
  <c r="K325" i="43"/>
  <c r="K485" i="43"/>
  <c r="N485" i="43" s="1"/>
  <c r="D485" i="18" s="1"/>
  <c r="G518" i="43"/>
  <c r="F234" i="43"/>
  <c r="M168" i="43"/>
  <c r="N168" i="43" s="1"/>
  <c r="D168" i="18" s="1"/>
  <c r="F364" i="43"/>
  <c r="M298" i="43"/>
  <c r="K805" i="43"/>
  <c r="N805" i="43" s="1"/>
  <c r="D805" i="18" s="1"/>
  <c r="G838" i="43"/>
  <c r="K1029" i="43"/>
  <c r="G1062" i="43"/>
  <c r="G902" i="43"/>
  <c r="K869" i="43"/>
  <c r="N869" i="43" s="1"/>
  <c r="D869" i="18" s="1"/>
  <c r="G1030" i="43"/>
  <c r="K997" i="43"/>
  <c r="N997" i="43" s="1"/>
  <c r="D997" i="18" s="1"/>
  <c r="K933" i="43"/>
  <c r="N933" i="43" s="1"/>
  <c r="D933" i="18" s="1"/>
  <c r="G966" i="43"/>
  <c r="F1340" i="43" l="1"/>
  <c r="M1274" i="43"/>
  <c r="F1275" i="43"/>
  <c r="M1209" i="43"/>
  <c r="K742" i="43"/>
  <c r="N742" i="43" s="1"/>
  <c r="D742" i="18" s="1"/>
  <c r="G775" i="43"/>
  <c r="M429" i="43"/>
  <c r="F495" i="43"/>
  <c r="G423" i="43"/>
  <c r="K390" i="43"/>
  <c r="M819" i="43"/>
  <c r="F885" i="43"/>
  <c r="K902" i="43"/>
  <c r="G935" i="43"/>
  <c r="F2120" i="43"/>
  <c r="M2120" i="43" s="1"/>
  <c r="M2054" i="43"/>
  <c r="M494" i="43"/>
  <c r="F560" i="43"/>
  <c r="G1063" i="43"/>
  <c r="K1030" i="43"/>
  <c r="G1095" i="43"/>
  <c r="K1062" i="43"/>
  <c r="N1062" i="43" s="1"/>
  <c r="D1062" i="18" s="1"/>
  <c r="G231" i="43"/>
  <c r="K198" i="43"/>
  <c r="G1224" i="43"/>
  <c r="K1191" i="43"/>
  <c r="N1191" i="43" s="1"/>
  <c r="D1191" i="18" s="1"/>
  <c r="M689" i="43"/>
  <c r="F755" i="43"/>
  <c r="K486" i="43"/>
  <c r="N486" i="43" s="1"/>
  <c r="D486" i="18" s="1"/>
  <c r="G519" i="43"/>
  <c r="G711" i="43"/>
  <c r="K678" i="43"/>
  <c r="N678" i="43" s="1"/>
  <c r="D678" i="18" s="1"/>
  <c r="M1599" i="43"/>
  <c r="F1665" i="43"/>
  <c r="K166" i="43"/>
  <c r="N166" i="43" s="1"/>
  <c r="D166" i="18" s="1"/>
  <c r="G199" i="43"/>
  <c r="F1015" i="43"/>
  <c r="M949" i="43"/>
  <c r="G647" i="43"/>
  <c r="K614" i="43"/>
  <c r="N614" i="43" s="1"/>
  <c r="D614" i="18" s="1"/>
  <c r="G1289" i="43"/>
  <c r="K1256" i="43"/>
  <c r="N1256" i="43" s="1"/>
  <c r="D1256" i="18" s="1"/>
  <c r="F1145" i="43"/>
  <c r="M1079" i="43"/>
  <c r="F1535" i="43"/>
  <c r="M1469" i="43"/>
  <c r="G871" i="43"/>
  <c r="K838" i="43"/>
  <c r="F1405" i="43"/>
  <c r="M1339" i="43"/>
  <c r="F1600" i="43"/>
  <c r="M1534" i="43"/>
  <c r="F1990" i="43"/>
  <c r="M1924" i="43"/>
  <c r="M1729" i="43"/>
  <c r="F1795" i="43"/>
  <c r="K422" i="43"/>
  <c r="N422" i="43" s="1"/>
  <c r="D422" i="18" s="1"/>
  <c r="G455" i="43"/>
  <c r="K550" i="43"/>
  <c r="N550" i="43" s="1"/>
  <c r="D550" i="18" s="1"/>
  <c r="G583" i="43"/>
  <c r="F430" i="43"/>
  <c r="M364" i="43"/>
  <c r="F820" i="43"/>
  <c r="M754" i="43"/>
  <c r="G327" i="43"/>
  <c r="K294" i="43"/>
  <c r="N294" i="43" s="1"/>
  <c r="D294" i="18" s="1"/>
  <c r="G967" i="43"/>
  <c r="K934" i="43"/>
  <c r="N934" i="43" s="1"/>
  <c r="D934" i="18" s="1"/>
  <c r="F170" i="43"/>
  <c r="M104" i="43"/>
  <c r="N104" i="43" s="1"/>
  <c r="D104" i="18" s="1"/>
  <c r="F1080" i="43"/>
  <c r="M1014" i="43"/>
  <c r="F300" i="43"/>
  <c r="M234" i="43"/>
  <c r="N234" i="43" s="1"/>
  <c r="D234" i="18" s="1"/>
  <c r="F1925" i="43"/>
  <c r="M1859" i="43"/>
  <c r="F625" i="43"/>
  <c r="M559" i="43"/>
  <c r="G551" i="43"/>
  <c r="K518" i="43"/>
  <c r="G1159" i="43"/>
  <c r="K1126" i="43"/>
  <c r="N1126" i="43" s="1"/>
  <c r="D1126" i="18" s="1"/>
  <c r="M39" i="43"/>
  <c r="N39" i="43" s="1"/>
  <c r="D39" i="18" s="1"/>
  <c r="F105" i="43"/>
  <c r="F40" i="43"/>
  <c r="F690" i="43"/>
  <c r="M624" i="43"/>
  <c r="K870" i="43"/>
  <c r="N870" i="43" s="1"/>
  <c r="D870" i="18" s="1"/>
  <c r="G903" i="43"/>
  <c r="K646" i="43"/>
  <c r="G679" i="43"/>
  <c r="G807" i="43"/>
  <c r="K774" i="43"/>
  <c r="F235" i="43"/>
  <c r="M169" i="43"/>
  <c r="N169" i="43" s="1"/>
  <c r="D169" i="18" s="1"/>
  <c r="K710" i="43"/>
  <c r="G743" i="43"/>
  <c r="G359" i="43"/>
  <c r="K326" i="43"/>
  <c r="G391" i="43"/>
  <c r="K358" i="43"/>
  <c r="N358" i="43" s="1"/>
  <c r="D358" i="18" s="1"/>
  <c r="K230" i="43"/>
  <c r="N230" i="43" s="1"/>
  <c r="D230" i="18" s="1"/>
  <c r="G263" i="43"/>
  <c r="M1664" i="43"/>
  <c r="F1730" i="43"/>
  <c r="F950" i="43"/>
  <c r="M884" i="43"/>
  <c r="K582" i="43"/>
  <c r="G615" i="43"/>
  <c r="K454" i="43"/>
  <c r="G487" i="43"/>
  <c r="K806" i="43"/>
  <c r="N806" i="43" s="1"/>
  <c r="D806" i="18" s="1"/>
  <c r="G839" i="43"/>
  <c r="F2055" i="43"/>
  <c r="M1989" i="43"/>
  <c r="F1860" i="43"/>
  <c r="M1794" i="43"/>
  <c r="G999" i="43"/>
  <c r="K966" i="43"/>
  <c r="M299" i="43"/>
  <c r="N299" i="43" s="1"/>
  <c r="D299" i="18" s="1"/>
  <c r="F365" i="43"/>
  <c r="K1094" i="43"/>
  <c r="G1127" i="43"/>
  <c r="G1031" i="43"/>
  <c r="K998" i="43"/>
  <c r="N998" i="43" s="1"/>
  <c r="D998" i="18" s="1"/>
  <c r="F1210" i="43"/>
  <c r="M1144" i="43"/>
  <c r="G295" i="43"/>
  <c r="K262" i="43"/>
  <c r="F1470" i="43"/>
  <c r="M1404" i="43"/>
  <c r="G296" i="43" l="1"/>
  <c r="K263" i="43"/>
  <c r="G1192" i="43"/>
  <c r="K1159" i="43"/>
  <c r="K647" i="43"/>
  <c r="G680" i="43"/>
  <c r="K1095" i="43"/>
  <c r="G1128" i="43"/>
  <c r="G1064" i="43"/>
  <c r="K1031" i="43"/>
  <c r="G616" i="43"/>
  <c r="K583" i="43"/>
  <c r="K1063" i="43"/>
  <c r="N1063" i="43" s="1"/>
  <c r="D1063" i="18" s="1"/>
  <c r="G1096" i="43"/>
  <c r="G1160" i="43"/>
  <c r="K1127" i="43"/>
  <c r="N1127" i="43" s="1"/>
  <c r="D1127" i="18" s="1"/>
  <c r="K551" i="43"/>
  <c r="N551" i="43" s="1"/>
  <c r="D551" i="18" s="1"/>
  <c r="G584" i="43"/>
  <c r="F1081" i="43"/>
  <c r="M1015" i="43"/>
  <c r="F626" i="43"/>
  <c r="M560" i="43"/>
  <c r="K391" i="43"/>
  <c r="G424" i="43"/>
  <c r="K455" i="43"/>
  <c r="G488" i="43"/>
  <c r="G232" i="43"/>
  <c r="K199" i="43"/>
  <c r="G392" i="43"/>
  <c r="K359" i="43"/>
  <c r="N359" i="43" s="1"/>
  <c r="D359" i="18" s="1"/>
  <c r="F1861" i="43"/>
  <c r="M1795" i="43"/>
  <c r="G776" i="43"/>
  <c r="K743" i="43"/>
  <c r="N743" i="43" s="1"/>
  <c r="D743" i="18" s="1"/>
  <c r="F1731" i="43"/>
  <c r="M1665" i="43"/>
  <c r="M1210" i="43"/>
  <c r="F1276" i="43"/>
  <c r="K999" i="43"/>
  <c r="N999" i="43" s="1"/>
  <c r="D999" i="18" s="1"/>
  <c r="G1032" i="43"/>
  <c r="F1991" i="43"/>
  <c r="M1925" i="43"/>
  <c r="K935" i="43"/>
  <c r="N935" i="43" s="1"/>
  <c r="D935" i="18" s="1"/>
  <c r="G968" i="43"/>
  <c r="F2056" i="43"/>
  <c r="M1990" i="43"/>
  <c r="F1926" i="43"/>
  <c r="M1860" i="43"/>
  <c r="M235" i="43"/>
  <c r="N235" i="43" s="1"/>
  <c r="D235" i="18" s="1"/>
  <c r="F301" i="43"/>
  <c r="F366" i="43"/>
  <c r="M300" i="43"/>
  <c r="N300" i="43" s="1"/>
  <c r="D300" i="18" s="1"/>
  <c r="K711" i="43"/>
  <c r="G744" i="43"/>
  <c r="M885" i="43"/>
  <c r="F951" i="43"/>
  <c r="F2121" i="43"/>
  <c r="M2121" i="43" s="1"/>
  <c r="M2055" i="43"/>
  <c r="F1146" i="43"/>
  <c r="M1080" i="43"/>
  <c r="M1600" i="43"/>
  <c r="F1666" i="43"/>
  <c r="G552" i="43"/>
  <c r="K519" i="43"/>
  <c r="G872" i="43"/>
  <c r="K839" i="43"/>
  <c r="G840" i="43"/>
  <c r="K807" i="43"/>
  <c r="N807" i="43" s="1"/>
  <c r="D807" i="18" s="1"/>
  <c r="F1471" i="43"/>
  <c r="M1405" i="43"/>
  <c r="G456" i="43"/>
  <c r="K423" i="43"/>
  <c r="N423" i="43" s="1"/>
  <c r="D423" i="18" s="1"/>
  <c r="G520" i="43"/>
  <c r="K487" i="43"/>
  <c r="N487" i="43" s="1"/>
  <c r="D487" i="18" s="1"/>
  <c r="G712" i="43"/>
  <c r="K679" i="43"/>
  <c r="N679" i="43" s="1"/>
  <c r="D679" i="18" s="1"/>
  <c r="M170" i="43"/>
  <c r="N170" i="43" s="1"/>
  <c r="D170" i="18" s="1"/>
  <c r="F236" i="43"/>
  <c r="M755" i="43"/>
  <c r="F821" i="43"/>
  <c r="K871" i="43"/>
  <c r="N871" i="43" s="1"/>
  <c r="D871" i="18" s="1"/>
  <c r="G904" i="43"/>
  <c r="F561" i="43"/>
  <c r="M495" i="43"/>
  <c r="G936" i="43"/>
  <c r="K903" i="43"/>
  <c r="K967" i="43"/>
  <c r="G1000" i="43"/>
  <c r="F691" i="43"/>
  <c r="M625" i="43"/>
  <c r="K615" i="43"/>
  <c r="N615" i="43" s="1"/>
  <c r="D615" i="18" s="1"/>
  <c r="G648" i="43"/>
  <c r="K775" i="43"/>
  <c r="G808" i="43"/>
  <c r="G360" i="43"/>
  <c r="K327" i="43"/>
  <c r="M1535" i="43"/>
  <c r="F1601" i="43"/>
  <c r="M365" i="43"/>
  <c r="N365" i="43" s="1"/>
  <c r="D365" i="18" s="1"/>
  <c r="F431" i="43"/>
  <c r="F1536" i="43"/>
  <c r="M1470" i="43"/>
  <c r="F756" i="43"/>
  <c r="M690" i="43"/>
  <c r="G1257" i="43"/>
  <c r="K1224" i="43"/>
  <c r="F106" i="43"/>
  <c r="F41" i="43"/>
  <c r="M40" i="43"/>
  <c r="N40" i="43" s="1"/>
  <c r="D40" i="18" s="1"/>
  <c r="M820" i="43"/>
  <c r="F886" i="43"/>
  <c r="M1145" i="43"/>
  <c r="F1211" i="43"/>
  <c r="M1275" i="43"/>
  <c r="F1341" i="43"/>
  <c r="G328" i="43"/>
  <c r="K295" i="43"/>
  <c r="N295" i="43" s="1"/>
  <c r="D295" i="18" s="1"/>
  <c r="M950" i="43"/>
  <c r="F1016" i="43"/>
  <c r="F171" i="43"/>
  <c r="M105" i="43"/>
  <c r="N105" i="43" s="1"/>
  <c r="D105" i="18" s="1"/>
  <c r="K231" i="43"/>
  <c r="N231" i="43" s="1"/>
  <c r="D231" i="18" s="1"/>
  <c r="G264" i="43"/>
  <c r="F1796" i="43"/>
  <c r="M1730" i="43"/>
  <c r="F496" i="43"/>
  <c r="M430" i="43"/>
  <c r="G1322" i="43"/>
  <c r="K1289" i="43"/>
  <c r="F1406" i="43"/>
  <c r="M1340" i="43"/>
  <c r="M626" i="43" l="1"/>
  <c r="F692" i="43"/>
  <c r="K1257" i="43"/>
  <c r="N1257" i="43" s="1"/>
  <c r="D1257" i="18" s="1"/>
  <c r="G1290" i="43"/>
  <c r="G937" i="43"/>
  <c r="K904" i="43"/>
  <c r="F1732" i="43"/>
  <c r="M1666" i="43"/>
  <c r="M1991" i="43"/>
  <c r="F2057" i="43"/>
  <c r="F562" i="43"/>
  <c r="M496" i="43"/>
  <c r="F1147" i="43"/>
  <c r="M1081" i="43"/>
  <c r="F822" i="43"/>
  <c r="M756" i="43"/>
  <c r="G1065" i="43"/>
  <c r="K1032" i="43"/>
  <c r="G617" i="43"/>
  <c r="K584" i="43"/>
  <c r="G585" i="43"/>
  <c r="K552" i="43"/>
  <c r="N552" i="43" s="1"/>
  <c r="D552" i="18" s="1"/>
  <c r="M1796" i="43"/>
  <c r="F1862" i="43"/>
  <c r="M1146" i="43"/>
  <c r="F1212" i="43"/>
  <c r="K264" i="43"/>
  <c r="G297" i="43"/>
  <c r="M1536" i="43"/>
  <c r="F1602" i="43"/>
  <c r="F887" i="43"/>
  <c r="M821" i="43"/>
  <c r="F1342" i="43"/>
  <c r="M1276" i="43"/>
  <c r="F497" i="43"/>
  <c r="M431" i="43"/>
  <c r="N431" i="43" s="1"/>
  <c r="D431" i="18" s="1"/>
  <c r="G1193" i="43"/>
  <c r="K1160" i="43"/>
  <c r="G1129" i="43"/>
  <c r="K1096" i="43"/>
  <c r="M561" i="43"/>
  <c r="F627" i="43"/>
  <c r="F237" i="43"/>
  <c r="M171" i="43"/>
  <c r="N171" i="43" s="1"/>
  <c r="D171" i="18" s="1"/>
  <c r="F1667" i="43"/>
  <c r="M1601" i="43"/>
  <c r="F302" i="43"/>
  <c r="M236" i="43"/>
  <c r="N236" i="43" s="1"/>
  <c r="D236" i="18" s="1"/>
  <c r="M1731" i="43"/>
  <c r="F1797" i="43"/>
  <c r="M1016" i="43"/>
  <c r="F1082" i="43"/>
  <c r="F1017" i="43"/>
  <c r="M951" i="43"/>
  <c r="G809" i="43"/>
  <c r="K776" i="43"/>
  <c r="K616" i="43"/>
  <c r="N616" i="43" s="1"/>
  <c r="D616" i="18" s="1"/>
  <c r="G649" i="43"/>
  <c r="K360" i="43"/>
  <c r="N360" i="43" s="1"/>
  <c r="D360" i="18" s="1"/>
  <c r="G393" i="43"/>
  <c r="G745" i="43"/>
  <c r="K712" i="43"/>
  <c r="G777" i="43"/>
  <c r="K744" i="43"/>
  <c r="N744" i="43" s="1"/>
  <c r="D744" i="18" s="1"/>
  <c r="G361" i="43"/>
  <c r="K328" i="43"/>
  <c r="F1407" i="43"/>
  <c r="M1341" i="43"/>
  <c r="G841" i="43"/>
  <c r="K808" i="43"/>
  <c r="N808" i="43" s="1"/>
  <c r="D808" i="18" s="1"/>
  <c r="K520" i="43"/>
  <c r="G553" i="43"/>
  <c r="M1861" i="43"/>
  <c r="F1927" i="43"/>
  <c r="K1064" i="43"/>
  <c r="N1064" i="43" s="1"/>
  <c r="D1064" i="18" s="1"/>
  <c r="G1097" i="43"/>
  <c r="F432" i="43"/>
  <c r="M366" i="43"/>
  <c r="N366" i="43" s="1"/>
  <c r="D366" i="18" s="1"/>
  <c r="K1128" i="43"/>
  <c r="N1128" i="43" s="1"/>
  <c r="D1128" i="18" s="1"/>
  <c r="G1161" i="43"/>
  <c r="K648" i="43"/>
  <c r="G681" i="43"/>
  <c r="G489" i="43"/>
  <c r="K456" i="43"/>
  <c r="F367" i="43"/>
  <c r="M301" i="43"/>
  <c r="N301" i="43" s="1"/>
  <c r="D301" i="18" s="1"/>
  <c r="G425" i="43"/>
  <c r="K392" i="43"/>
  <c r="F1277" i="43"/>
  <c r="M1211" i="43"/>
  <c r="M1471" i="43"/>
  <c r="F1537" i="43"/>
  <c r="G265" i="43"/>
  <c r="K232" i="43"/>
  <c r="N232" i="43" s="1"/>
  <c r="D232" i="18" s="1"/>
  <c r="K680" i="43"/>
  <c r="N680" i="43" s="1"/>
  <c r="D680" i="18" s="1"/>
  <c r="G713" i="43"/>
  <c r="F952" i="43"/>
  <c r="M886" i="43"/>
  <c r="F757" i="43"/>
  <c r="M691" i="43"/>
  <c r="F1992" i="43"/>
  <c r="M1926" i="43"/>
  <c r="G521" i="43"/>
  <c r="K488" i="43"/>
  <c r="N488" i="43" s="1"/>
  <c r="D488" i="18" s="1"/>
  <c r="K1000" i="43"/>
  <c r="N1000" i="43" s="1"/>
  <c r="D1000" i="18" s="1"/>
  <c r="G1033" i="43"/>
  <c r="K1322" i="43"/>
  <c r="N1322" i="43" s="1"/>
  <c r="D1322" i="18" s="1"/>
  <c r="G1355" i="43"/>
  <c r="G873" i="43"/>
  <c r="K840" i="43"/>
  <c r="G457" i="43"/>
  <c r="K424" i="43"/>
  <c r="N424" i="43" s="1"/>
  <c r="D424" i="18" s="1"/>
  <c r="K1192" i="43"/>
  <c r="N1192" i="43" s="1"/>
  <c r="D1192" i="18" s="1"/>
  <c r="G1225" i="43"/>
  <c r="F107" i="43"/>
  <c r="F42" i="43"/>
  <c r="M41" i="43"/>
  <c r="N41" i="43" s="1"/>
  <c r="D41" i="18" s="1"/>
  <c r="M2056" i="43"/>
  <c r="F2122" i="43"/>
  <c r="M2122" i="43" s="1"/>
  <c r="F1472" i="43"/>
  <c r="M1406" i="43"/>
  <c r="F172" i="43"/>
  <c r="M106" i="43"/>
  <c r="N106" i="43" s="1"/>
  <c r="D106" i="18" s="1"/>
  <c r="K936" i="43"/>
  <c r="N936" i="43" s="1"/>
  <c r="D936" i="18" s="1"/>
  <c r="G969" i="43"/>
  <c r="G905" i="43"/>
  <c r="K872" i="43"/>
  <c r="N872" i="43" s="1"/>
  <c r="D872" i="18" s="1"/>
  <c r="G1001" i="43"/>
  <c r="K968" i="43"/>
  <c r="K296" i="43"/>
  <c r="N296" i="43" s="1"/>
  <c r="D296" i="18" s="1"/>
  <c r="G329" i="43"/>
  <c r="K425" i="43" l="1"/>
  <c r="N425" i="43" s="1"/>
  <c r="D425" i="18" s="1"/>
  <c r="G458" i="43"/>
  <c r="M1667" i="43"/>
  <c r="F1733" i="43"/>
  <c r="K585" i="43"/>
  <c r="G618" i="43"/>
  <c r="F238" i="43"/>
  <c r="M172" i="43"/>
  <c r="N172" i="43" s="1"/>
  <c r="D172" i="18" s="1"/>
  <c r="K1033" i="43"/>
  <c r="G1066" i="43"/>
  <c r="F433" i="43"/>
  <c r="M367" i="43"/>
  <c r="N367" i="43" s="1"/>
  <c r="D367" i="18" s="1"/>
  <c r="G394" i="43"/>
  <c r="K361" i="43"/>
  <c r="N361" i="43" s="1"/>
  <c r="D361" i="18" s="1"/>
  <c r="F303" i="43"/>
  <c r="M237" i="43"/>
  <c r="N237" i="43" s="1"/>
  <c r="D237" i="18" s="1"/>
  <c r="G650" i="43"/>
  <c r="K617" i="43"/>
  <c r="N617" i="43" s="1"/>
  <c r="D617" i="18" s="1"/>
  <c r="M1472" i="43"/>
  <c r="F1538" i="43"/>
  <c r="M627" i="43"/>
  <c r="F693" i="43"/>
  <c r="K489" i="43"/>
  <c r="N489" i="43" s="1"/>
  <c r="D489" i="18" s="1"/>
  <c r="G522" i="43"/>
  <c r="G810" i="43"/>
  <c r="K777" i="43"/>
  <c r="G1098" i="43"/>
  <c r="K1065" i="43"/>
  <c r="N1065" i="43" s="1"/>
  <c r="D1065" i="18" s="1"/>
  <c r="G714" i="43"/>
  <c r="K681" i="43"/>
  <c r="N681" i="43" s="1"/>
  <c r="D681" i="18" s="1"/>
  <c r="G554" i="43"/>
  <c r="K521" i="43"/>
  <c r="G778" i="43"/>
  <c r="K745" i="43"/>
  <c r="N745" i="43" s="1"/>
  <c r="D745" i="18" s="1"/>
  <c r="K1129" i="43"/>
  <c r="N1129" i="43" s="1"/>
  <c r="D1129" i="18" s="1"/>
  <c r="G1162" i="43"/>
  <c r="F888" i="43"/>
  <c r="M822" i="43"/>
  <c r="K905" i="43"/>
  <c r="G938" i="43"/>
  <c r="K1161" i="43"/>
  <c r="G1194" i="43"/>
  <c r="G426" i="43"/>
  <c r="K393" i="43"/>
  <c r="F2058" i="43"/>
  <c r="M1992" i="43"/>
  <c r="G1226" i="43"/>
  <c r="K1193" i="43"/>
  <c r="N1193" i="43" s="1"/>
  <c r="D1193" i="18" s="1"/>
  <c r="F1213" i="43"/>
  <c r="M1147" i="43"/>
  <c r="K649" i="43"/>
  <c r="G682" i="43"/>
  <c r="F823" i="43"/>
  <c r="M757" i="43"/>
  <c r="F498" i="43"/>
  <c r="M432" i="43"/>
  <c r="N432" i="43" s="1"/>
  <c r="D432" i="18" s="1"/>
  <c r="F563" i="43"/>
  <c r="M497" i="43"/>
  <c r="N497" i="43" s="1"/>
  <c r="D497" i="18" s="1"/>
  <c r="F628" i="43"/>
  <c r="M562" i="43"/>
  <c r="F2123" i="43"/>
  <c r="M2123" i="43" s="1"/>
  <c r="M2057" i="43"/>
  <c r="F1018" i="43"/>
  <c r="M952" i="43"/>
  <c r="K809" i="43"/>
  <c r="N809" i="43" s="1"/>
  <c r="D809" i="18" s="1"/>
  <c r="G842" i="43"/>
  <c r="F1408" i="43"/>
  <c r="M1342" i="43"/>
  <c r="F368" i="43"/>
  <c r="M302" i="43"/>
  <c r="N302" i="43" s="1"/>
  <c r="D302" i="18" s="1"/>
  <c r="F43" i="43"/>
  <c r="M42" i="43"/>
  <c r="N42" i="43" s="1"/>
  <c r="D42" i="18" s="1"/>
  <c r="F108" i="43"/>
  <c r="G746" i="43"/>
  <c r="K713" i="43"/>
  <c r="K1097" i="43"/>
  <c r="G1130" i="43"/>
  <c r="F173" i="43"/>
  <c r="M107" i="43"/>
  <c r="N107" i="43" s="1"/>
  <c r="D107" i="18" s="1"/>
  <c r="F953" i="43"/>
  <c r="M887" i="43"/>
  <c r="F1798" i="43"/>
  <c r="M1732" i="43"/>
  <c r="G1258" i="43"/>
  <c r="K1225" i="43"/>
  <c r="F1993" i="43"/>
  <c r="M1927" i="43"/>
  <c r="F1668" i="43"/>
  <c r="M1602" i="43"/>
  <c r="F1343" i="43"/>
  <c r="M1277" i="43"/>
  <c r="K329" i="43"/>
  <c r="G362" i="43"/>
  <c r="K265" i="43"/>
  <c r="G298" i="43"/>
  <c r="F1083" i="43"/>
  <c r="M1017" i="43"/>
  <c r="G970" i="43"/>
  <c r="K937" i="43"/>
  <c r="N937" i="43" s="1"/>
  <c r="D937" i="18" s="1"/>
  <c r="K969" i="43"/>
  <c r="G1002" i="43"/>
  <c r="F1603" i="43"/>
  <c r="M1537" i="43"/>
  <c r="G586" i="43"/>
  <c r="K553" i="43"/>
  <c r="N553" i="43" s="1"/>
  <c r="D553" i="18" s="1"/>
  <c r="F1148" i="43"/>
  <c r="M1082" i="43"/>
  <c r="G330" i="43"/>
  <c r="K297" i="43"/>
  <c r="N297" i="43" s="1"/>
  <c r="D297" i="18" s="1"/>
  <c r="G1323" i="43"/>
  <c r="K1290" i="43"/>
  <c r="G1388" i="43"/>
  <c r="K1355" i="43"/>
  <c r="G490" i="43"/>
  <c r="K457" i="43"/>
  <c r="F1928" i="43"/>
  <c r="M1862" i="43"/>
  <c r="K1001" i="43"/>
  <c r="N1001" i="43" s="1"/>
  <c r="D1001" i="18" s="1"/>
  <c r="G1034" i="43"/>
  <c r="F1863" i="43"/>
  <c r="M1797" i="43"/>
  <c r="F1278" i="43"/>
  <c r="M1212" i="43"/>
  <c r="F758" i="43"/>
  <c r="M692" i="43"/>
  <c r="F1473" i="43"/>
  <c r="M1407" i="43"/>
  <c r="G906" i="43"/>
  <c r="K873" i="43"/>
  <c r="N873" i="43" s="1"/>
  <c r="D873" i="18" s="1"/>
  <c r="G874" i="43"/>
  <c r="K841" i="43"/>
  <c r="F1604" i="43" l="1"/>
  <c r="M1538" i="43"/>
  <c r="G1291" i="43"/>
  <c r="K1258" i="43"/>
  <c r="N1258" i="43" s="1"/>
  <c r="D1258" i="18" s="1"/>
  <c r="F1539" i="43"/>
  <c r="M1473" i="43"/>
  <c r="F1214" i="43"/>
  <c r="M1148" i="43"/>
  <c r="F954" i="43"/>
  <c r="M888" i="43"/>
  <c r="F1864" i="43"/>
  <c r="M1798" i="43"/>
  <c r="F694" i="43"/>
  <c r="M628" i="43"/>
  <c r="K1162" i="43"/>
  <c r="G1195" i="43"/>
  <c r="K650" i="43"/>
  <c r="G683" i="43"/>
  <c r="F824" i="43"/>
  <c r="M758" i="43"/>
  <c r="G619" i="43"/>
  <c r="K586" i="43"/>
  <c r="F1019" i="43"/>
  <c r="M953" i="43"/>
  <c r="M563" i="43"/>
  <c r="N563" i="43" s="1"/>
  <c r="D563" i="18" s="1"/>
  <c r="F629" i="43"/>
  <c r="M303" i="43"/>
  <c r="N303" i="43" s="1"/>
  <c r="D303" i="18" s="1"/>
  <c r="F369" i="43"/>
  <c r="F1344" i="43"/>
  <c r="M1278" i="43"/>
  <c r="M1603" i="43"/>
  <c r="F1669" i="43"/>
  <c r="G811" i="43"/>
  <c r="K778" i="43"/>
  <c r="K1002" i="43"/>
  <c r="N1002" i="43" s="1"/>
  <c r="D1002" i="18" s="1"/>
  <c r="G1035" i="43"/>
  <c r="F239" i="43"/>
  <c r="M173" i="43"/>
  <c r="N173" i="43" s="1"/>
  <c r="D173" i="18" s="1"/>
  <c r="M498" i="43"/>
  <c r="N498" i="43" s="1"/>
  <c r="D498" i="18" s="1"/>
  <c r="F564" i="43"/>
  <c r="K394" i="43"/>
  <c r="G427" i="43"/>
  <c r="F1929" i="43"/>
  <c r="M1863" i="43"/>
  <c r="G1163" i="43"/>
  <c r="K1130" i="43"/>
  <c r="N1130" i="43" s="1"/>
  <c r="D1130" i="18" s="1"/>
  <c r="F889" i="43"/>
  <c r="M823" i="43"/>
  <c r="K554" i="43"/>
  <c r="N554" i="43" s="1"/>
  <c r="D554" i="18" s="1"/>
  <c r="G587" i="43"/>
  <c r="F499" i="43"/>
  <c r="M433" i="43"/>
  <c r="N433" i="43" s="1"/>
  <c r="D433" i="18" s="1"/>
  <c r="G1067" i="43"/>
  <c r="K1034" i="43"/>
  <c r="K970" i="43"/>
  <c r="G1003" i="43"/>
  <c r="G715" i="43"/>
  <c r="K682" i="43"/>
  <c r="N682" i="43" s="1"/>
  <c r="D682" i="18" s="1"/>
  <c r="K1066" i="43"/>
  <c r="N1066" i="43" s="1"/>
  <c r="D1066" i="18" s="1"/>
  <c r="G1099" i="43"/>
  <c r="G779" i="43"/>
  <c r="K746" i="43"/>
  <c r="N746" i="43" s="1"/>
  <c r="D746" i="18" s="1"/>
  <c r="F1149" i="43"/>
  <c r="M1083" i="43"/>
  <c r="F174" i="43"/>
  <c r="M108" i="43"/>
  <c r="N108" i="43" s="1"/>
  <c r="D108" i="18" s="1"/>
  <c r="F1994" i="43"/>
  <c r="M1928" i="43"/>
  <c r="G331" i="43"/>
  <c r="K298" i="43"/>
  <c r="N298" i="43" s="1"/>
  <c r="D298" i="18" s="1"/>
  <c r="F1279" i="43"/>
  <c r="M1213" i="43"/>
  <c r="K714" i="43"/>
  <c r="G747" i="43"/>
  <c r="M43" i="43"/>
  <c r="N43" i="43" s="1"/>
  <c r="D43" i="18" s="1"/>
  <c r="F109" i="43"/>
  <c r="F44" i="43"/>
  <c r="G395" i="43"/>
  <c r="K362" i="43"/>
  <c r="N362" i="43" s="1"/>
  <c r="D362" i="18" s="1"/>
  <c r="G1259" i="43"/>
  <c r="K1226" i="43"/>
  <c r="K1098" i="43"/>
  <c r="G1131" i="43"/>
  <c r="F304" i="43"/>
  <c r="M238" i="43"/>
  <c r="N238" i="43" s="1"/>
  <c r="D238" i="18" s="1"/>
  <c r="F434" i="43"/>
  <c r="M368" i="43"/>
  <c r="N368" i="43" s="1"/>
  <c r="D368" i="18" s="1"/>
  <c r="G651" i="43"/>
  <c r="K618" i="43"/>
  <c r="N618" i="43" s="1"/>
  <c r="D618" i="18" s="1"/>
  <c r="K490" i="43"/>
  <c r="N490" i="43" s="1"/>
  <c r="D490" i="18" s="1"/>
  <c r="G523" i="43"/>
  <c r="F2124" i="43"/>
  <c r="M2124" i="43" s="1"/>
  <c r="M2058" i="43"/>
  <c r="K810" i="43"/>
  <c r="N810" i="43" s="1"/>
  <c r="D810" i="18" s="1"/>
  <c r="G843" i="43"/>
  <c r="F1409" i="43"/>
  <c r="M1343" i="43"/>
  <c r="F1474" i="43"/>
  <c r="M1408" i="43"/>
  <c r="G555" i="43"/>
  <c r="K522" i="43"/>
  <c r="F1799" i="43"/>
  <c r="M1733" i="43"/>
  <c r="K330" i="43"/>
  <c r="G363" i="43"/>
  <c r="G875" i="43"/>
  <c r="K842" i="43"/>
  <c r="F2059" i="43"/>
  <c r="M1993" i="43"/>
  <c r="G1421" i="43"/>
  <c r="K1388" i="43"/>
  <c r="N1388" i="43" s="1"/>
  <c r="D1388" i="18" s="1"/>
  <c r="G459" i="43"/>
  <c r="K426" i="43"/>
  <c r="N426" i="43" s="1"/>
  <c r="D426" i="18" s="1"/>
  <c r="K458" i="43"/>
  <c r="G491" i="43"/>
  <c r="G971" i="43"/>
  <c r="K938" i="43"/>
  <c r="N938" i="43" s="1"/>
  <c r="D938" i="18" s="1"/>
  <c r="G939" i="43"/>
  <c r="K906" i="43"/>
  <c r="F1734" i="43"/>
  <c r="M1668" i="43"/>
  <c r="G1227" i="43"/>
  <c r="K1194" i="43"/>
  <c r="N1194" i="43" s="1"/>
  <c r="D1194" i="18" s="1"/>
  <c r="F759" i="43"/>
  <c r="M693" i="43"/>
  <c r="K874" i="43"/>
  <c r="N874" i="43" s="1"/>
  <c r="D874" i="18" s="1"/>
  <c r="G907" i="43"/>
  <c r="K1323" i="43"/>
  <c r="N1323" i="43" s="1"/>
  <c r="D1323" i="18" s="1"/>
  <c r="G1356" i="43"/>
  <c r="F1084" i="43"/>
  <c r="M1018" i="43"/>
  <c r="K875" i="43" l="1"/>
  <c r="N875" i="43" s="1"/>
  <c r="D875" i="18" s="1"/>
  <c r="G908" i="43"/>
  <c r="F500" i="43"/>
  <c r="M434" i="43"/>
  <c r="N434" i="43" s="1"/>
  <c r="D434" i="18" s="1"/>
  <c r="F240" i="43"/>
  <c r="M174" i="43"/>
  <c r="N174" i="43" s="1"/>
  <c r="D174" i="18" s="1"/>
  <c r="F1085" i="43"/>
  <c r="M1019" i="43"/>
  <c r="K1163" i="43"/>
  <c r="G1196" i="43"/>
  <c r="M759" i="43"/>
  <c r="F825" i="43"/>
  <c r="K363" i="43"/>
  <c r="N363" i="43" s="1"/>
  <c r="D363" i="18" s="1"/>
  <c r="G396" i="43"/>
  <c r="M1149" i="43"/>
  <c r="F1215" i="43"/>
  <c r="G652" i="43"/>
  <c r="K619" i="43"/>
  <c r="N619" i="43" s="1"/>
  <c r="D619" i="18" s="1"/>
  <c r="K1227" i="43"/>
  <c r="G1260" i="43"/>
  <c r="M304" i="43"/>
  <c r="N304" i="43" s="1"/>
  <c r="D304" i="18" s="1"/>
  <c r="F370" i="43"/>
  <c r="M1929" i="43"/>
  <c r="F1995" i="43"/>
  <c r="F890" i="43"/>
  <c r="M824" i="43"/>
  <c r="F1865" i="43"/>
  <c r="M1799" i="43"/>
  <c r="G1164" i="43"/>
  <c r="K1131" i="43"/>
  <c r="N1131" i="43" s="1"/>
  <c r="D1131" i="18" s="1"/>
  <c r="G460" i="43"/>
  <c r="K427" i="43"/>
  <c r="N427" i="43" s="1"/>
  <c r="D427" i="18" s="1"/>
  <c r="K683" i="43"/>
  <c r="N683" i="43" s="1"/>
  <c r="D683" i="18" s="1"/>
  <c r="G716" i="43"/>
  <c r="F1800" i="43"/>
  <c r="M1734" i="43"/>
  <c r="G812" i="43"/>
  <c r="K779" i="43"/>
  <c r="K555" i="43"/>
  <c r="N555" i="43" s="1"/>
  <c r="D555" i="18" s="1"/>
  <c r="G588" i="43"/>
  <c r="G1132" i="43"/>
  <c r="K1099" i="43"/>
  <c r="F630" i="43"/>
  <c r="M564" i="43"/>
  <c r="N564" i="43" s="1"/>
  <c r="D564" i="18" s="1"/>
  <c r="K1195" i="43"/>
  <c r="N1195" i="43" s="1"/>
  <c r="D1195" i="18" s="1"/>
  <c r="G1228" i="43"/>
  <c r="G1292" i="43"/>
  <c r="K1259" i="43"/>
  <c r="N1259" i="43" s="1"/>
  <c r="D1259" i="18" s="1"/>
  <c r="F1540" i="43"/>
  <c r="M1474" i="43"/>
  <c r="K939" i="43"/>
  <c r="N939" i="43" s="1"/>
  <c r="D939" i="18" s="1"/>
  <c r="G972" i="43"/>
  <c r="K395" i="43"/>
  <c r="G428" i="43"/>
  <c r="G748" i="43"/>
  <c r="K715" i="43"/>
  <c r="F305" i="43"/>
  <c r="M239" i="43"/>
  <c r="N239" i="43" s="1"/>
  <c r="D239" i="18" s="1"/>
  <c r="M694" i="43"/>
  <c r="F760" i="43"/>
  <c r="M1409" i="43"/>
  <c r="F1475" i="43"/>
  <c r="F110" i="43"/>
  <c r="F45" i="43"/>
  <c r="M44" i="43"/>
  <c r="N44" i="43" s="1"/>
  <c r="D44" i="18" s="1"/>
  <c r="G1068" i="43"/>
  <c r="K1035" i="43"/>
  <c r="G1004" i="43"/>
  <c r="K971" i="43"/>
  <c r="F175" i="43"/>
  <c r="M109" i="43"/>
  <c r="N109" i="43" s="1"/>
  <c r="D109" i="18" s="1"/>
  <c r="G1036" i="43"/>
  <c r="K1003" i="43"/>
  <c r="N1003" i="43" s="1"/>
  <c r="D1003" i="18" s="1"/>
  <c r="M1864" i="43"/>
  <c r="F1930" i="43"/>
  <c r="G524" i="43"/>
  <c r="K491" i="43"/>
  <c r="N491" i="43" s="1"/>
  <c r="D491" i="18" s="1"/>
  <c r="K843" i="43"/>
  <c r="G876" i="43"/>
  <c r="G844" i="43"/>
  <c r="K811" i="43"/>
  <c r="N811" i="43" s="1"/>
  <c r="D811" i="18" s="1"/>
  <c r="F1020" i="43"/>
  <c r="M954" i="43"/>
  <c r="G780" i="43"/>
  <c r="K747" i="43"/>
  <c r="N747" i="43" s="1"/>
  <c r="D747" i="18" s="1"/>
  <c r="K1067" i="43"/>
  <c r="N1067" i="43" s="1"/>
  <c r="D1067" i="18" s="1"/>
  <c r="G1100" i="43"/>
  <c r="F1735" i="43"/>
  <c r="M1669" i="43"/>
  <c r="G492" i="43"/>
  <c r="K459" i="43"/>
  <c r="F1280" i="43"/>
  <c r="M1214" i="43"/>
  <c r="F565" i="43"/>
  <c r="M499" i="43"/>
  <c r="N499" i="43" s="1"/>
  <c r="D499" i="18" s="1"/>
  <c r="G1454" i="43"/>
  <c r="K1421" i="43"/>
  <c r="G556" i="43"/>
  <c r="K523" i="43"/>
  <c r="M1279" i="43"/>
  <c r="F1345" i="43"/>
  <c r="G620" i="43"/>
  <c r="K587" i="43"/>
  <c r="F1410" i="43"/>
  <c r="M1344" i="43"/>
  <c r="F1605" i="43"/>
  <c r="M1539" i="43"/>
  <c r="F435" i="43"/>
  <c r="M369" i="43"/>
  <c r="N369" i="43" s="1"/>
  <c r="D369" i="18" s="1"/>
  <c r="G940" i="43"/>
  <c r="K907" i="43"/>
  <c r="F1150" i="43"/>
  <c r="M1084" i="43"/>
  <c r="G364" i="43"/>
  <c r="K331" i="43"/>
  <c r="K1291" i="43"/>
  <c r="G1324" i="43"/>
  <c r="G1389" i="43"/>
  <c r="K1356" i="43"/>
  <c r="F2125" i="43"/>
  <c r="M2125" i="43" s="1"/>
  <c r="M2059" i="43"/>
  <c r="G684" i="43"/>
  <c r="K651" i="43"/>
  <c r="F955" i="43"/>
  <c r="M889" i="43"/>
  <c r="M629" i="43"/>
  <c r="N629" i="43" s="1"/>
  <c r="D629" i="18" s="1"/>
  <c r="F695" i="43"/>
  <c r="M1994" i="43"/>
  <c r="F2060" i="43"/>
  <c r="F1670" i="43"/>
  <c r="M1604" i="43"/>
  <c r="F436" i="43" l="1"/>
  <c r="M370" i="43"/>
  <c r="N370" i="43" s="1"/>
  <c r="D370" i="18" s="1"/>
  <c r="F1086" i="43"/>
  <c r="M1020" i="43"/>
  <c r="M1475" i="43"/>
  <c r="F1541" i="43"/>
  <c r="M1410" i="43"/>
  <c r="F1476" i="43"/>
  <c r="K588" i="43"/>
  <c r="G621" i="43"/>
  <c r="K1260" i="43"/>
  <c r="N1260" i="43" s="1"/>
  <c r="D1260" i="18" s="1"/>
  <c r="G1293" i="43"/>
  <c r="F761" i="43"/>
  <c r="M695" i="43"/>
  <c r="N695" i="43" s="1"/>
  <c r="D695" i="18" s="1"/>
  <c r="K844" i="43"/>
  <c r="G877" i="43"/>
  <c r="F826" i="43"/>
  <c r="M760" i="43"/>
  <c r="G653" i="43"/>
  <c r="K620" i="43"/>
  <c r="N620" i="43" s="1"/>
  <c r="D620" i="18" s="1"/>
  <c r="M110" i="43"/>
  <c r="N110" i="43" s="1"/>
  <c r="D110" i="18" s="1"/>
  <c r="F176" i="43"/>
  <c r="F1411" i="43"/>
  <c r="M1345" i="43"/>
  <c r="G909" i="43"/>
  <c r="K876" i="43"/>
  <c r="N876" i="43" s="1"/>
  <c r="D876" i="18" s="1"/>
  <c r="F1021" i="43"/>
  <c r="M955" i="43"/>
  <c r="F371" i="43"/>
  <c r="M305" i="43"/>
  <c r="N305" i="43" s="1"/>
  <c r="D305" i="18" s="1"/>
  <c r="G685" i="43"/>
  <c r="K652" i="43"/>
  <c r="G845" i="43"/>
  <c r="K812" i="43"/>
  <c r="N812" i="43" s="1"/>
  <c r="D812" i="18" s="1"/>
  <c r="F1281" i="43"/>
  <c r="M1215" i="43"/>
  <c r="G717" i="43"/>
  <c r="K684" i="43"/>
  <c r="N684" i="43" s="1"/>
  <c r="D684" i="18" s="1"/>
  <c r="G589" i="43"/>
  <c r="K556" i="43"/>
  <c r="N556" i="43" s="1"/>
  <c r="D556" i="18" s="1"/>
  <c r="K748" i="43"/>
  <c r="N748" i="43" s="1"/>
  <c r="D748" i="18" s="1"/>
  <c r="G781" i="43"/>
  <c r="G461" i="43"/>
  <c r="K428" i="43"/>
  <c r="N428" i="43" s="1"/>
  <c r="D428" i="18" s="1"/>
  <c r="G429" i="43"/>
  <c r="K396" i="43"/>
  <c r="G1487" i="43"/>
  <c r="K1454" i="43"/>
  <c r="N1454" i="43" s="1"/>
  <c r="D1454" i="18" s="1"/>
  <c r="K524" i="43"/>
  <c r="G557" i="43"/>
  <c r="G1005" i="43"/>
  <c r="K972" i="43"/>
  <c r="F1866" i="43"/>
  <c r="M1800" i="43"/>
  <c r="F891" i="43"/>
  <c r="M825" i="43"/>
  <c r="G1422" i="43"/>
  <c r="K1389" i="43"/>
  <c r="N1389" i="43" s="1"/>
  <c r="D1389" i="18" s="1"/>
  <c r="M565" i="43"/>
  <c r="N565" i="43" s="1"/>
  <c r="D565" i="18" s="1"/>
  <c r="F631" i="43"/>
  <c r="M1930" i="43"/>
  <c r="F1996" i="43"/>
  <c r="G749" i="43"/>
  <c r="K716" i="43"/>
  <c r="G1357" i="43"/>
  <c r="K1324" i="43"/>
  <c r="N1324" i="43" s="1"/>
  <c r="D1324" i="18" s="1"/>
  <c r="F1346" i="43"/>
  <c r="M1280" i="43"/>
  <c r="F1606" i="43"/>
  <c r="M1540" i="43"/>
  <c r="K1196" i="43"/>
  <c r="N1196" i="43" s="1"/>
  <c r="D1196" i="18" s="1"/>
  <c r="G1229" i="43"/>
  <c r="G1069" i="43"/>
  <c r="K1036" i="43"/>
  <c r="G493" i="43"/>
  <c r="K460" i="43"/>
  <c r="K364" i="43"/>
  <c r="N364" i="43" s="1"/>
  <c r="D364" i="18" s="1"/>
  <c r="G397" i="43"/>
  <c r="G525" i="43"/>
  <c r="K492" i="43"/>
  <c r="N492" i="43" s="1"/>
  <c r="D492" i="18" s="1"/>
  <c r="F241" i="43"/>
  <c r="M175" i="43"/>
  <c r="N175" i="43" s="1"/>
  <c r="D175" i="18" s="1"/>
  <c r="G1197" i="43"/>
  <c r="K1164" i="43"/>
  <c r="M1085" i="43"/>
  <c r="F1151" i="43"/>
  <c r="M1150" i="43"/>
  <c r="F1216" i="43"/>
  <c r="K1292" i="43"/>
  <c r="G1325" i="43"/>
  <c r="K1132" i="43"/>
  <c r="N1132" i="43" s="1"/>
  <c r="D1132" i="18" s="1"/>
  <c r="G1165" i="43"/>
  <c r="M1735" i="43"/>
  <c r="F1801" i="43"/>
  <c r="G1037" i="43"/>
  <c r="K1004" i="43"/>
  <c r="N1004" i="43" s="1"/>
  <c r="D1004" i="18" s="1"/>
  <c r="G1261" i="43"/>
  <c r="K1228" i="43"/>
  <c r="F1931" i="43"/>
  <c r="M1865" i="43"/>
  <c r="F306" i="43"/>
  <c r="M240" i="43"/>
  <c r="N240" i="43" s="1"/>
  <c r="D240" i="18" s="1"/>
  <c r="K940" i="43"/>
  <c r="N940" i="43" s="1"/>
  <c r="D940" i="18" s="1"/>
  <c r="G973" i="43"/>
  <c r="G1133" i="43"/>
  <c r="K1100" i="43"/>
  <c r="F2126" i="43"/>
  <c r="M2126" i="43" s="1"/>
  <c r="M2060" i="43"/>
  <c r="G1101" i="43"/>
  <c r="K1068" i="43"/>
  <c r="N1068" i="43" s="1"/>
  <c r="D1068" i="18" s="1"/>
  <c r="F956" i="43"/>
  <c r="M890" i="43"/>
  <c r="M500" i="43"/>
  <c r="N500" i="43" s="1"/>
  <c r="D500" i="18" s="1"/>
  <c r="F566" i="43"/>
  <c r="F1671" i="43"/>
  <c r="M1605" i="43"/>
  <c r="M435" i="43"/>
  <c r="N435" i="43" s="1"/>
  <c r="D435" i="18" s="1"/>
  <c r="F501" i="43"/>
  <c r="M630" i="43"/>
  <c r="N630" i="43" s="1"/>
  <c r="D630" i="18" s="1"/>
  <c r="F696" i="43"/>
  <c r="F2061" i="43"/>
  <c r="M1995" i="43"/>
  <c r="K908" i="43"/>
  <c r="G941" i="43"/>
  <c r="F1736" i="43"/>
  <c r="M1670" i="43"/>
  <c r="G813" i="43"/>
  <c r="K780" i="43"/>
  <c r="F111" i="43"/>
  <c r="F46" i="43"/>
  <c r="M45" i="43"/>
  <c r="N45" i="43" s="1"/>
  <c r="D45" i="18" s="1"/>
  <c r="M241" i="43" l="1"/>
  <c r="N241" i="43" s="1"/>
  <c r="D241" i="18" s="1"/>
  <c r="F307" i="43"/>
  <c r="F242" i="43"/>
  <c r="M176" i="43"/>
  <c r="N176" i="43" s="1"/>
  <c r="D176" i="18" s="1"/>
  <c r="F1802" i="43"/>
  <c r="M1736" i="43"/>
  <c r="F697" i="43"/>
  <c r="M631" i="43"/>
  <c r="N631" i="43" s="1"/>
  <c r="D631" i="18" s="1"/>
  <c r="K589" i="43"/>
  <c r="G622" i="43"/>
  <c r="G1006" i="43"/>
  <c r="K973" i="43"/>
  <c r="G974" i="43"/>
  <c r="K941" i="43"/>
  <c r="N941" i="43" s="1"/>
  <c r="D941" i="18" s="1"/>
  <c r="M306" i="43"/>
  <c r="N306" i="43" s="1"/>
  <c r="D306" i="18" s="1"/>
  <c r="F372" i="43"/>
  <c r="G558" i="43"/>
  <c r="K525" i="43"/>
  <c r="G686" i="43"/>
  <c r="K653" i="43"/>
  <c r="K717" i="43"/>
  <c r="G750" i="43"/>
  <c r="F1997" i="43"/>
  <c r="M1931" i="43"/>
  <c r="K397" i="43"/>
  <c r="G430" i="43"/>
  <c r="K1422" i="43"/>
  <c r="G1455" i="43"/>
  <c r="F2127" i="43"/>
  <c r="M2127" i="43" s="1"/>
  <c r="M2061" i="43"/>
  <c r="F1347" i="43"/>
  <c r="M1281" i="43"/>
  <c r="F892" i="43"/>
  <c r="M826" i="43"/>
  <c r="F762" i="43"/>
  <c r="M696" i="43"/>
  <c r="N696" i="43" s="1"/>
  <c r="D696" i="18" s="1"/>
  <c r="K1261" i="43"/>
  <c r="N1261" i="43" s="1"/>
  <c r="D1261" i="18" s="1"/>
  <c r="G1294" i="43"/>
  <c r="F957" i="43"/>
  <c r="M891" i="43"/>
  <c r="G910" i="43"/>
  <c r="K877" i="43"/>
  <c r="N877" i="43" s="1"/>
  <c r="D877" i="18" s="1"/>
  <c r="G878" i="43"/>
  <c r="K845" i="43"/>
  <c r="F567" i="43"/>
  <c r="M501" i="43"/>
  <c r="N501" i="43" s="1"/>
  <c r="D501" i="18" s="1"/>
  <c r="G1070" i="43"/>
  <c r="K1037" i="43"/>
  <c r="K493" i="43"/>
  <c r="N493" i="43" s="1"/>
  <c r="D493" i="18" s="1"/>
  <c r="G526" i="43"/>
  <c r="F1932" i="43"/>
  <c r="M1866" i="43"/>
  <c r="F1867" i="43"/>
  <c r="M1801" i="43"/>
  <c r="G1102" i="43"/>
  <c r="K1069" i="43"/>
  <c r="N1069" i="43" s="1"/>
  <c r="D1069" i="18" s="1"/>
  <c r="K1005" i="43"/>
  <c r="N1005" i="43" s="1"/>
  <c r="D1005" i="18" s="1"/>
  <c r="G1038" i="43"/>
  <c r="F827" i="43"/>
  <c r="M761" i="43"/>
  <c r="N761" i="43" s="1"/>
  <c r="D761" i="18" s="1"/>
  <c r="M1671" i="43"/>
  <c r="F1737" i="43"/>
  <c r="G590" i="43"/>
  <c r="K557" i="43"/>
  <c r="N557" i="43" s="1"/>
  <c r="D557" i="18" s="1"/>
  <c r="G1326" i="43"/>
  <c r="K1293" i="43"/>
  <c r="M566" i="43"/>
  <c r="N566" i="43" s="1"/>
  <c r="D566" i="18" s="1"/>
  <c r="F632" i="43"/>
  <c r="K1165" i="43"/>
  <c r="G1198" i="43"/>
  <c r="K1229" i="43"/>
  <c r="G1262" i="43"/>
  <c r="G718" i="43"/>
  <c r="K685" i="43"/>
  <c r="N685" i="43" s="1"/>
  <c r="D685" i="18" s="1"/>
  <c r="K621" i="43"/>
  <c r="N621" i="43" s="1"/>
  <c r="D621" i="18" s="1"/>
  <c r="G654" i="43"/>
  <c r="G1358" i="43"/>
  <c r="K1325" i="43"/>
  <c r="N1325" i="43" s="1"/>
  <c r="D1325" i="18" s="1"/>
  <c r="F1022" i="43"/>
  <c r="M956" i="43"/>
  <c r="M1606" i="43"/>
  <c r="F1672" i="43"/>
  <c r="F437" i="43"/>
  <c r="M371" i="43"/>
  <c r="N371" i="43" s="1"/>
  <c r="D371" i="18" s="1"/>
  <c r="F1542" i="43"/>
  <c r="M1476" i="43"/>
  <c r="K1487" i="43"/>
  <c r="G1520" i="43"/>
  <c r="K813" i="43"/>
  <c r="N813" i="43" s="1"/>
  <c r="D813" i="18" s="1"/>
  <c r="G846" i="43"/>
  <c r="K1101" i="43"/>
  <c r="G1134" i="43"/>
  <c r="F1282" i="43"/>
  <c r="M1216" i="43"/>
  <c r="F1412" i="43"/>
  <c r="M1346" i="43"/>
  <c r="F1607" i="43"/>
  <c r="M1541" i="43"/>
  <c r="K429" i="43"/>
  <c r="N429" i="43" s="1"/>
  <c r="D429" i="18" s="1"/>
  <c r="G462" i="43"/>
  <c r="F1087" i="43"/>
  <c r="M1021" i="43"/>
  <c r="F1217" i="43"/>
  <c r="M1151" i="43"/>
  <c r="F2062" i="43"/>
  <c r="M1996" i="43"/>
  <c r="F112" i="43"/>
  <c r="F47" i="43"/>
  <c r="M46" i="43"/>
  <c r="N46" i="43" s="1"/>
  <c r="D46" i="18" s="1"/>
  <c r="K1357" i="43"/>
  <c r="G1390" i="43"/>
  <c r="K461" i="43"/>
  <c r="G494" i="43"/>
  <c r="K909" i="43"/>
  <c r="G942" i="43"/>
  <c r="F1152" i="43"/>
  <c r="M1086" i="43"/>
  <c r="F177" i="43"/>
  <c r="M111" i="43"/>
  <c r="N111" i="43" s="1"/>
  <c r="D111" i="18" s="1"/>
  <c r="G1166" i="43"/>
  <c r="K1133" i="43"/>
  <c r="N1133" i="43" s="1"/>
  <c r="D1133" i="18" s="1"/>
  <c r="G1230" i="43"/>
  <c r="K1197" i="43"/>
  <c r="N1197" i="43" s="1"/>
  <c r="D1197" i="18" s="1"/>
  <c r="G782" i="43"/>
  <c r="K749" i="43"/>
  <c r="N749" i="43" s="1"/>
  <c r="D749" i="18" s="1"/>
  <c r="K781" i="43"/>
  <c r="G814" i="43"/>
  <c r="F1477" i="43"/>
  <c r="M1411" i="43"/>
  <c r="M436" i="43"/>
  <c r="N436" i="43" s="1"/>
  <c r="D436" i="18" s="1"/>
  <c r="F502" i="43"/>
  <c r="F2063" i="43" l="1"/>
  <c r="M1997" i="43"/>
  <c r="F1543" i="43"/>
  <c r="M1477" i="43"/>
  <c r="M47" i="43"/>
  <c r="N47" i="43" s="1"/>
  <c r="D47" i="18" s="1"/>
  <c r="F48" i="43"/>
  <c r="F113" i="43"/>
  <c r="M1542" i="43"/>
  <c r="F1608" i="43"/>
  <c r="G783" i="43"/>
  <c r="K750" i="43"/>
  <c r="N750" i="43" s="1"/>
  <c r="D750" i="18" s="1"/>
  <c r="K814" i="43"/>
  <c r="N814" i="43" s="1"/>
  <c r="D814" i="18" s="1"/>
  <c r="G847" i="43"/>
  <c r="F178" i="43"/>
  <c r="M112" i="43"/>
  <c r="N112" i="43" s="1"/>
  <c r="D112" i="18" s="1"/>
  <c r="K878" i="43"/>
  <c r="N878" i="43" s="1"/>
  <c r="D878" i="18" s="1"/>
  <c r="G911" i="43"/>
  <c r="F503" i="43"/>
  <c r="M437" i="43"/>
  <c r="N437" i="43" s="1"/>
  <c r="D437" i="18" s="1"/>
  <c r="G623" i="43"/>
  <c r="K590" i="43"/>
  <c r="F2128" i="43"/>
  <c r="M2128" i="43" s="1"/>
  <c r="M2062" i="43"/>
  <c r="F1738" i="43"/>
  <c r="M1672" i="43"/>
  <c r="F1803" i="43"/>
  <c r="M1737" i="43"/>
  <c r="K782" i="43"/>
  <c r="G815" i="43"/>
  <c r="G943" i="43"/>
  <c r="K910" i="43"/>
  <c r="G719" i="43"/>
  <c r="K686" i="43"/>
  <c r="N686" i="43" s="1"/>
  <c r="D686" i="18" s="1"/>
  <c r="M1217" i="43"/>
  <c r="F1283" i="43"/>
  <c r="K1230" i="43"/>
  <c r="G1263" i="43"/>
  <c r="M827" i="43"/>
  <c r="N827" i="43" s="1"/>
  <c r="D827" i="18" s="1"/>
  <c r="F893" i="43"/>
  <c r="F1023" i="43"/>
  <c r="M957" i="43"/>
  <c r="K558" i="43"/>
  <c r="N558" i="43" s="1"/>
  <c r="D558" i="18" s="1"/>
  <c r="G591" i="43"/>
  <c r="F1153" i="43"/>
  <c r="M1087" i="43"/>
  <c r="F1088" i="43"/>
  <c r="M1022" i="43"/>
  <c r="G1071" i="43"/>
  <c r="K1038" i="43"/>
  <c r="K1294" i="43"/>
  <c r="G1327" i="43"/>
  <c r="M372" i="43"/>
  <c r="N372" i="43" s="1"/>
  <c r="D372" i="18" s="1"/>
  <c r="F438" i="43"/>
  <c r="K1166" i="43"/>
  <c r="G1199" i="43"/>
  <c r="K462" i="43"/>
  <c r="G495" i="43"/>
  <c r="G1391" i="43"/>
  <c r="K1358" i="43"/>
  <c r="G1135" i="43"/>
  <c r="K1102" i="43"/>
  <c r="F828" i="43"/>
  <c r="M762" i="43"/>
  <c r="N762" i="43" s="1"/>
  <c r="D762" i="18" s="1"/>
  <c r="K974" i="43"/>
  <c r="G1007" i="43"/>
  <c r="F1673" i="43"/>
  <c r="M1607" i="43"/>
  <c r="K654" i="43"/>
  <c r="G687" i="43"/>
  <c r="M892" i="43"/>
  <c r="F958" i="43"/>
  <c r="K1006" i="43"/>
  <c r="N1006" i="43" s="1"/>
  <c r="D1006" i="18" s="1"/>
  <c r="G1039" i="43"/>
  <c r="K622" i="43"/>
  <c r="N622" i="43" s="1"/>
  <c r="D622" i="18" s="1"/>
  <c r="G655" i="43"/>
  <c r="M177" i="43"/>
  <c r="N177" i="43" s="1"/>
  <c r="D177" i="18" s="1"/>
  <c r="F243" i="43"/>
  <c r="F1478" i="43"/>
  <c r="M1412" i="43"/>
  <c r="K718" i="43"/>
  <c r="G751" i="43"/>
  <c r="F1933" i="43"/>
  <c r="M1867" i="43"/>
  <c r="F1413" i="43"/>
  <c r="M1347" i="43"/>
  <c r="F1218" i="43"/>
  <c r="M1152" i="43"/>
  <c r="M1282" i="43"/>
  <c r="F1348" i="43"/>
  <c r="G1295" i="43"/>
  <c r="K1262" i="43"/>
  <c r="N1262" i="43" s="1"/>
  <c r="D1262" i="18" s="1"/>
  <c r="F1998" i="43"/>
  <c r="M1932" i="43"/>
  <c r="F763" i="43"/>
  <c r="M697" i="43"/>
  <c r="N697" i="43" s="1"/>
  <c r="D697" i="18" s="1"/>
  <c r="K942" i="43"/>
  <c r="N942" i="43" s="1"/>
  <c r="D942" i="18" s="1"/>
  <c r="G975" i="43"/>
  <c r="G1167" i="43"/>
  <c r="K1134" i="43"/>
  <c r="N1134" i="43" s="1"/>
  <c r="D1134" i="18" s="1"/>
  <c r="K526" i="43"/>
  <c r="G559" i="43"/>
  <c r="G1231" i="43"/>
  <c r="K1198" i="43"/>
  <c r="N1198" i="43" s="1"/>
  <c r="D1198" i="18" s="1"/>
  <c r="G1488" i="43"/>
  <c r="K1455" i="43"/>
  <c r="N1455" i="43" s="1"/>
  <c r="D1455" i="18" s="1"/>
  <c r="F1868" i="43"/>
  <c r="M1802" i="43"/>
  <c r="K494" i="43"/>
  <c r="N494" i="43" s="1"/>
  <c r="D494" i="18" s="1"/>
  <c r="G527" i="43"/>
  <c r="G879" i="43"/>
  <c r="K846" i="43"/>
  <c r="K1326" i="43"/>
  <c r="N1326" i="43" s="1"/>
  <c r="D1326" i="18" s="1"/>
  <c r="G1359" i="43"/>
  <c r="F698" i="43"/>
  <c r="M632" i="43"/>
  <c r="N632" i="43" s="1"/>
  <c r="D632" i="18" s="1"/>
  <c r="K1070" i="43"/>
  <c r="N1070" i="43" s="1"/>
  <c r="D1070" i="18" s="1"/>
  <c r="G1103" i="43"/>
  <c r="G463" i="43"/>
  <c r="K430" i="43"/>
  <c r="N430" i="43" s="1"/>
  <c r="D430" i="18" s="1"/>
  <c r="M242" i="43"/>
  <c r="N242" i="43" s="1"/>
  <c r="D242" i="18" s="1"/>
  <c r="F308" i="43"/>
  <c r="F568" i="43"/>
  <c r="M502" i="43"/>
  <c r="N502" i="43" s="1"/>
  <c r="D502" i="18" s="1"/>
  <c r="G1423" i="43"/>
  <c r="K1390" i="43"/>
  <c r="N1390" i="43" s="1"/>
  <c r="D1390" i="18" s="1"/>
  <c r="G1553" i="43"/>
  <c r="K1520" i="43"/>
  <c r="N1520" i="43" s="1"/>
  <c r="D1520" i="18" s="1"/>
  <c r="F373" i="43"/>
  <c r="M307" i="43"/>
  <c r="N307" i="43" s="1"/>
  <c r="D307" i="18" s="1"/>
  <c r="M567" i="43"/>
  <c r="N567" i="43" s="1"/>
  <c r="D567" i="18" s="1"/>
  <c r="F633" i="43"/>
  <c r="G912" i="43" l="1"/>
  <c r="K879" i="43"/>
  <c r="N879" i="43" s="1"/>
  <c r="D879" i="18" s="1"/>
  <c r="F1414" i="43"/>
  <c r="M1348" i="43"/>
  <c r="G624" i="43"/>
  <c r="K591" i="43"/>
  <c r="F439" i="43"/>
  <c r="M373" i="43"/>
  <c r="N373" i="43" s="1"/>
  <c r="D373" i="18" s="1"/>
  <c r="K527" i="43"/>
  <c r="G560" i="43"/>
  <c r="F1739" i="43"/>
  <c r="M1673" i="43"/>
  <c r="G656" i="43"/>
  <c r="K623" i="43"/>
  <c r="N623" i="43" s="1"/>
  <c r="D623" i="18" s="1"/>
  <c r="G1040" i="43"/>
  <c r="K1007" i="43"/>
  <c r="N1007" i="43" s="1"/>
  <c r="D1007" i="18" s="1"/>
  <c r="F1284" i="43"/>
  <c r="M1218" i="43"/>
  <c r="M1023" i="43"/>
  <c r="F1089" i="43"/>
  <c r="F569" i="43"/>
  <c r="M503" i="43"/>
  <c r="N503" i="43" s="1"/>
  <c r="D503" i="18" s="1"/>
  <c r="K1553" i="43"/>
  <c r="G1586" i="43"/>
  <c r="M1868" i="43"/>
  <c r="F1934" i="43"/>
  <c r="F959" i="43"/>
  <c r="M893" i="43"/>
  <c r="N893" i="43" s="1"/>
  <c r="D893" i="18" s="1"/>
  <c r="F894" i="43"/>
  <c r="M828" i="43"/>
  <c r="N828" i="43" s="1"/>
  <c r="D828" i="18" s="1"/>
  <c r="K1423" i="43"/>
  <c r="G1456" i="43"/>
  <c r="K1488" i="43"/>
  <c r="G1521" i="43"/>
  <c r="F1479" i="43"/>
  <c r="M1413" i="43"/>
  <c r="G1296" i="43"/>
  <c r="K1263" i="43"/>
  <c r="N1263" i="43" s="1"/>
  <c r="D1263" i="18" s="1"/>
  <c r="K911" i="43"/>
  <c r="G944" i="43"/>
  <c r="K1135" i="43"/>
  <c r="N1135" i="43" s="1"/>
  <c r="D1135" i="18" s="1"/>
  <c r="G1168" i="43"/>
  <c r="M568" i="43"/>
  <c r="N568" i="43" s="1"/>
  <c r="D568" i="18" s="1"/>
  <c r="F634" i="43"/>
  <c r="G1264" i="43"/>
  <c r="K1231" i="43"/>
  <c r="M1933" i="43"/>
  <c r="F1999" i="43"/>
  <c r="F374" i="43"/>
  <c r="M308" i="43"/>
  <c r="N308" i="43" s="1"/>
  <c r="D308" i="18" s="1"/>
  <c r="G784" i="43"/>
  <c r="K751" i="43"/>
  <c r="N751" i="43" s="1"/>
  <c r="D751" i="18" s="1"/>
  <c r="K1391" i="43"/>
  <c r="N1391" i="43" s="1"/>
  <c r="D1391" i="18" s="1"/>
  <c r="G1424" i="43"/>
  <c r="F1349" i="43"/>
  <c r="M1283" i="43"/>
  <c r="M178" i="43"/>
  <c r="N178" i="43" s="1"/>
  <c r="D178" i="18" s="1"/>
  <c r="F244" i="43"/>
  <c r="G528" i="43"/>
  <c r="K495" i="43"/>
  <c r="N495" i="43" s="1"/>
  <c r="D495" i="18" s="1"/>
  <c r="K847" i="43"/>
  <c r="G880" i="43"/>
  <c r="G592" i="43"/>
  <c r="K559" i="43"/>
  <c r="N559" i="43" s="1"/>
  <c r="D559" i="18" s="1"/>
  <c r="G496" i="43"/>
  <c r="K463" i="43"/>
  <c r="F1544" i="43"/>
  <c r="M1478" i="43"/>
  <c r="K1199" i="43"/>
  <c r="N1199" i="43" s="1"/>
  <c r="D1199" i="18" s="1"/>
  <c r="G1232" i="43"/>
  <c r="G752" i="43"/>
  <c r="K719" i="43"/>
  <c r="G1136" i="43"/>
  <c r="K1103" i="43"/>
  <c r="M243" i="43"/>
  <c r="N243" i="43" s="1"/>
  <c r="D243" i="18" s="1"/>
  <c r="F309" i="43"/>
  <c r="K783" i="43"/>
  <c r="G816" i="43"/>
  <c r="F504" i="43"/>
  <c r="M438" i="43"/>
  <c r="N438" i="43" s="1"/>
  <c r="D438" i="18" s="1"/>
  <c r="K943" i="43"/>
  <c r="N943" i="43" s="1"/>
  <c r="D943" i="18" s="1"/>
  <c r="G976" i="43"/>
  <c r="G1200" i="43"/>
  <c r="K1167" i="43"/>
  <c r="K655" i="43"/>
  <c r="G688" i="43"/>
  <c r="G848" i="43"/>
  <c r="K815" i="43"/>
  <c r="N815" i="43" s="1"/>
  <c r="D815" i="18" s="1"/>
  <c r="F1674" i="43"/>
  <c r="M1608" i="43"/>
  <c r="M698" i="43"/>
  <c r="N698" i="43" s="1"/>
  <c r="D698" i="18" s="1"/>
  <c r="F764" i="43"/>
  <c r="G1008" i="43"/>
  <c r="K975" i="43"/>
  <c r="G1360" i="43"/>
  <c r="K1327" i="43"/>
  <c r="N1327" i="43" s="1"/>
  <c r="D1327" i="18" s="1"/>
  <c r="K1039" i="43"/>
  <c r="G1072" i="43"/>
  <c r="F179" i="43"/>
  <c r="M113" i="43"/>
  <c r="N113" i="43" s="1"/>
  <c r="D113" i="18" s="1"/>
  <c r="G1392" i="43"/>
  <c r="K1359" i="43"/>
  <c r="F114" i="43"/>
  <c r="F49" i="43"/>
  <c r="M48" i="43"/>
  <c r="N48" i="43" s="1"/>
  <c r="D48" i="18" s="1"/>
  <c r="M633" i="43"/>
  <c r="N633" i="43" s="1"/>
  <c r="D633" i="18" s="1"/>
  <c r="F699" i="43"/>
  <c r="F829" i="43"/>
  <c r="M763" i="43"/>
  <c r="N763" i="43" s="1"/>
  <c r="D763" i="18" s="1"/>
  <c r="F1024" i="43"/>
  <c r="M958" i="43"/>
  <c r="K1071" i="43"/>
  <c r="N1071" i="43" s="1"/>
  <c r="D1071" i="18" s="1"/>
  <c r="G1104" i="43"/>
  <c r="M1803" i="43"/>
  <c r="F1869" i="43"/>
  <c r="M1998" i="43"/>
  <c r="F2064" i="43"/>
  <c r="M1088" i="43"/>
  <c r="F1154" i="43"/>
  <c r="F1804" i="43"/>
  <c r="M1738" i="43"/>
  <c r="F1609" i="43"/>
  <c r="M1543" i="43"/>
  <c r="K687" i="43"/>
  <c r="N687" i="43" s="1"/>
  <c r="D687" i="18" s="1"/>
  <c r="G720" i="43"/>
  <c r="K1295" i="43"/>
  <c r="G1328" i="43"/>
  <c r="M1153" i="43"/>
  <c r="F1219" i="43"/>
  <c r="F2129" i="43"/>
  <c r="M2129" i="43" s="1"/>
  <c r="M2063" i="43"/>
  <c r="F635" i="43" l="1"/>
  <c r="M569" i="43"/>
  <c r="N569" i="43" s="1"/>
  <c r="D569" i="18" s="1"/>
  <c r="F1155" i="43"/>
  <c r="M1089" i="43"/>
  <c r="G1361" i="43"/>
  <c r="K1328" i="43"/>
  <c r="N1328" i="43" s="1"/>
  <c r="D1328" i="18" s="1"/>
  <c r="F115" i="43"/>
  <c r="F50" i="43"/>
  <c r="M49" i="43"/>
  <c r="N49" i="43" s="1"/>
  <c r="D49" i="18" s="1"/>
  <c r="K1200" i="43"/>
  <c r="N1200" i="43" s="1"/>
  <c r="D1200" i="18" s="1"/>
  <c r="G1233" i="43"/>
  <c r="K592" i="43"/>
  <c r="G625" i="43"/>
  <c r="G1201" i="43"/>
  <c r="K1168" i="43"/>
  <c r="F180" i="43"/>
  <c r="M114" i="43"/>
  <c r="N114" i="43" s="1"/>
  <c r="D114" i="18" s="1"/>
  <c r="G1009" i="43"/>
  <c r="K976" i="43"/>
  <c r="G913" i="43"/>
  <c r="K880" i="43"/>
  <c r="N880" i="43" s="1"/>
  <c r="D880" i="18" s="1"/>
  <c r="G977" i="43"/>
  <c r="K944" i="43"/>
  <c r="N944" i="43" s="1"/>
  <c r="D944" i="18" s="1"/>
  <c r="K720" i="43"/>
  <c r="G753" i="43"/>
  <c r="F1350" i="43"/>
  <c r="M1284" i="43"/>
  <c r="K1392" i="43"/>
  <c r="N1392" i="43" s="1"/>
  <c r="D1392" i="18" s="1"/>
  <c r="G1425" i="43"/>
  <c r="F570" i="43"/>
  <c r="M504" i="43"/>
  <c r="N504" i="43" s="1"/>
  <c r="D504" i="18" s="1"/>
  <c r="G561" i="43"/>
  <c r="K528" i="43"/>
  <c r="G849" i="43"/>
  <c r="K816" i="43"/>
  <c r="N816" i="43" s="1"/>
  <c r="D816" i="18" s="1"/>
  <c r="G1329" i="43"/>
  <c r="K1296" i="43"/>
  <c r="K1040" i="43"/>
  <c r="G1073" i="43"/>
  <c r="F1675" i="43"/>
  <c r="M1609" i="43"/>
  <c r="F245" i="43"/>
  <c r="M179" i="43"/>
  <c r="N179" i="43" s="1"/>
  <c r="D179" i="18" s="1"/>
  <c r="F310" i="43"/>
  <c r="M244" i="43"/>
  <c r="N244" i="43" s="1"/>
  <c r="D244" i="18" s="1"/>
  <c r="K496" i="43"/>
  <c r="N496" i="43" s="1"/>
  <c r="D496" i="18" s="1"/>
  <c r="G529" i="43"/>
  <c r="K656" i="43"/>
  <c r="G689" i="43"/>
  <c r="F1870" i="43"/>
  <c r="M1804" i="43"/>
  <c r="G1105" i="43"/>
  <c r="K1072" i="43"/>
  <c r="N1072" i="43" s="1"/>
  <c r="D1072" i="18" s="1"/>
  <c r="F1545" i="43"/>
  <c r="M1479" i="43"/>
  <c r="F765" i="43"/>
  <c r="M699" i="43"/>
  <c r="N699" i="43" s="1"/>
  <c r="D699" i="18" s="1"/>
  <c r="F1220" i="43"/>
  <c r="M1154" i="43"/>
  <c r="F375" i="43"/>
  <c r="M309" i="43"/>
  <c r="N309" i="43" s="1"/>
  <c r="D309" i="18" s="1"/>
  <c r="F1415" i="43"/>
  <c r="M1349" i="43"/>
  <c r="K1521" i="43"/>
  <c r="N1521" i="43" s="1"/>
  <c r="D1521" i="18" s="1"/>
  <c r="G1554" i="43"/>
  <c r="F1805" i="43"/>
  <c r="M1739" i="43"/>
  <c r="K688" i="43"/>
  <c r="N688" i="43" s="1"/>
  <c r="D688" i="18" s="1"/>
  <c r="G721" i="43"/>
  <c r="G1457" i="43"/>
  <c r="K1424" i="43"/>
  <c r="G593" i="43"/>
  <c r="K560" i="43"/>
  <c r="N560" i="43" s="1"/>
  <c r="D560" i="18" s="1"/>
  <c r="F2130" i="43"/>
  <c r="M2130" i="43" s="1"/>
  <c r="M2064" i="43"/>
  <c r="K1456" i="43"/>
  <c r="N1456" i="43" s="1"/>
  <c r="D1456" i="18" s="1"/>
  <c r="G1489" i="43"/>
  <c r="K1360" i="43"/>
  <c r="G1393" i="43"/>
  <c r="K1136" i="43"/>
  <c r="N1136" i="43" s="1"/>
  <c r="D1136" i="18" s="1"/>
  <c r="G1169" i="43"/>
  <c r="F1935" i="43"/>
  <c r="M1869" i="43"/>
  <c r="G817" i="43"/>
  <c r="K784" i="43"/>
  <c r="F505" i="43"/>
  <c r="M439" i="43"/>
  <c r="N439" i="43" s="1"/>
  <c r="D439" i="18" s="1"/>
  <c r="F700" i="43"/>
  <c r="M634" i="43"/>
  <c r="N634" i="43" s="1"/>
  <c r="D634" i="18" s="1"/>
  <c r="G1041" i="43"/>
  <c r="K1008" i="43"/>
  <c r="N1008" i="43" s="1"/>
  <c r="D1008" i="18" s="1"/>
  <c r="K752" i="43"/>
  <c r="N752" i="43" s="1"/>
  <c r="D752" i="18" s="1"/>
  <c r="G785" i="43"/>
  <c r="F960" i="43"/>
  <c r="M894" i="43"/>
  <c r="N894" i="43" s="1"/>
  <c r="D894" i="18" s="1"/>
  <c r="K1104" i="43"/>
  <c r="G1137" i="43"/>
  <c r="F830" i="43"/>
  <c r="M764" i="43"/>
  <c r="N764" i="43" s="1"/>
  <c r="D764" i="18" s="1"/>
  <c r="G1265" i="43"/>
  <c r="K1232" i="43"/>
  <c r="M374" i="43"/>
  <c r="N374" i="43" s="1"/>
  <c r="D374" i="18" s="1"/>
  <c r="F440" i="43"/>
  <c r="M959" i="43"/>
  <c r="N959" i="43" s="1"/>
  <c r="D959" i="18" s="1"/>
  <c r="F1025" i="43"/>
  <c r="K624" i="43"/>
  <c r="N624" i="43" s="1"/>
  <c r="D624" i="18" s="1"/>
  <c r="G657" i="43"/>
  <c r="F1285" i="43"/>
  <c r="M1219" i="43"/>
  <c r="F2065" i="43"/>
  <c r="M1999" i="43"/>
  <c r="F2000" i="43"/>
  <c r="M1934" i="43"/>
  <c r="F1090" i="43"/>
  <c r="M1024" i="43"/>
  <c r="F1740" i="43"/>
  <c r="M1674" i="43"/>
  <c r="F1610" i="43"/>
  <c r="M1544" i="43"/>
  <c r="F1480" i="43"/>
  <c r="M1414" i="43"/>
  <c r="G1619" i="43"/>
  <c r="K1586" i="43"/>
  <c r="N1586" i="43" s="1"/>
  <c r="D1586" i="18" s="1"/>
  <c r="F895" i="43"/>
  <c r="M829" i="43"/>
  <c r="N829" i="43" s="1"/>
  <c r="D829" i="18" s="1"/>
  <c r="G881" i="43"/>
  <c r="K848" i="43"/>
  <c r="K1264" i="43"/>
  <c r="N1264" i="43" s="1"/>
  <c r="D1264" i="18" s="1"/>
  <c r="G1297" i="43"/>
  <c r="K912" i="43"/>
  <c r="G945" i="43"/>
  <c r="F1091" i="43" l="1"/>
  <c r="M1025" i="43"/>
  <c r="N1025" i="43" s="1"/>
  <c r="D1025" i="18" s="1"/>
  <c r="M245" i="43"/>
  <c r="N245" i="43" s="1"/>
  <c r="D245" i="18" s="1"/>
  <c r="F311" i="43"/>
  <c r="G946" i="43"/>
  <c r="K913" i="43"/>
  <c r="G914" i="43"/>
  <c r="K881" i="43"/>
  <c r="N881" i="43" s="1"/>
  <c r="D881" i="18" s="1"/>
  <c r="F2001" i="43"/>
  <c r="M1935" i="43"/>
  <c r="F1481" i="43"/>
  <c r="M1415" i="43"/>
  <c r="F1741" i="43"/>
  <c r="M1675" i="43"/>
  <c r="M440" i="43"/>
  <c r="N440" i="43" s="1"/>
  <c r="D440" i="18" s="1"/>
  <c r="F506" i="43"/>
  <c r="K1073" i="43"/>
  <c r="N1073" i="43" s="1"/>
  <c r="D1073" i="18" s="1"/>
  <c r="G1106" i="43"/>
  <c r="K1009" i="43"/>
  <c r="N1009" i="43" s="1"/>
  <c r="D1009" i="18" s="1"/>
  <c r="G1042" i="43"/>
  <c r="F961" i="43"/>
  <c r="M895" i="43"/>
  <c r="N895" i="43" s="1"/>
  <c r="D895" i="18" s="1"/>
  <c r="K1169" i="43"/>
  <c r="G1202" i="43"/>
  <c r="F441" i="43"/>
  <c r="M375" i="43"/>
  <c r="N375" i="43" s="1"/>
  <c r="D375" i="18" s="1"/>
  <c r="F246" i="43"/>
  <c r="M180" i="43"/>
  <c r="N180" i="43" s="1"/>
  <c r="D180" i="18" s="1"/>
  <c r="K1619" i="43"/>
  <c r="G1652" i="43"/>
  <c r="G1298" i="43"/>
  <c r="K1265" i="43"/>
  <c r="N1265" i="43" s="1"/>
  <c r="D1265" i="18" s="1"/>
  <c r="G1426" i="43"/>
  <c r="K1393" i="43"/>
  <c r="N1393" i="43" s="1"/>
  <c r="D1393" i="18" s="1"/>
  <c r="K1329" i="43"/>
  <c r="N1329" i="43" s="1"/>
  <c r="D1329" i="18" s="1"/>
  <c r="G1362" i="43"/>
  <c r="M1220" i="43"/>
  <c r="F1286" i="43"/>
  <c r="F896" i="43"/>
  <c r="M830" i="43"/>
  <c r="N830" i="43" s="1"/>
  <c r="D830" i="18" s="1"/>
  <c r="G882" i="43"/>
  <c r="K849" i="43"/>
  <c r="G1234" i="43"/>
  <c r="K1201" i="43"/>
  <c r="N1201" i="43" s="1"/>
  <c r="D1201" i="18" s="1"/>
  <c r="F1546" i="43"/>
  <c r="M1480" i="43"/>
  <c r="G1170" i="43"/>
  <c r="K1137" i="43"/>
  <c r="N1137" i="43" s="1"/>
  <c r="D1137" i="18" s="1"/>
  <c r="G1522" i="43"/>
  <c r="K1489" i="43"/>
  <c r="F831" i="43"/>
  <c r="M765" i="43"/>
  <c r="N765" i="43" s="1"/>
  <c r="D765" i="18" s="1"/>
  <c r="K625" i="43"/>
  <c r="N625" i="43" s="1"/>
  <c r="D625" i="18" s="1"/>
  <c r="G658" i="43"/>
  <c r="K561" i="43"/>
  <c r="N561" i="43" s="1"/>
  <c r="D561" i="18" s="1"/>
  <c r="G594" i="43"/>
  <c r="F1676" i="43"/>
  <c r="M1610" i="43"/>
  <c r="M1545" i="43"/>
  <c r="F1611" i="43"/>
  <c r="K1233" i="43"/>
  <c r="G1266" i="43"/>
  <c r="M960" i="43"/>
  <c r="N960" i="43" s="1"/>
  <c r="D960" i="18" s="1"/>
  <c r="F1026" i="43"/>
  <c r="F636" i="43"/>
  <c r="M570" i="43"/>
  <c r="N570" i="43" s="1"/>
  <c r="D570" i="18" s="1"/>
  <c r="F1806" i="43"/>
  <c r="M1740" i="43"/>
  <c r="K785" i="43"/>
  <c r="G818" i="43"/>
  <c r="K1105" i="43"/>
  <c r="G1138" i="43"/>
  <c r="K1425" i="43"/>
  <c r="G1458" i="43"/>
  <c r="F51" i="43"/>
  <c r="M50" i="43"/>
  <c r="N50" i="43" s="1"/>
  <c r="D50" i="18" s="1"/>
  <c r="F116" i="43"/>
  <c r="F1156" i="43"/>
  <c r="M1090" i="43"/>
  <c r="K593" i="43"/>
  <c r="G626" i="43"/>
  <c r="F1936" i="43"/>
  <c r="M1870" i="43"/>
  <c r="M115" i="43"/>
  <c r="N115" i="43" s="1"/>
  <c r="D115" i="18" s="1"/>
  <c r="F181" i="43"/>
  <c r="G1074" i="43"/>
  <c r="K1041" i="43"/>
  <c r="K689" i="43"/>
  <c r="N689" i="43" s="1"/>
  <c r="D689" i="18" s="1"/>
  <c r="G722" i="43"/>
  <c r="F1416" i="43"/>
  <c r="M1350" i="43"/>
  <c r="F2066" i="43"/>
  <c r="M2000" i="43"/>
  <c r="K1361" i="43"/>
  <c r="G1394" i="43"/>
  <c r="F766" i="43"/>
  <c r="M700" i="43"/>
  <c r="N700" i="43" s="1"/>
  <c r="D700" i="18" s="1"/>
  <c r="K1457" i="43"/>
  <c r="N1457" i="43" s="1"/>
  <c r="D1457" i="18" s="1"/>
  <c r="G1490" i="43"/>
  <c r="G562" i="43"/>
  <c r="K529" i="43"/>
  <c r="G978" i="43"/>
  <c r="K945" i="43"/>
  <c r="N945" i="43" s="1"/>
  <c r="D945" i="18" s="1"/>
  <c r="F2131" i="43"/>
  <c r="M2131" i="43" s="1"/>
  <c r="M2065" i="43"/>
  <c r="K721" i="43"/>
  <c r="G754" i="43"/>
  <c r="G786" i="43"/>
  <c r="K753" i="43"/>
  <c r="N753" i="43" s="1"/>
  <c r="D753" i="18" s="1"/>
  <c r="F1221" i="43"/>
  <c r="M1155" i="43"/>
  <c r="F571" i="43"/>
  <c r="M505" i="43"/>
  <c r="N505" i="43" s="1"/>
  <c r="D505" i="18" s="1"/>
  <c r="F1351" i="43"/>
  <c r="M1285" i="43"/>
  <c r="M310" i="43"/>
  <c r="N310" i="43" s="1"/>
  <c r="D310" i="18" s="1"/>
  <c r="F376" i="43"/>
  <c r="G1330" i="43"/>
  <c r="K1297" i="43"/>
  <c r="G690" i="43"/>
  <c r="K657" i="43"/>
  <c r="G850" i="43"/>
  <c r="K817" i="43"/>
  <c r="N817" i="43" s="1"/>
  <c r="D817" i="18" s="1"/>
  <c r="F1871" i="43"/>
  <c r="M1805" i="43"/>
  <c r="G1010" i="43"/>
  <c r="K977" i="43"/>
  <c r="F701" i="43"/>
  <c r="M635" i="43"/>
  <c r="N635" i="43" s="1"/>
  <c r="D635" i="18" s="1"/>
  <c r="G1587" i="43"/>
  <c r="K1554" i="43"/>
  <c r="G819" i="43" l="1"/>
  <c r="K786" i="43"/>
  <c r="K1074" i="43"/>
  <c r="N1074" i="43" s="1"/>
  <c r="D1074" i="18" s="1"/>
  <c r="G1107" i="43"/>
  <c r="G1299" i="43"/>
  <c r="K1266" i="43"/>
  <c r="N1266" i="43" s="1"/>
  <c r="D1266" i="18" s="1"/>
  <c r="G915" i="43"/>
  <c r="K882" i="43"/>
  <c r="N882" i="43" s="1"/>
  <c r="D882" i="18" s="1"/>
  <c r="M701" i="43"/>
  <c r="N701" i="43" s="1"/>
  <c r="D701" i="18" s="1"/>
  <c r="F767" i="43"/>
  <c r="G787" i="43"/>
  <c r="K754" i="43"/>
  <c r="N754" i="43" s="1"/>
  <c r="D754" i="18" s="1"/>
  <c r="F247" i="43"/>
  <c r="M181" i="43"/>
  <c r="N181" i="43" s="1"/>
  <c r="D181" i="18" s="1"/>
  <c r="F1027" i="43"/>
  <c r="M961" i="43"/>
  <c r="N961" i="43" s="1"/>
  <c r="D961" i="18" s="1"/>
  <c r="F1677" i="43"/>
  <c r="M1611" i="43"/>
  <c r="F962" i="43"/>
  <c r="M896" i="43"/>
  <c r="N896" i="43" s="1"/>
  <c r="D896" i="18" s="1"/>
  <c r="G1075" i="43"/>
  <c r="K1042" i="43"/>
  <c r="K1010" i="43"/>
  <c r="N1010" i="43" s="1"/>
  <c r="D1010" i="18" s="1"/>
  <c r="G1043" i="43"/>
  <c r="M1936" i="43"/>
  <c r="F2002" i="43"/>
  <c r="F1352" i="43"/>
  <c r="M1286" i="43"/>
  <c r="G1139" i="43"/>
  <c r="K1106" i="43"/>
  <c r="M1871" i="43"/>
  <c r="F1937" i="43"/>
  <c r="G659" i="43"/>
  <c r="K626" i="43"/>
  <c r="N626" i="43" s="1"/>
  <c r="D626" i="18" s="1"/>
  <c r="F1742" i="43"/>
  <c r="M1676" i="43"/>
  <c r="K978" i="43"/>
  <c r="G1011" i="43"/>
  <c r="F572" i="43"/>
  <c r="M506" i="43"/>
  <c r="N506" i="43" s="1"/>
  <c r="D506" i="18" s="1"/>
  <c r="K850" i="43"/>
  <c r="G883" i="43"/>
  <c r="G627" i="43"/>
  <c r="K594" i="43"/>
  <c r="G1395" i="43"/>
  <c r="K1362" i="43"/>
  <c r="K562" i="43"/>
  <c r="N562" i="43" s="1"/>
  <c r="D562" i="18" s="1"/>
  <c r="G595" i="43"/>
  <c r="F1222" i="43"/>
  <c r="M1156" i="43"/>
  <c r="G723" i="43"/>
  <c r="K690" i="43"/>
  <c r="N690" i="43" s="1"/>
  <c r="D690" i="18" s="1"/>
  <c r="K1490" i="43"/>
  <c r="G1523" i="43"/>
  <c r="F182" i="43"/>
  <c r="M116" i="43"/>
  <c r="N116" i="43" s="1"/>
  <c r="D116" i="18" s="1"/>
  <c r="G691" i="43"/>
  <c r="K658" i="43"/>
  <c r="K1426" i="43"/>
  <c r="G1459" i="43"/>
  <c r="M1741" i="43"/>
  <c r="F1807" i="43"/>
  <c r="G1363" i="43"/>
  <c r="K1330" i="43"/>
  <c r="N1330" i="43" s="1"/>
  <c r="D1330" i="18" s="1"/>
  <c r="M51" i="43"/>
  <c r="N51" i="43" s="1"/>
  <c r="D51" i="18" s="1"/>
  <c r="F52" i="43"/>
  <c r="F117" i="43"/>
  <c r="F442" i="43"/>
  <c r="M376" i="43"/>
  <c r="N376" i="43" s="1"/>
  <c r="D376" i="18" s="1"/>
  <c r="F832" i="43"/>
  <c r="M766" i="43"/>
  <c r="N766" i="43" s="1"/>
  <c r="D766" i="18" s="1"/>
  <c r="G1491" i="43"/>
  <c r="K1458" i="43"/>
  <c r="N1458" i="43" s="1"/>
  <c r="D1458" i="18" s="1"/>
  <c r="K1298" i="43"/>
  <c r="G1331" i="43"/>
  <c r="M1481" i="43"/>
  <c r="F1547" i="43"/>
  <c r="K1394" i="43"/>
  <c r="N1394" i="43" s="1"/>
  <c r="D1394" i="18" s="1"/>
  <c r="G1427" i="43"/>
  <c r="G1685" i="43"/>
  <c r="K1652" i="43"/>
  <c r="N1652" i="43" s="1"/>
  <c r="D1652" i="18" s="1"/>
  <c r="K1138" i="43"/>
  <c r="N1138" i="43" s="1"/>
  <c r="D1138" i="18" s="1"/>
  <c r="G1171" i="43"/>
  <c r="M831" i="43"/>
  <c r="N831" i="43" s="1"/>
  <c r="D831" i="18" s="1"/>
  <c r="F897" i="43"/>
  <c r="M2001" i="43"/>
  <c r="F2067" i="43"/>
  <c r="F1417" i="43"/>
  <c r="M1351" i="43"/>
  <c r="G851" i="43"/>
  <c r="K818" i="43"/>
  <c r="N818" i="43" s="1"/>
  <c r="D818" i="18" s="1"/>
  <c r="K1522" i="43"/>
  <c r="N1522" i="43" s="1"/>
  <c r="D1522" i="18" s="1"/>
  <c r="G1555" i="43"/>
  <c r="F312" i="43"/>
  <c r="M246" i="43"/>
  <c r="N246" i="43" s="1"/>
  <c r="D246" i="18" s="1"/>
  <c r="G947" i="43"/>
  <c r="K914" i="43"/>
  <c r="M2066" i="43"/>
  <c r="F2132" i="43"/>
  <c r="M2132" i="43" s="1"/>
  <c r="G1203" i="43"/>
  <c r="K1170" i="43"/>
  <c r="K946" i="43"/>
  <c r="N946" i="43" s="1"/>
  <c r="D946" i="18" s="1"/>
  <c r="G979" i="43"/>
  <c r="M571" i="43"/>
  <c r="N571" i="43" s="1"/>
  <c r="D571" i="18" s="1"/>
  <c r="F637" i="43"/>
  <c r="F1872" i="43"/>
  <c r="M1806" i="43"/>
  <c r="M1416" i="43"/>
  <c r="F1482" i="43"/>
  <c r="M1546" i="43"/>
  <c r="F1612" i="43"/>
  <c r="M311" i="43"/>
  <c r="N311" i="43" s="1"/>
  <c r="D311" i="18" s="1"/>
  <c r="F377" i="43"/>
  <c r="G755" i="43"/>
  <c r="K722" i="43"/>
  <c r="F702" i="43"/>
  <c r="M636" i="43"/>
  <c r="N636" i="43" s="1"/>
  <c r="D636" i="18" s="1"/>
  <c r="F507" i="43"/>
  <c r="M441" i="43"/>
  <c r="N441" i="43" s="1"/>
  <c r="D441" i="18" s="1"/>
  <c r="M1221" i="43"/>
  <c r="F1287" i="43"/>
  <c r="F1092" i="43"/>
  <c r="M1026" i="43"/>
  <c r="N1026" i="43" s="1"/>
  <c r="D1026" i="18" s="1"/>
  <c r="G1267" i="43"/>
  <c r="K1234" i="43"/>
  <c r="G1235" i="43"/>
  <c r="K1202" i="43"/>
  <c r="N1202" i="43" s="1"/>
  <c r="D1202" i="18" s="1"/>
  <c r="G1620" i="43"/>
  <c r="K1587" i="43"/>
  <c r="N1587" i="43" s="1"/>
  <c r="D1587" i="18" s="1"/>
  <c r="F1157" i="43"/>
  <c r="M1091" i="43"/>
  <c r="N1091" i="43" s="1"/>
  <c r="D1091" i="18" s="1"/>
  <c r="G1653" i="43" l="1"/>
  <c r="K1620" i="43"/>
  <c r="F703" i="43"/>
  <c r="M637" i="43"/>
  <c r="N637" i="43" s="1"/>
  <c r="D637" i="18" s="1"/>
  <c r="F963" i="43"/>
  <c r="M897" i="43"/>
  <c r="N897" i="43" s="1"/>
  <c r="D897" i="18" s="1"/>
  <c r="K1363" i="43"/>
  <c r="G1396" i="43"/>
  <c r="G916" i="43"/>
  <c r="K883" i="43"/>
  <c r="N883" i="43" s="1"/>
  <c r="D883" i="18" s="1"/>
  <c r="F1028" i="43"/>
  <c r="M962" i="43"/>
  <c r="N962" i="43" s="1"/>
  <c r="D962" i="18" s="1"/>
  <c r="G1268" i="43"/>
  <c r="K1235" i="43"/>
  <c r="G1012" i="43"/>
  <c r="K979" i="43"/>
  <c r="M1807" i="43"/>
  <c r="F1873" i="43"/>
  <c r="G1204" i="43"/>
  <c r="K1171" i="43"/>
  <c r="M1677" i="43"/>
  <c r="F1743" i="43"/>
  <c r="G1108" i="43"/>
  <c r="K1075" i="43"/>
  <c r="N1075" i="43" s="1"/>
  <c r="D1075" i="18" s="1"/>
  <c r="K1267" i="43"/>
  <c r="N1267" i="43" s="1"/>
  <c r="D1267" i="18" s="1"/>
  <c r="G1300" i="43"/>
  <c r="K1459" i="43"/>
  <c r="N1459" i="43" s="1"/>
  <c r="D1459" i="18" s="1"/>
  <c r="G1492" i="43"/>
  <c r="M572" i="43"/>
  <c r="N572" i="43" s="1"/>
  <c r="D572" i="18" s="1"/>
  <c r="F638" i="43"/>
  <c r="K1203" i="43"/>
  <c r="N1203" i="43" s="1"/>
  <c r="D1203" i="18" s="1"/>
  <c r="G1236" i="43"/>
  <c r="M1092" i="43"/>
  <c r="N1092" i="43" s="1"/>
  <c r="D1092" i="18" s="1"/>
  <c r="F1158" i="43"/>
  <c r="G1044" i="43"/>
  <c r="K1011" i="43"/>
  <c r="N1011" i="43" s="1"/>
  <c r="D1011" i="18" s="1"/>
  <c r="F1353" i="43"/>
  <c r="M1287" i="43"/>
  <c r="G1718" i="43"/>
  <c r="K1685" i="43"/>
  <c r="K691" i="43"/>
  <c r="N691" i="43" s="1"/>
  <c r="D691" i="18" s="1"/>
  <c r="G724" i="43"/>
  <c r="M1027" i="43"/>
  <c r="N1027" i="43" s="1"/>
  <c r="D1027" i="18" s="1"/>
  <c r="F1093" i="43"/>
  <c r="G1460" i="43"/>
  <c r="K1427" i="43"/>
  <c r="F1808" i="43"/>
  <c r="M1742" i="43"/>
  <c r="F248" i="43"/>
  <c r="M182" i="43"/>
  <c r="N182" i="43" s="1"/>
  <c r="D182" i="18" s="1"/>
  <c r="F313" i="43"/>
  <c r="M247" i="43"/>
  <c r="N247" i="43" s="1"/>
  <c r="D247" i="18" s="1"/>
  <c r="M507" i="43"/>
  <c r="N507" i="43" s="1"/>
  <c r="D507" i="18" s="1"/>
  <c r="F573" i="43"/>
  <c r="G980" i="43"/>
  <c r="K947" i="43"/>
  <c r="N947" i="43" s="1"/>
  <c r="D947" i="18" s="1"/>
  <c r="F1613" i="43"/>
  <c r="M1547" i="43"/>
  <c r="G1556" i="43"/>
  <c r="K1523" i="43"/>
  <c r="N1523" i="43" s="1"/>
  <c r="D1523" i="18" s="1"/>
  <c r="K659" i="43"/>
  <c r="G692" i="43"/>
  <c r="M1937" i="43"/>
  <c r="F2003" i="43"/>
  <c r="G820" i="43"/>
  <c r="K787" i="43"/>
  <c r="M702" i="43"/>
  <c r="N702" i="43" s="1"/>
  <c r="D702" i="18" s="1"/>
  <c r="F768" i="43"/>
  <c r="F378" i="43"/>
  <c r="M312" i="43"/>
  <c r="N312" i="43" s="1"/>
  <c r="D312" i="18" s="1"/>
  <c r="G1364" i="43"/>
  <c r="K1331" i="43"/>
  <c r="N1331" i="43" s="1"/>
  <c r="D1331" i="18" s="1"/>
  <c r="F833" i="43"/>
  <c r="M767" i="43"/>
  <c r="N767" i="43" s="1"/>
  <c r="D767" i="18" s="1"/>
  <c r="K1555" i="43"/>
  <c r="G1588" i="43"/>
  <c r="G756" i="43"/>
  <c r="K723" i="43"/>
  <c r="K755" i="43"/>
  <c r="N755" i="43" s="1"/>
  <c r="D755" i="18" s="1"/>
  <c r="G788" i="43"/>
  <c r="K1139" i="43"/>
  <c r="N1139" i="43" s="1"/>
  <c r="D1139" i="18" s="1"/>
  <c r="G1172" i="43"/>
  <c r="M377" i="43"/>
  <c r="N377" i="43" s="1"/>
  <c r="D377" i="18" s="1"/>
  <c r="F443" i="43"/>
  <c r="K1491" i="43"/>
  <c r="G1524" i="43"/>
  <c r="F1288" i="43"/>
  <c r="M1222" i="43"/>
  <c r="K915" i="43"/>
  <c r="G948" i="43"/>
  <c r="K851" i="43"/>
  <c r="G884" i="43"/>
  <c r="K595" i="43"/>
  <c r="G628" i="43"/>
  <c r="M1352" i="43"/>
  <c r="F1418" i="43"/>
  <c r="F1938" i="43"/>
  <c r="M1872" i="43"/>
  <c r="F1678" i="43"/>
  <c r="M1612" i="43"/>
  <c r="F898" i="43"/>
  <c r="M832" i="43"/>
  <c r="N832" i="43" s="1"/>
  <c r="D832" i="18" s="1"/>
  <c r="F2068" i="43"/>
  <c r="M2002" i="43"/>
  <c r="K1299" i="43"/>
  <c r="G1332" i="43"/>
  <c r="F1223" i="43"/>
  <c r="M1157" i="43"/>
  <c r="N1157" i="43" s="1"/>
  <c r="D1157" i="18" s="1"/>
  <c r="F1483" i="43"/>
  <c r="M1417" i="43"/>
  <c r="G1140" i="43"/>
  <c r="K1107" i="43"/>
  <c r="G660" i="43"/>
  <c r="K627" i="43"/>
  <c r="N627" i="43" s="1"/>
  <c r="D627" i="18" s="1"/>
  <c r="M1482" i="43"/>
  <c r="F1548" i="43"/>
  <c r="F508" i="43"/>
  <c r="M442" i="43"/>
  <c r="N442" i="43" s="1"/>
  <c r="D442" i="18" s="1"/>
  <c r="G1076" i="43"/>
  <c r="K1043" i="43"/>
  <c r="F183" i="43"/>
  <c r="M117" i="43"/>
  <c r="N117" i="43" s="1"/>
  <c r="D117" i="18" s="1"/>
  <c r="K1395" i="43"/>
  <c r="N1395" i="43" s="1"/>
  <c r="D1395" i="18" s="1"/>
  <c r="G1428" i="43"/>
  <c r="F2133" i="43"/>
  <c r="M2133" i="43" s="1"/>
  <c r="M2067" i="43"/>
  <c r="M52" i="43"/>
  <c r="N52" i="43" s="1"/>
  <c r="D52" i="18" s="1"/>
  <c r="F53" i="43"/>
  <c r="F118" i="43"/>
  <c r="G852" i="43"/>
  <c r="K819" i="43"/>
  <c r="N819" i="43" s="1"/>
  <c r="D819" i="18" s="1"/>
  <c r="F1549" i="43" l="1"/>
  <c r="M1483" i="43"/>
  <c r="F2069" i="43"/>
  <c r="M2003" i="43"/>
  <c r="F1809" i="43"/>
  <c r="M1743" i="43"/>
  <c r="F184" i="43"/>
  <c r="M118" i="43"/>
  <c r="N118" i="43" s="1"/>
  <c r="D118" i="18" s="1"/>
  <c r="F1289" i="43"/>
  <c r="M1223" i="43"/>
  <c r="N1223" i="43" s="1"/>
  <c r="D1223" i="18" s="1"/>
  <c r="F119" i="43"/>
  <c r="F54" i="43"/>
  <c r="M53" i="43"/>
  <c r="N53" i="43" s="1"/>
  <c r="D53" i="18" s="1"/>
  <c r="G1365" i="43"/>
  <c r="K1332" i="43"/>
  <c r="N1332" i="43" s="1"/>
  <c r="D1332" i="18" s="1"/>
  <c r="G1205" i="43"/>
  <c r="K1172" i="43"/>
  <c r="G725" i="43"/>
  <c r="K692" i="43"/>
  <c r="N692" i="43" s="1"/>
  <c r="D692" i="18" s="1"/>
  <c r="K1204" i="43"/>
  <c r="N1204" i="43" s="1"/>
  <c r="D1204" i="18" s="1"/>
  <c r="G1237" i="43"/>
  <c r="G1751" i="43"/>
  <c r="K1718" i="43"/>
  <c r="N1718" i="43" s="1"/>
  <c r="D1718" i="18" s="1"/>
  <c r="G821" i="43"/>
  <c r="K788" i="43"/>
  <c r="F2134" i="43"/>
  <c r="M2134" i="43" s="1"/>
  <c r="M2068" i="43"/>
  <c r="G1589" i="43"/>
  <c r="K1556" i="43"/>
  <c r="F1419" i="43"/>
  <c r="M1353" i="43"/>
  <c r="F1939" i="43"/>
  <c r="M1873" i="43"/>
  <c r="G1461" i="43"/>
  <c r="K1428" i="43"/>
  <c r="F964" i="43"/>
  <c r="M898" i="43"/>
  <c r="N898" i="43" s="1"/>
  <c r="D898" i="18" s="1"/>
  <c r="M1613" i="43"/>
  <c r="F1679" i="43"/>
  <c r="G1077" i="43"/>
  <c r="K1044" i="43"/>
  <c r="G789" i="43"/>
  <c r="K756" i="43"/>
  <c r="N756" i="43" s="1"/>
  <c r="D756" i="18" s="1"/>
  <c r="G1045" i="43"/>
  <c r="K1012" i="43"/>
  <c r="N1012" i="43" s="1"/>
  <c r="D1012" i="18" s="1"/>
  <c r="F1744" i="43"/>
  <c r="M1678" i="43"/>
  <c r="G1013" i="43"/>
  <c r="K980" i="43"/>
  <c r="F1224" i="43"/>
  <c r="M1158" i="43"/>
  <c r="N1158" i="43" s="1"/>
  <c r="D1158" i="18" s="1"/>
  <c r="F249" i="43"/>
  <c r="M183" i="43"/>
  <c r="N183" i="43" s="1"/>
  <c r="D183" i="18" s="1"/>
  <c r="G1621" i="43"/>
  <c r="K1588" i="43"/>
  <c r="N1588" i="43" s="1"/>
  <c r="D1588" i="18" s="1"/>
  <c r="F639" i="43"/>
  <c r="M573" i="43"/>
  <c r="N573" i="43" s="1"/>
  <c r="D573" i="18" s="1"/>
  <c r="K1268" i="43"/>
  <c r="N1268" i="43" s="1"/>
  <c r="D1268" i="18" s="1"/>
  <c r="G1301" i="43"/>
  <c r="F2004" i="43"/>
  <c r="M1938" i="43"/>
  <c r="G1109" i="43"/>
  <c r="K1076" i="43"/>
  <c r="N1076" i="43" s="1"/>
  <c r="D1076" i="18" s="1"/>
  <c r="F1484" i="43"/>
  <c r="M1418" i="43"/>
  <c r="K1236" i="43"/>
  <c r="G1269" i="43"/>
  <c r="F1094" i="43"/>
  <c r="M1028" i="43"/>
  <c r="N1028" i="43" s="1"/>
  <c r="D1028" i="18" s="1"/>
  <c r="M313" i="43"/>
  <c r="N313" i="43" s="1"/>
  <c r="D313" i="18" s="1"/>
  <c r="F379" i="43"/>
  <c r="G661" i="43"/>
  <c r="K628" i="43"/>
  <c r="N628" i="43" s="1"/>
  <c r="D628" i="18" s="1"/>
  <c r="F899" i="43"/>
  <c r="M833" i="43"/>
  <c r="N833" i="43" s="1"/>
  <c r="D833" i="18" s="1"/>
  <c r="M638" i="43"/>
  <c r="N638" i="43" s="1"/>
  <c r="D638" i="18" s="1"/>
  <c r="F704" i="43"/>
  <c r="K916" i="43"/>
  <c r="G949" i="43"/>
  <c r="M508" i="43"/>
  <c r="N508" i="43" s="1"/>
  <c r="D508" i="18" s="1"/>
  <c r="F574" i="43"/>
  <c r="M248" i="43"/>
  <c r="N248" i="43" s="1"/>
  <c r="D248" i="18" s="1"/>
  <c r="F314" i="43"/>
  <c r="G1429" i="43"/>
  <c r="K1396" i="43"/>
  <c r="N1396" i="43" s="1"/>
  <c r="D1396" i="18" s="1"/>
  <c r="G757" i="43"/>
  <c r="K724" i="43"/>
  <c r="F1614" i="43"/>
  <c r="M1548" i="43"/>
  <c r="K884" i="43"/>
  <c r="N884" i="43" s="1"/>
  <c r="D884" i="18" s="1"/>
  <c r="G917" i="43"/>
  <c r="K1364" i="43"/>
  <c r="G1397" i="43"/>
  <c r="G1525" i="43"/>
  <c r="K1492" i="43"/>
  <c r="G981" i="43"/>
  <c r="K948" i="43"/>
  <c r="N948" i="43" s="1"/>
  <c r="D948" i="18" s="1"/>
  <c r="M378" i="43"/>
  <c r="N378" i="43" s="1"/>
  <c r="D378" i="18" s="1"/>
  <c r="F444" i="43"/>
  <c r="F1874" i="43"/>
  <c r="M1808" i="43"/>
  <c r="M963" i="43"/>
  <c r="N963" i="43" s="1"/>
  <c r="D963" i="18" s="1"/>
  <c r="F1029" i="43"/>
  <c r="G693" i="43"/>
  <c r="K660" i="43"/>
  <c r="F834" i="43"/>
  <c r="M768" i="43"/>
  <c r="N768" i="43" s="1"/>
  <c r="D768" i="18" s="1"/>
  <c r="G1333" i="43"/>
  <c r="K1300" i="43"/>
  <c r="F509" i="43"/>
  <c r="M443" i="43"/>
  <c r="N443" i="43" s="1"/>
  <c r="D443" i="18" s="1"/>
  <c r="K1460" i="43"/>
  <c r="N1460" i="43" s="1"/>
  <c r="D1460" i="18" s="1"/>
  <c r="G1493" i="43"/>
  <c r="F769" i="43"/>
  <c r="M703" i="43"/>
  <c r="N703" i="43" s="1"/>
  <c r="D703" i="18" s="1"/>
  <c r="G1173" i="43"/>
  <c r="K1140" i="43"/>
  <c r="N1140" i="43" s="1"/>
  <c r="D1140" i="18" s="1"/>
  <c r="F1354" i="43"/>
  <c r="M1288" i="43"/>
  <c r="F1159" i="43"/>
  <c r="M1093" i="43"/>
  <c r="N1093" i="43" s="1"/>
  <c r="D1093" i="18" s="1"/>
  <c r="G885" i="43"/>
  <c r="K852" i="43"/>
  <c r="G1557" i="43"/>
  <c r="K1524" i="43"/>
  <c r="N1524" i="43" s="1"/>
  <c r="D1524" i="18" s="1"/>
  <c r="K820" i="43"/>
  <c r="N820" i="43" s="1"/>
  <c r="D820" i="18" s="1"/>
  <c r="G853" i="43"/>
  <c r="K1108" i="43"/>
  <c r="G1141" i="43"/>
  <c r="K1653" i="43"/>
  <c r="N1653" i="43" s="1"/>
  <c r="D1653" i="18" s="1"/>
  <c r="G1686" i="43"/>
  <c r="G1590" i="43" l="1"/>
  <c r="K1557" i="43"/>
  <c r="F380" i="43"/>
  <c r="M314" i="43"/>
  <c r="N314" i="43" s="1"/>
  <c r="D314" i="18" s="1"/>
  <c r="K1077" i="43"/>
  <c r="N1077" i="43" s="1"/>
  <c r="D1077" i="18" s="1"/>
  <c r="G1110" i="43"/>
  <c r="F900" i="43"/>
  <c r="M834" i="43"/>
  <c r="N834" i="43" s="1"/>
  <c r="D834" i="18" s="1"/>
  <c r="K693" i="43"/>
  <c r="N693" i="43" s="1"/>
  <c r="D693" i="18" s="1"/>
  <c r="G726" i="43"/>
  <c r="F2070" i="43"/>
  <c r="M2004" i="43"/>
  <c r="F1745" i="43"/>
  <c r="M1679" i="43"/>
  <c r="K885" i="43"/>
  <c r="N885" i="43" s="1"/>
  <c r="D885" i="18" s="1"/>
  <c r="G918" i="43"/>
  <c r="F1095" i="43"/>
  <c r="M1029" i="43"/>
  <c r="N1029" i="43" s="1"/>
  <c r="D1029" i="18" s="1"/>
  <c r="G758" i="43"/>
  <c r="K725" i="43"/>
  <c r="F640" i="43"/>
  <c r="M574" i="43"/>
  <c r="N574" i="43" s="1"/>
  <c r="D574" i="18" s="1"/>
  <c r="K1301" i="43"/>
  <c r="G1334" i="43"/>
  <c r="G1238" i="43"/>
  <c r="K1205" i="43"/>
  <c r="N1205" i="43" s="1"/>
  <c r="D1205" i="18" s="1"/>
  <c r="F1225" i="43"/>
  <c r="M1159" i="43"/>
  <c r="N1159" i="43" s="1"/>
  <c r="D1159" i="18" s="1"/>
  <c r="F1940" i="43"/>
  <c r="M1874" i="43"/>
  <c r="K949" i="43"/>
  <c r="N949" i="43" s="1"/>
  <c r="D949" i="18" s="1"/>
  <c r="G982" i="43"/>
  <c r="F1030" i="43"/>
  <c r="M964" i="43"/>
  <c r="N964" i="43" s="1"/>
  <c r="D964" i="18" s="1"/>
  <c r="M444" i="43"/>
  <c r="N444" i="43" s="1"/>
  <c r="D444" i="18" s="1"/>
  <c r="F510" i="43"/>
  <c r="M639" i="43"/>
  <c r="N639" i="43" s="1"/>
  <c r="D639" i="18" s="1"/>
  <c r="F705" i="43"/>
  <c r="K1365" i="43"/>
  <c r="G1398" i="43"/>
  <c r="F770" i="43"/>
  <c r="M704" i="43"/>
  <c r="N704" i="43" s="1"/>
  <c r="D704" i="18" s="1"/>
  <c r="G1494" i="43"/>
  <c r="K1461" i="43"/>
  <c r="N1461" i="43" s="1"/>
  <c r="D1461" i="18" s="1"/>
  <c r="F1420" i="43"/>
  <c r="M1354" i="43"/>
  <c r="G1654" i="43"/>
  <c r="K1621" i="43"/>
  <c r="F55" i="43"/>
  <c r="M54" i="43"/>
  <c r="N54" i="43" s="1"/>
  <c r="D54" i="18" s="1"/>
  <c r="F120" i="43"/>
  <c r="F2005" i="43"/>
  <c r="M1939" i="43"/>
  <c r="M119" i="43"/>
  <c r="N119" i="43" s="1"/>
  <c r="D119" i="18" s="1"/>
  <c r="F185" i="43"/>
  <c r="K981" i="43"/>
  <c r="G1014" i="43"/>
  <c r="K1173" i="43"/>
  <c r="G1206" i="43"/>
  <c r="M899" i="43"/>
  <c r="N899" i="43" s="1"/>
  <c r="D899" i="18" s="1"/>
  <c r="F965" i="43"/>
  <c r="M249" i="43"/>
  <c r="N249" i="43" s="1"/>
  <c r="D249" i="18" s="1"/>
  <c r="F315" i="43"/>
  <c r="F1485" i="43"/>
  <c r="M1419" i="43"/>
  <c r="M769" i="43"/>
  <c r="N769" i="43" s="1"/>
  <c r="D769" i="18" s="1"/>
  <c r="F835" i="43"/>
  <c r="G694" i="43"/>
  <c r="K661" i="43"/>
  <c r="M1289" i="43"/>
  <c r="N1289" i="43" s="1"/>
  <c r="D1289" i="18" s="1"/>
  <c r="F1355" i="43"/>
  <c r="G1526" i="43"/>
  <c r="K1493" i="43"/>
  <c r="G1558" i="43"/>
  <c r="K1525" i="43"/>
  <c r="N1525" i="43" s="1"/>
  <c r="D1525" i="18" s="1"/>
  <c r="F445" i="43"/>
  <c r="M379" i="43"/>
  <c r="N379" i="43" s="1"/>
  <c r="D379" i="18" s="1"/>
  <c r="F1290" i="43"/>
  <c r="M1224" i="43"/>
  <c r="N1224" i="43" s="1"/>
  <c r="D1224" i="18" s="1"/>
  <c r="G1622" i="43"/>
  <c r="K1589" i="43"/>
  <c r="N1589" i="43" s="1"/>
  <c r="D1589" i="18" s="1"/>
  <c r="G1430" i="43"/>
  <c r="K1397" i="43"/>
  <c r="N1397" i="43" s="1"/>
  <c r="D1397" i="18" s="1"/>
  <c r="M184" i="43"/>
  <c r="N184" i="43" s="1"/>
  <c r="D184" i="18" s="1"/>
  <c r="F250" i="43"/>
  <c r="G1046" i="43"/>
  <c r="K1013" i="43"/>
  <c r="N1013" i="43" s="1"/>
  <c r="D1013" i="18" s="1"/>
  <c r="G950" i="43"/>
  <c r="K917" i="43"/>
  <c r="F1160" i="43"/>
  <c r="M1094" i="43"/>
  <c r="N1094" i="43" s="1"/>
  <c r="D1094" i="18" s="1"/>
  <c r="F1875" i="43"/>
  <c r="M1809" i="43"/>
  <c r="K1429" i="43"/>
  <c r="G1462" i="43"/>
  <c r="G1719" i="43"/>
  <c r="K1686" i="43"/>
  <c r="F575" i="43"/>
  <c r="M509" i="43"/>
  <c r="N509" i="43" s="1"/>
  <c r="D509" i="18" s="1"/>
  <c r="G1302" i="43"/>
  <c r="K1269" i="43"/>
  <c r="N1269" i="43" s="1"/>
  <c r="D1269" i="18" s="1"/>
  <c r="F1810" i="43"/>
  <c r="M1744" i="43"/>
  <c r="G854" i="43"/>
  <c r="K821" i="43"/>
  <c r="N821" i="43" s="1"/>
  <c r="D821" i="18" s="1"/>
  <c r="F2135" i="43"/>
  <c r="M2135" i="43" s="1"/>
  <c r="M2069" i="43"/>
  <c r="G1142" i="43"/>
  <c r="K1109" i="43"/>
  <c r="G1174" i="43"/>
  <c r="K1141" i="43"/>
  <c r="N1141" i="43" s="1"/>
  <c r="D1141" i="18" s="1"/>
  <c r="K1333" i="43"/>
  <c r="N1333" i="43" s="1"/>
  <c r="D1333" i="18" s="1"/>
  <c r="G1366" i="43"/>
  <c r="F1680" i="43"/>
  <c r="M1614" i="43"/>
  <c r="G1078" i="43"/>
  <c r="K1045" i="43"/>
  <c r="K1751" i="43"/>
  <c r="G1784" i="43"/>
  <c r="K1237" i="43"/>
  <c r="G1270" i="43"/>
  <c r="F1550" i="43"/>
  <c r="M1484" i="43"/>
  <c r="K853" i="43"/>
  <c r="G886" i="43"/>
  <c r="G790" i="43"/>
  <c r="K757" i="43"/>
  <c r="N757" i="43" s="1"/>
  <c r="D757" i="18" s="1"/>
  <c r="K789" i="43"/>
  <c r="G822" i="43"/>
  <c r="F1615" i="43"/>
  <c r="M1549" i="43"/>
  <c r="F836" i="43" l="1"/>
  <c r="M770" i="43"/>
  <c r="N770" i="43" s="1"/>
  <c r="D770" i="18" s="1"/>
  <c r="F706" i="43"/>
  <c r="M640" i="43"/>
  <c r="N640" i="43" s="1"/>
  <c r="D640" i="18" s="1"/>
  <c r="G823" i="43"/>
  <c r="K790" i="43"/>
  <c r="F381" i="43"/>
  <c r="M315" i="43"/>
  <c r="N315" i="43" s="1"/>
  <c r="D315" i="18" s="1"/>
  <c r="K1398" i="43"/>
  <c r="N1398" i="43" s="1"/>
  <c r="D1398" i="18" s="1"/>
  <c r="G1431" i="43"/>
  <c r="K758" i="43"/>
  <c r="N758" i="43" s="1"/>
  <c r="D758" i="18" s="1"/>
  <c r="G791" i="43"/>
  <c r="K854" i="43"/>
  <c r="G887" i="43"/>
  <c r="F1031" i="43"/>
  <c r="M965" i="43"/>
  <c r="N965" i="43" s="1"/>
  <c r="D965" i="18" s="1"/>
  <c r="M1095" i="43"/>
  <c r="N1095" i="43" s="1"/>
  <c r="D1095" i="18" s="1"/>
  <c r="F1161" i="43"/>
  <c r="G1463" i="43"/>
  <c r="K1430" i="43"/>
  <c r="F771" i="43"/>
  <c r="M705" i="43"/>
  <c r="N705" i="43" s="1"/>
  <c r="D705" i="18" s="1"/>
  <c r="K918" i="43"/>
  <c r="G951" i="43"/>
  <c r="K1206" i="43"/>
  <c r="N1206" i="43" s="1"/>
  <c r="D1206" i="18" s="1"/>
  <c r="G1239" i="43"/>
  <c r="M1810" i="43"/>
  <c r="F1876" i="43"/>
  <c r="K1622" i="43"/>
  <c r="G1655" i="43"/>
  <c r="F316" i="43"/>
  <c r="M250" i="43"/>
  <c r="N250" i="43" s="1"/>
  <c r="D250" i="18" s="1"/>
  <c r="K1302" i="43"/>
  <c r="G1335" i="43"/>
  <c r="G1047" i="43"/>
  <c r="K1014" i="43"/>
  <c r="N1014" i="43" s="1"/>
  <c r="D1014" i="18" s="1"/>
  <c r="F576" i="43"/>
  <c r="M510" i="43"/>
  <c r="N510" i="43" s="1"/>
  <c r="D510" i="18" s="1"/>
  <c r="K1270" i="43"/>
  <c r="N1270" i="43" s="1"/>
  <c r="D1270" i="18" s="1"/>
  <c r="G1303" i="43"/>
  <c r="F1356" i="43"/>
  <c r="M1290" i="43"/>
  <c r="N1290" i="43" s="1"/>
  <c r="D1290" i="18" s="1"/>
  <c r="M1745" i="43"/>
  <c r="F1811" i="43"/>
  <c r="F251" i="43"/>
  <c r="M185" i="43"/>
  <c r="N185" i="43" s="1"/>
  <c r="D185" i="18" s="1"/>
  <c r="G1817" i="43"/>
  <c r="K1784" i="43"/>
  <c r="N1784" i="43" s="1"/>
  <c r="D1784" i="18" s="1"/>
  <c r="M445" i="43"/>
  <c r="N445" i="43" s="1"/>
  <c r="D445" i="18" s="1"/>
  <c r="F511" i="43"/>
  <c r="M1030" i="43"/>
  <c r="N1030" i="43" s="1"/>
  <c r="D1030" i="18" s="1"/>
  <c r="F1096" i="43"/>
  <c r="F2136" i="43"/>
  <c r="M2136" i="43" s="1"/>
  <c r="M2070" i="43"/>
  <c r="F1551" i="43"/>
  <c r="M1485" i="43"/>
  <c r="K1719" i="43"/>
  <c r="N1719" i="43" s="1"/>
  <c r="D1719" i="18" s="1"/>
  <c r="G1752" i="43"/>
  <c r="K982" i="43"/>
  <c r="G1015" i="43"/>
  <c r="G759" i="43"/>
  <c r="K726" i="43"/>
  <c r="K822" i="43"/>
  <c r="N822" i="43" s="1"/>
  <c r="D822" i="18" s="1"/>
  <c r="G855" i="43"/>
  <c r="F2071" i="43"/>
  <c r="M2005" i="43"/>
  <c r="G1111" i="43"/>
  <c r="K1078" i="43"/>
  <c r="N1078" i="43" s="1"/>
  <c r="D1078" i="18" s="1"/>
  <c r="M120" i="43"/>
  <c r="N120" i="43" s="1"/>
  <c r="D120" i="18" s="1"/>
  <c r="F186" i="43"/>
  <c r="G1559" i="43"/>
  <c r="K1526" i="43"/>
  <c r="N1526" i="43" s="1"/>
  <c r="D1526" i="18" s="1"/>
  <c r="M1940" i="43"/>
  <c r="F2006" i="43"/>
  <c r="F966" i="43"/>
  <c r="M900" i="43"/>
  <c r="N900" i="43" s="1"/>
  <c r="D900" i="18" s="1"/>
  <c r="F1746" i="43"/>
  <c r="M1680" i="43"/>
  <c r="M1875" i="43"/>
  <c r="F1941" i="43"/>
  <c r="F1421" i="43"/>
  <c r="M1355" i="43"/>
  <c r="N1355" i="43" s="1"/>
  <c r="D1355" i="18" s="1"/>
  <c r="M55" i="43"/>
  <c r="N55" i="43" s="1"/>
  <c r="D55" i="18" s="1"/>
  <c r="F56" i="43"/>
  <c r="F121" i="43"/>
  <c r="G1143" i="43"/>
  <c r="K1110" i="43"/>
  <c r="K1046" i="43"/>
  <c r="G1079" i="43"/>
  <c r="G919" i="43"/>
  <c r="K886" i="43"/>
  <c r="N886" i="43" s="1"/>
  <c r="D886" i="18" s="1"/>
  <c r="M575" i="43"/>
  <c r="N575" i="43" s="1"/>
  <c r="D575" i="18" s="1"/>
  <c r="F641" i="43"/>
  <c r="G1399" i="43"/>
  <c r="K1366" i="43"/>
  <c r="F1291" i="43"/>
  <c r="M1225" i="43"/>
  <c r="N1225" i="43" s="1"/>
  <c r="D1225" i="18" s="1"/>
  <c r="G1687" i="43"/>
  <c r="K1654" i="43"/>
  <c r="N1654" i="43" s="1"/>
  <c r="D1654" i="18" s="1"/>
  <c r="G1591" i="43"/>
  <c r="K1558" i="43"/>
  <c r="M1160" i="43"/>
  <c r="N1160" i="43" s="1"/>
  <c r="D1160" i="18" s="1"/>
  <c r="F1226" i="43"/>
  <c r="G1271" i="43"/>
  <c r="K1238" i="43"/>
  <c r="F446" i="43"/>
  <c r="M380" i="43"/>
  <c r="N380" i="43" s="1"/>
  <c r="D380" i="18" s="1"/>
  <c r="K1174" i="43"/>
  <c r="G1207" i="43"/>
  <c r="K694" i="43"/>
  <c r="N694" i="43" s="1"/>
  <c r="D694" i="18" s="1"/>
  <c r="G727" i="43"/>
  <c r="M1420" i="43"/>
  <c r="F1486" i="43"/>
  <c r="M1550" i="43"/>
  <c r="F1616" i="43"/>
  <c r="G1495" i="43"/>
  <c r="K1462" i="43"/>
  <c r="N1462" i="43" s="1"/>
  <c r="D1462" i="18" s="1"/>
  <c r="K950" i="43"/>
  <c r="N950" i="43" s="1"/>
  <c r="D950" i="18" s="1"/>
  <c r="G983" i="43"/>
  <c r="G1367" i="43"/>
  <c r="K1334" i="43"/>
  <c r="N1334" i="43" s="1"/>
  <c r="D1334" i="18" s="1"/>
  <c r="F1681" i="43"/>
  <c r="M1615" i="43"/>
  <c r="K1142" i="43"/>
  <c r="N1142" i="43" s="1"/>
  <c r="D1142" i="18" s="1"/>
  <c r="G1175" i="43"/>
  <c r="M835" i="43"/>
  <c r="N835" i="43" s="1"/>
  <c r="D835" i="18" s="1"/>
  <c r="F901" i="43"/>
  <c r="K1494" i="43"/>
  <c r="G1527" i="43"/>
  <c r="G1623" i="43"/>
  <c r="K1590" i="43"/>
  <c r="N1590" i="43" s="1"/>
  <c r="D1590" i="18" s="1"/>
  <c r="F967" i="43" l="1"/>
  <c r="M901" i="43"/>
  <c r="N901" i="43" s="1"/>
  <c r="D901" i="18" s="1"/>
  <c r="F187" i="43"/>
  <c r="M121" i="43"/>
  <c r="N121" i="43" s="1"/>
  <c r="D121" i="18" s="1"/>
  <c r="G888" i="43"/>
  <c r="K855" i="43"/>
  <c r="K1463" i="43"/>
  <c r="N1463" i="43" s="1"/>
  <c r="D1463" i="18" s="1"/>
  <c r="G1496" i="43"/>
  <c r="G1208" i="43"/>
  <c r="K1175" i="43"/>
  <c r="F1422" i="43"/>
  <c r="M1356" i="43"/>
  <c r="N1356" i="43" s="1"/>
  <c r="D1356" i="18" s="1"/>
  <c r="M1161" i="43"/>
  <c r="N1161" i="43" s="1"/>
  <c r="D1161" i="18" s="1"/>
  <c r="F1227" i="43"/>
  <c r="K1271" i="43"/>
  <c r="N1271" i="43" s="1"/>
  <c r="D1271" i="18" s="1"/>
  <c r="G1304" i="43"/>
  <c r="K759" i="43"/>
  <c r="N759" i="43" s="1"/>
  <c r="D759" i="18" s="1"/>
  <c r="G792" i="43"/>
  <c r="G1336" i="43"/>
  <c r="K1303" i="43"/>
  <c r="F1487" i="43"/>
  <c r="M1421" i="43"/>
  <c r="N1421" i="43" s="1"/>
  <c r="D1421" i="18" s="1"/>
  <c r="G1048" i="43"/>
  <c r="K1015" i="43"/>
  <c r="N1015" i="43" s="1"/>
  <c r="D1015" i="18" s="1"/>
  <c r="M1031" i="43"/>
  <c r="N1031" i="43" s="1"/>
  <c r="D1031" i="18" s="1"/>
  <c r="F1097" i="43"/>
  <c r="G1785" i="43"/>
  <c r="K1752" i="43"/>
  <c r="F642" i="43"/>
  <c r="M576" i="43"/>
  <c r="N576" i="43" s="1"/>
  <c r="D576" i="18" s="1"/>
  <c r="K887" i="43"/>
  <c r="N887" i="43" s="1"/>
  <c r="D887" i="18" s="1"/>
  <c r="G920" i="43"/>
  <c r="F512" i="43"/>
  <c r="M446" i="43"/>
  <c r="N446" i="43" s="1"/>
  <c r="D446" i="18" s="1"/>
  <c r="F2007" i="43"/>
  <c r="M1941" i="43"/>
  <c r="G1624" i="43"/>
  <c r="K1591" i="43"/>
  <c r="N1591" i="43" s="1"/>
  <c r="D1591" i="18" s="1"/>
  <c r="M1746" i="43"/>
  <c r="F1812" i="43"/>
  <c r="K1047" i="43"/>
  <c r="G1080" i="43"/>
  <c r="K1367" i="43"/>
  <c r="G1400" i="43"/>
  <c r="G1368" i="43"/>
  <c r="K1335" i="43"/>
  <c r="N1335" i="43" s="1"/>
  <c r="D1335" i="18" s="1"/>
  <c r="K983" i="43"/>
  <c r="G1016" i="43"/>
  <c r="K1687" i="43"/>
  <c r="G1720" i="43"/>
  <c r="F1617" i="43"/>
  <c r="M1551" i="43"/>
  <c r="K791" i="43"/>
  <c r="G824" i="43"/>
  <c r="F1032" i="43"/>
  <c r="M966" i="43"/>
  <c r="N966" i="43" s="1"/>
  <c r="D966" i="18" s="1"/>
  <c r="F1357" i="43"/>
  <c r="M1291" i="43"/>
  <c r="N1291" i="43" s="1"/>
  <c r="D1291" i="18" s="1"/>
  <c r="F2072" i="43"/>
  <c r="M2006" i="43"/>
  <c r="F382" i="43"/>
  <c r="M316" i="43"/>
  <c r="N316" i="43" s="1"/>
  <c r="D316" i="18" s="1"/>
  <c r="G1464" i="43"/>
  <c r="K1431" i="43"/>
  <c r="F1162" i="43"/>
  <c r="M1096" i="43"/>
  <c r="N1096" i="43" s="1"/>
  <c r="D1096" i="18" s="1"/>
  <c r="G1528" i="43"/>
  <c r="K1495" i="43"/>
  <c r="G1688" i="43"/>
  <c r="K1655" i="43"/>
  <c r="N1655" i="43" s="1"/>
  <c r="D1655" i="18" s="1"/>
  <c r="M1616" i="43"/>
  <c r="F1682" i="43"/>
  <c r="K1399" i="43"/>
  <c r="N1399" i="43" s="1"/>
  <c r="D1399" i="18" s="1"/>
  <c r="G1432" i="43"/>
  <c r="G1592" i="43"/>
  <c r="K1559" i="43"/>
  <c r="M511" i="43"/>
  <c r="N511" i="43" s="1"/>
  <c r="D511" i="18" s="1"/>
  <c r="F577" i="43"/>
  <c r="M381" i="43"/>
  <c r="N381" i="43" s="1"/>
  <c r="D381" i="18" s="1"/>
  <c r="F447" i="43"/>
  <c r="F1292" i="43"/>
  <c r="M1226" i="43"/>
  <c r="N1226" i="43" s="1"/>
  <c r="D1226" i="18" s="1"/>
  <c r="F707" i="43"/>
  <c r="M641" i="43"/>
  <c r="N641" i="43" s="1"/>
  <c r="D641" i="18" s="1"/>
  <c r="M186" i="43"/>
  <c r="N186" i="43" s="1"/>
  <c r="D186" i="18" s="1"/>
  <c r="F252" i="43"/>
  <c r="F1942" i="43"/>
  <c r="M1876" i="43"/>
  <c r="F1552" i="43"/>
  <c r="M1486" i="43"/>
  <c r="K823" i="43"/>
  <c r="N823" i="43" s="1"/>
  <c r="D823" i="18" s="1"/>
  <c r="G856" i="43"/>
  <c r="G1272" i="43"/>
  <c r="K1239" i="43"/>
  <c r="K727" i="43"/>
  <c r="G760" i="43"/>
  <c r="K919" i="43"/>
  <c r="G952" i="43"/>
  <c r="G1850" i="43"/>
  <c r="K1817" i="43"/>
  <c r="M1681" i="43"/>
  <c r="F1747" i="43"/>
  <c r="G984" i="43"/>
  <c r="K951" i="43"/>
  <c r="N951" i="43" s="1"/>
  <c r="D951" i="18" s="1"/>
  <c r="M706" i="43"/>
  <c r="N706" i="43" s="1"/>
  <c r="D706" i="18" s="1"/>
  <c r="F772" i="43"/>
  <c r="K1623" i="43"/>
  <c r="G1656" i="43"/>
  <c r="K1111" i="43"/>
  <c r="G1144" i="43"/>
  <c r="M251" i="43"/>
  <c r="N251" i="43" s="1"/>
  <c r="D251" i="18" s="1"/>
  <c r="F317" i="43"/>
  <c r="F122" i="43"/>
  <c r="F57" i="43"/>
  <c r="M56" i="43"/>
  <c r="N56" i="43" s="1"/>
  <c r="D56" i="18" s="1"/>
  <c r="G1560" i="43"/>
  <c r="K1527" i="43"/>
  <c r="N1527" i="43" s="1"/>
  <c r="D1527" i="18" s="1"/>
  <c r="K1207" i="43"/>
  <c r="N1207" i="43" s="1"/>
  <c r="D1207" i="18" s="1"/>
  <c r="G1240" i="43"/>
  <c r="M1811" i="43"/>
  <c r="F1877" i="43"/>
  <c r="F902" i="43"/>
  <c r="M836" i="43"/>
  <c r="N836" i="43" s="1"/>
  <c r="D836" i="18" s="1"/>
  <c r="G1112" i="43"/>
  <c r="K1079" i="43"/>
  <c r="N1079" i="43" s="1"/>
  <c r="D1079" i="18" s="1"/>
  <c r="K1143" i="43"/>
  <c r="N1143" i="43" s="1"/>
  <c r="D1143" i="18" s="1"/>
  <c r="G1176" i="43"/>
  <c r="F2137" i="43"/>
  <c r="M2137" i="43" s="1"/>
  <c r="M2071" i="43"/>
  <c r="M771" i="43"/>
  <c r="N771" i="43" s="1"/>
  <c r="D771" i="18" s="1"/>
  <c r="F837" i="43"/>
  <c r="F1553" i="43" l="1"/>
  <c r="M1487" i="43"/>
  <c r="N1487" i="43" s="1"/>
  <c r="D1487" i="18" s="1"/>
  <c r="G1433" i="43"/>
  <c r="K1400" i="43"/>
  <c r="N1400" i="43" s="1"/>
  <c r="D1400" i="18" s="1"/>
  <c r="F2008" i="43"/>
  <c r="M1942" i="43"/>
  <c r="M1162" i="43"/>
  <c r="N1162" i="43" s="1"/>
  <c r="D1162" i="18" s="1"/>
  <c r="F1228" i="43"/>
  <c r="G1209" i="43"/>
  <c r="K1176" i="43"/>
  <c r="K1656" i="43"/>
  <c r="N1656" i="43" s="1"/>
  <c r="D1656" i="18" s="1"/>
  <c r="G1689" i="43"/>
  <c r="M252" i="43"/>
  <c r="N252" i="43" s="1"/>
  <c r="D252" i="18" s="1"/>
  <c r="F318" i="43"/>
  <c r="K1080" i="43"/>
  <c r="N1080" i="43" s="1"/>
  <c r="D1080" i="18" s="1"/>
  <c r="G1113" i="43"/>
  <c r="K1336" i="43"/>
  <c r="N1336" i="43" s="1"/>
  <c r="D1336" i="18" s="1"/>
  <c r="G1369" i="43"/>
  <c r="K792" i="43"/>
  <c r="G825" i="43"/>
  <c r="M772" i="43"/>
  <c r="N772" i="43" s="1"/>
  <c r="D772" i="18" s="1"/>
  <c r="F838" i="43"/>
  <c r="K1464" i="43"/>
  <c r="N1464" i="43" s="1"/>
  <c r="D1464" i="18" s="1"/>
  <c r="G1497" i="43"/>
  <c r="F1878" i="43"/>
  <c r="M1812" i="43"/>
  <c r="M707" i="43"/>
  <c r="N707" i="43" s="1"/>
  <c r="D707" i="18" s="1"/>
  <c r="F773" i="43"/>
  <c r="G1337" i="43"/>
  <c r="K1304" i="43"/>
  <c r="M1227" i="43"/>
  <c r="N1227" i="43" s="1"/>
  <c r="D1227" i="18" s="1"/>
  <c r="F1293" i="43"/>
  <c r="F1358" i="43"/>
  <c r="M1292" i="43"/>
  <c r="N1292" i="43" s="1"/>
  <c r="D1292" i="18" s="1"/>
  <c r="F1813" i="43"/>
  <c r="M1747" i="43"/>
  <c r="F2138" i="43"/>
  <c r="M2138" i="43" s="1"/>
  <c r="M2072" i="43"/>
  <c r="F2073" i="43"/>
  <c r="M2007" i="43"/>
  <c r="F1943" i="43"/>
  <c r="M1877" i="43"/>
  <c r="F1423" i="43"/>
  <c r="M1357" i="43"/>
  <c r="N1357" i="43" s="1"/>
  <c r="D1357" i="18" s="1"/>
  <c r="F1488" i="43"/>
  <c r="M1422" i="43"/>
  <c r="N1422" i="43" s="1"/>
  <c r="D1422" i="18" s="1"/>
  <c r="F448" i="43"/>
  <c r="M382" i="43"/>
  <c r="N382" i="43" s="1"/>
  <c r="D382" i="18" s="1"/>
  <c r="G985" i="43"/>
  <c r="K952" i="43"/>
  <c r="N952" i="43" s="1"/>
  <c r="D952" i="18" s="1"/>
  <c r="F1098" i="43"/>
  <c r="M1032" i="43"/>
  <c r="N1032" i="43" s="1"/>
  <c r="D1032" i="18" s="1"/>
  <c r="F578" i="43"/>
  <c r="M512" i="43"/>
  <c r="N512" i="43" s="1"/>
  <c r="D512" i="18" s="1"/>
  <c r="K1112" i="43"/>
  <c r="G1145" i="43"/>
  <c r="K984" i="43"/>
  <c r="G1017" i="43"/>
  <c r="G1657" i="43"/>
  <c r="K1624" i="43"/>
  <c r="G1273" i="43"/>
  <c r="K1240" i="43"/>
  <c r="G857" i="43"/>
  <c r="K824" i="43"/>
  <c r="N824" i="43" s="1"/>
  <c r="D824" i="18" s="1"/>
  <c r="G953" i="43"/>
  <c r="K920" i="43"/>
  <c r="F968" i="43"/>
  <c r="M902" i="43"/>
  <c r="N902" i="43" s="1"/>
  <c r="D902" i="18" s="1"/>
  <c r="G793" i="43"/>
  <c r="K760" i="43"/>
  <c r="N760" i="43" s="1"/>
  <c r="D760" i="18" s="1"/>
  <c r="K1592" i="43"/>
  <c r="N1592" i="43" s="1"/>
  <c r="D1592" i="18" s="1"/>
  <c r="G1625" i="43"/>
  <c r="G1241" i="43"/>
  <c r="K1208" i="43"/>
  <c r="N1208" i="43" s="1"/>
  <c r="D1208" i="18" s="1"/>
  <c r="K1432" i="43"/>
  <c r="G1465" i="43"/>
  <c r="G1529" i="43"/>
  <c r="K1496" i="43"/>
  <c r="F708" i="43"/>
  <c r="M642" i="43"/>
  <c r="N642" i="43" s="1"/>
  <c r="D642" i="18" s="1"/>
  <c r="G1305" i="43"/>
  <c r="K1272" i="43"/>
  <c r="N1272" i="43" s="1"/>
  <c r="D1272" i="18" s="1"/>
  <c r="F1748" i="43"/>
  <c r="M1682" i="43"/>
  <c r="F1683" i="43"/>
  <c r="M1617" i="43"/>
  <c r="M57" i="43"/>
  <c r="N57" i="43" s="1"/>
  <c r="D57" i="18" s="1"/>
  <c r="F123" i="43"/>
  <c r="F58" i="43"/>
  <c r="G889" i="43"/>
  <c r="K856" i="43"/>
  <c r="G1753" i="43"/>
  <c r="K1720" i="43"/>
  <c r="N1720" i="43" s="1"/>
  <c r="D1720" i="18" s="1"/>
  <c r="K1785" i="43"/>
  <c r="N1785" i="43" s="1"/>
  <c r="D1785" i="18" s="1"/>
  <c r="G1818" i="43"/>
  <c r="F1163" i="43"/>
  <c r="M1097" i="43"/>
  <c r="N1097" i="43" s="1"/>
  <c r="D1097" i="18" s="1"/>
  <c r="K888" i="43"/>
  <c r="N888" i="43" s="1"/>
  <c r="D888" i="18" s="1"/>
  <c r="G921" i="43"/>
  <c r="G1721" i="43"/>
  <c r="K1688" i="43"/>
  <c r="K1016" i="43"/>
  <c r="N1016" i="43" s="1"/>
  <c r="D1016" i="18" s="1"/>
  <c r="G1049" i="43"/>
  <c r="F513" i="43"/>
  <c r="M447" i="43"/>
  <c r="N447" i="43" s="1"/>
  <c r="D447" i="18" s="1"/>
  <c r="M122" i="43"/>
  <c r="N122" i="43" s="1"/>
  <c r="D122" i="18" s="1"/>
  <c r="F188" i="43"/>
  <c r="F383" i="43"/>
  <c r="M317" i="43"/>
  <c r="N317" i="43" s="1"/>
  <c r="D317" i="18" s="1"/>
  <c r="M1552" i="43"/>
  <c r="F1618" i="43"/>
  <c r="M187" i="43"/>
  <c r="N187" i="43" s="1"/>
  <c r="D187" i="18" s="1"/>
  <c r="F253" i="43"/>
  <c r="F643" i="43"/>
  <c r="M577" i="43"/>
  <c r="N577" i="43" s="1"/>
  <c r="D577" i="18" s="1"/>
  <c r="M837" i="43"/>
  <c r="N837" i="43" s="1"/>
  <c r="D837" i="18" s="1"/>
  <c r="F903" i="43"/>
  <c r="G1081" i="43"/>
  <c r="K1048" i="43"/>
  <c r="K1850" i="43"/>
  <c r="N1850" i="43" s="1"/>
  <c r="D1850" i="18" s="1"/>
  <c r="G1883" i="43"/>
  <c r="K1560" i="43"/>
  <c r="G1593" i="43"/>
  <c r="G1177" i="43"/>
  <c r="K1144" i="43"/>
  <c r="N1144" i="43" s="1"/>
  <c r="D1144" i="18" s="1"/>
  <c r="G1561" i="43"/>
  <c r="K1528" i="43"/>
  <c r="N1528" i="43" s="1"/>
  <c r="D1528" i="18" s="1"/>
  <c r="K1368" i="43"/>
  <c r="G1401" i="43"/>
  <c r="F1033" i="43"/>
  <c r="M967" i="43"/>
  <c r="N967" i="43" s="1"/>
  <c r="D967" i="18" s="1"/>
  <c r="K1561" i="43" l="1"/>
  <c r="G1594" i="43"/>
  <c r="F579" i="43"/>
  <c r="M513" i="43"/>
  <c r="N513" i="43" s="1"/>
  <c r="D513" i="18" s="1"/>
  <c r="K953" i="43"/>
  <c r="N953" i="43" s="1"/>
  <c r="D953" i="18" s="1"/>
  <c r="G986" i="43"/>
  <c r="M1423" i="43"/>
  <c r="N1423" i="43" s="1"/>
  <c r="D1423" i="18" s="1"/>
  <c r="F1489" i="43"/>
  <c r="G858" i="43"/>
  <c r="K825" i="43"/>
  <c r="N825" i="43" s="1"/>
  <c r="D825" i="18" s="1"/>
  <c r="K1049" i="43"/>
  <c r="G1082" i="43"/>
  <c r="G1210" i="43"/>
  <c r="K1177" i="43"/>
  <c r="K857" i="43"/>
  <c r="G890" i="43"/>
  <c r="G1754" i="43"/>
  <c r="K1721" i="43"/>
  <c r="N1721" i="43" s="1"/>
  <c r="D1721" i="18" s="1"/>
  <c r="G1402" i="43"/>
  <c r="K1369" i="43"/>
  <c r="G954" i="43"/>
  <c r="K921" i="43"/>
  <c r="F774" i="43"/>
  <c r="M708" i="43"/>
  <c r="N708" i="43" s="1"/>
  <c r="D708" i="18" s="1"/>
  <c r="M2073" i="43"/>
  <c r="F2139" i="43"/>
  <c r="M2139" i="43" s="1"/>
  <c r="K1305" i="43"/>
  <c r="G1338" i="43"/>
  <c r="G1306" i="43"/>
  <c r="K1273" i="43"/>
  <c r="N1273" i="43" s="1"/>
  <c r="D1273" i="18" s="1"/>
  <c r="G1146" i="43"/>
  <c r="K1113" i="43"/>
  <c r="G1626" i="43"/>
  <c r="K1593" i="43"/>
  <c r="N1593" i="43" s="1"/>
  <c r="D1593" i="18" s="1"/>
  <c r="K1081" i="43"/>
  <c r="N1081" i="43" s="1"/>
  <c r="D1081" i="18" s="1"/>
  <c r="G1114" i="43"/>
  <c r="M1163" i="43"/>
  <c r="N1163" i="43" s="1"/>
  <c r="D1163" i="18" s="1"/>
  <c r="F1229" i="43"/>
  <c r="K1529" i="43"/>
  <c r="N1529" i="43" s="1"/>
  <c r="D1529" i="18" s="1"/>
  <c r="G1562" i="43"/>
  <c r="K1657" i="43"/>
  <c r="N1657" i="43" s="1"/>
  <c r="D1657" i="18" s="1"/>
  <c r="G1690" i="43"/>
  <c r="F384" i="43"/>
  <c r="M318" i="43"/>
  <c r="N318" i="43" s="1"/>
  <c r="D318" i="18" s="1"/>
  <c r="G1498" i="43"/>
  <c r="K1465" i="43"/>
  <c r="N1465" i="43" s="1"/>
  <c r="D1465" i="18" s="1"/>
  <c r="G1050" i="43"/>
  <c r="K1017" i="43"/>
  <c r="N1017" i="43" s="1"/>
  <c r="D1017" i="18" s="1"/>
  <c r="M1813" i="43"/>
  <c r="F1879" i="43"/>
  <c r="G1722" i="43"/>
  <c r="K1689" i="43"/>
  <c r="M1748" i="43"/>
  <c r="F1814" i="43"/>
  <c r="G1851" i="43"/>
  <c r="K1818" i="43"/>
  <c r="K1145" i="43"/>
  <c r="N1145" i="43" s="1"/>
  <c r="D1145" i="18" s="1"/>
  <c r="G1178" i="43"/>
  <c r="F1424" i="43"/>
  <c r="M1358" i="43"/>
  <c r="N1358" i="43" s="1"/>
  <c r="D1358" i="18" s="1"/>
  <c r="F1359" i="43"/>
  <c r="M1293" i="43"/>
  <c r="N1293" i="43" s="1"/>
  <c r="D1293" i="18" s="1"/>
  <c r="M1943" i="43"/>
  <c r="F2009" i="43"/>
  <c r="G1274" i="43"/>
  <c r="K1241" i="43"/>
  <c r="G1242" i="43"/>
  <c r="K1209" i="43"/>
  <c r="N1209" i="43" s="1"/>
  <c r="D1209" i="18" s="1"/>
  <c r="M253" i="43"/>
  <c r="N253" i="43" s="1"/>
  <c r="D253" i="18" s="1"/>
  <c r="F319" i="43"/>
  <c r="G1786" i="43"/>
  <c r="K1753" i="43"/>
  <c r="F644" i="43"/>
  <c r="M578" i="43"/>
  <c r="N578" i="43" s="1"/>
  <c r="D578" i="18" s="1"/>
  <c r="K1625" i="43"/>
  <c r="G1658" i="43"/>
  <c r="K1337" i="43"/>
  <c r="N1337" i="43" s="1"/>
  <c r="D1337" i="18" s="1"/>
  <c r="G1370" i="43"/>
  <c r="G922" i="43"/>
  <c r="K889" i="43"/>
  <c r="N889" i="43" s="1"/>
  <c r="D889" i="18" s="1"/>
  <c r="F1164" i="43"/>
  <c r="M1098" i="43"/>
  <c r="N1098" i="43" s="1"/>
  <c r="D1098" i="18" s="1"/>
  <c r="M773" i="43"/>
  <c r="N773" i="43" s="1"/>
  <c r="D773" i="18" s="1"/>
  <c r="F839" i="43"/>
  <c r="F1294" i="43"/>
  <c r="M1228" i="43"/>
  <c r="N1228" i="43" s="1"/>
  <c r="D1228" i="18" s="1"/>
  <c r="F969" i="43"/>
  <c r="M903" i="43"/>
  <c r="N903" i="43" s="1"/>
  <c r="D903" i="18" s="1"/>
  <c r="F59" i="43"/>
  <c r="M58" i="43"/>
  <c r="N58" i="43" s="1"/>
  <c r="D58" i="18" s="1"/>
  <c r="F124" i="43"/>
  <c r="G1916" i="43"/>
  <c r="K1883" i="43"/>
  <c r="F189" i="43"/>
  <c r="M123" i="43"/>
  <c r="N123" i="43" s="1"/>
  <c r="D123" i="18" s="1"/>
  <c r="G826" i="43"/>
  <c r="K793" i="43"/>
  <c r="K985" i="43"/>
  <c r="G1018" i="43"/>
  <c r="M1878" i="43"/>
  <c r="F1944" i="43"/>
  <c r="M2008" i="43"/>
  <c r="F2074" i="43"/>
  <c r="M643" i="43"/>
  <c r="N643" i="43" s="1"/>
  <c r="D643" i="18" s="1"/>
  <c r="F709" i="43"/>
  <c r="F1684" i="43"/>
  <c r="M1618" i="43"/>
  <c r="F1099" i="43"/>
  <c r="M1033" i="43"/>
  <c r="N1033" i="43" s="1"/>
  <c r="D1033" i="18" s="1"/>
  <c r="F449" i="43"/>
  <c r="M383" i="43"/>
  <c r="N383" i="43" s="1"/>
  <c r="D383" i="18" s="1"/>
  <c r="F1034" i="43"/>
  <c r="M968" i="43"/>
  <c r="N968" i="43" s="1"/>
  <c r="D968" i="18" s="1"/>
  <c r="F514" i="43"/>
  <c r="M448" i="43"/>
  <c r="N448" i="43" s="1"/>
  <c r="D448" i="18" s="1"/>
  <c r="K1497" i="43"/>
  <c r="G1530" i="43"/>
  <c r="G1434" i="43"/>
  <c r="K1401" i="43"/>
  <c r="N1401" i="43" s="1"/>
  <c r="D1401" i="18" s="1"/>
  <c r="F254" i="43"/>
  <c r="M188" i="43"/>
  <c r="N188" i="43" s="1"/>
  <c r="D188" i="18" s="1"/>
  <c r="K1433" i="43"/>
  <c r="G1466" i="43"/>
  <c r="M1488" i="43"/>
  <c r="N1488" i="43" s="1"/>
  <c r="D1488" i="18" s="1"/>
  <c r="F1554" i="43"/>
  <c r="F904" i="43"/>
  <c r="M838" i="43"/>
  <c r="N838" i="43" s="1"/>
  <c r="D838" i="18" s="1"/>
  <c r="M1683" i="43"/>
  <c r="F1749" i="43"/>
  <c r="F1619" i="43"/>
  <c r="M1553" i="43"/>
  <c r="N1553" i="43" s="1"/>
  <c r="D1553" i="18" s="1"/>
  <c r="M1359" i="43" l="1"/>
  <c r="N1359" i="43" s="1"/>
  <c r="D1359" i="18" s="1"/>
  <c r="F1425" i="43"/>
  <c r="G987" i="43"/>
  <c r="K954" i="43"/>
  <c r="N954" i="43" s="1"/>
  <c r="D954" i="18" s="1"/>
  <c r="F775" i="43"/>
  <c r="M709" i="43"/>
  <c r="N709" i="43" s="1"/>
  <c r="D709" i="18" s="1"/>
  <c r="F1230" i="43"/>
  <c r="M1164" i="43"/>
  <c r="N1164" i="43" s="1"/>
  <c r="D1164" i="18" s="1"/>
  <c r="G1595" i="43"/>
  <c r="K1562" i="43"/>
  <c r="K1402" i="43"/>
  <c r="N1402" i="43" s="1"/>
  <c r="D1402" i="18" s="1"/>
  <c r="G1435" i="43"/>
  <c r="F970" i="43"/>
  <c r="M904" i="43"/>
  <c r="N904" i="43" s="1"/>
  <c r="D904" i="18" s="1"/>
  <c r="M2074" i="43"/>
  <c r="F2140" i="43"/>
  <c r="M2140" i="43" s="1"/>
  <c r="K922" i="43"/>
  <c r="G955" i="43"/>
  <c r="F1295" i="43"/>
  <c r="M1229" i="43"/>
  <c r="N1229" i="43" s="1"/>
  <c r="D1229" i="18" s="1"/>
  <c r="F1620" i="43"/>
  <c r="M1554" i="43"/>
  <c r="N1554" i="43" s="1"/>
  <c r="D1554" i="18" s="1"/>
  <c r="G1403" i="43"/>
  <c r="K1370" i="43"/>
  <c r="F1490" i="43"/>
  <c r="M1424" i="43"/>
  <c r="N1424" i="43" s="1"/>
  <c r="D1424" i="18" s="1"/>
  <c r="K1754" i="43"/>
  <c r="G1787" i="43"/>
  <c r="F2010" i="43"/>
  <c r="M1944" i="43"/>
  <c r="K1178" i="43"/>
  <c r="G1211" i="43"/>
  <c r="K1114" i="43"/>
  <c r="G1147" i="43"/>
  <c r="G1691" i="43"/>
  <c r="K1658" i="43"/>
  <c r="N1658" i="43" s="1"/>
  <c r="D1658" i="18" s="1"/>
  <c r="G923" i="43"/>
  <c r="K890" i="43"/>
  <c r="N890" i="43" s="1"/>
  <c r="D890" i="18" s="1"/>
  <c r="K1466" i="43"/>
  <c r="N1466" i="43" s="1"/>
  <c r="D1466" i="18" s="1"/>
  <c r="G1499" i="43"/>
  <c r="K1018" i="43"/>
  <c r="N1018" i="43" s="1"/>
  <c r="D1018" i="18" s="1"/>
  <c r="G1051" i="43"/>
  <c r="G1884" i="43"/>
  <c r="K1851" i="43"/>
  <c r="N1851" i="43" s="1"/>
  <c r="D1851" i="18" s="1"/>
  <c r="F1880" i="43"/>
  <c r="M1814" i="43"/>
  <c r="G1243" i="43"/>
  <c r="K1210" i="43"/>
  <c r="N1210" i="43" s="1"/>
  <c r="D1210" i="18" s="1"/>
  <c r="G1723" i="43"/>
  <c r="K1690" i="43"/>
  <c r="G1115" i="43"/>
  <c r="K1082" i="43"/>
  <c r="N1082" i="43" s="1"/>
  <c r="D1082" i="18" s="1"/>
  <c r="F710" i="43"/>
  <c r="M644" i="43"/>
  <c r="N644" i="43" s="1"/>
  <c r="D644" i="18" s="1"/>
  <c r="K1626" i="43"/>
  <c r="G1659" i="43"/>
  <c r="M1684" i="43"/>
  <c r="F1750" i="43"/>
  <c r="G1467" i="43"/>
  <c r="K1434" i="43"/>
  <c r="F255" i="43"/>
  <c r="M189" i="43"/>
  <c r="N189" i="43" s="1"/>
  <c r="D189" i="18" s="1"/>
  <c r="G1755" i="43"/>
  <c r="K1722" i="43"/>
  <c r="N1722" i="43" s="1"/>
  <c r="D1722" i="18" s="1"/>
  <c r="G1819" i="43"/>
  <c r="K1786" i="43"/>
  <c r="N1786" i="43" s="1"/>
  <c r="D1786" i="18" s="1"/>
  <c r="K1146" i="43"/>
  <c r="N1146" i="43" s="1"/>
  <c r="D1146" i="18" s="1"/>
  <c r="G1179" i="43"/>
  <c r="G1949" i="43"/>
  <c r="K1916" i="43"/>
  <c r="N1916" i="43" s="1"/>
  <c r="D1916" i="18" s="1"/>
  <c r="F385" i="43"/>
  <c r="M319" i="43"/>
  <c r="N319" i="43" s="1"/>
  <c r="D319" i="18" s="1"/>
  <c r="K858" i="43"/>
  <c r="G891" i="43"/>
  <c r="F1945" i="43"/>
  <c r="M1879" i="43"/>
  <c r="G1339" i="43"/>
  <c r="K1306" i="43"/>
  <c r="M1489" i="43"/>
  <c r="N1489" i="43" s="1"/>
  <c r="D1489" i="18" s="1"/>
  <c r="F1555" i="43"/>
  <c r="M1749" i="43"/>
  <c r="F1815" i="43"/>
  <c r="K1338" i="43"/>
  <c r="N1338" i="43" s="1"/>
  <c r="D1338" i="18" s="1"/>
  <c r="G1371" i="43"/>
  <c r="M59" i="43"/>
  <c r="N59" i="43" s="1"/>
  <c r="D59" i="18" s="1"/>
  <c r="F125" i="43"/>
  <c r="F60" i="43"/>
  <c r="G1275" i="43"/>
  <c r="K1242" i="43"/>
  <c r="G1019" i="43"/>
  <c r="K986" i="43"/>
  <c r="K1050" i="43"/>
  <c r="G1083" i="43"/>
  <c r="F320" i="43"/>
  <c r="M254" i="43"/>
  <c r="N254" i="43" s="1"/>
  <c r="D254" i="18" s="1"/>
  <c r="F1035" i="43"/>
  <c r="M969" i="43"/>
  <c r="N969" i="43" s="1"/>
  <c r="D969" i="18" s="1"/>
  <c r="K1274" i="43"/>
  <c r="N1274" i="43" s="1"/>
  <c r="D1274" i="18" s="1"/>
  <c r="G1307" i="43"/>
  <c r="F190" i="43"/>
  <c r="M124" i="43"/>
  <c r="N124" i="43" s="1"/>
  <c r="D124" i="18" s="1"/>
  <c r="F1100" i="43"/>
  <c r="M1034" i="43"/>
  <c r="N1034" i="43" s="1"/>
  <c r="D1034" i="18" s="1"/>
  <c r="M449" i="43"/>
  <c r="N449" i="43" s="1"/>
  <c r="D449" i="18" s="1"/>
  <c r="F515" i="43"/>
  <c r="F2075" i="43"/>
  <c r="M2009" i="43"/>
  <c r="K1498" i="43"/>
  <c r="G1531" i="43"/>
  <c r="M579" i="43"/>
  <c r="N579" i="43" s="1"/>
  <c r="D579" i="18" s="1"/>
  <c r="F645" i="43"/>
  <c r="G859" i="43"/>
  <c r="K826" i="43"/>
  <c r="N826" i="43" s="1"/>
  <c r="D826" i="18" s="1"/>
  <c r="K1530" i="43"/>
  <c r="N1530" i="43" s="1"/>
  <c r="D1530" i="18" s="1"/>
  <c r="G1563" i="43"/>
  <c r="F1360" i="43"/>
  <c r="M1294" i="43"/>
  <c r="N1294" i="43" s="1"/>
  <c r="D1294" i="18" s="1"/>
  <c r="G1627" i="43"/>
  <c r="K1594" i="43"/>
  <c r="N1594" i="43" s="1"/>
  <c r="D1594" i="18" s="1"/>
  <c r="F580" i="43"/>
  <c r="M514" i="43"/>
  <c r="N514" i="43" s="1"/>
  <c r="D514" i="18" s="1"/>
  <c r="F1685" i="43"/>
  <c r="M1619" i="43"/>
  <c r="N1619" i="43" s="1"/>
  <c r="D1619" i="18" s="1"/>
  <c r="F1165" i="43"/>
  <c r="M1099" i="43"/>
  <c r="N1099" i="43" s="1"/>
  <c r="D1099" i="18" s="1"/>
  <c r="F905" i="43"/>
  <c r="M839" i="43"/>
  <c r="N839" i="43" s="1"/>
  <c r="D839" i="18" s="1"/>
  <c r="M384" i="43"/>
  <c r="N384" i="43" s="1"/>
  <c r="D384" i="18" s="1"/>
  <c r="F450" i="43"/>
  <c r="F840" i="43"/>
  <c r="M774" i="43"/>
  <c r="N774" i="43" s="1"/>
  <c r="D774" i="18" s="1"/>
  <c r="F1686" i="43" l="1"/>
  <c r="M1620" i="43"/>
  <c r="N1620" i="43" s="1"/>
  <c r="D1620" i="18" s="1"/>
  <c r="F1231" i="43"/>
  <c r="M1165" i="43"/>
  <c r="N1165" i="43" s="1"/>
  <c r="D1165" i="18" s="1"/>
  <c r="M190" i="43"/>
  <c r="N190" i="43" s="1"/>
  <c r="D190" i="18" s="1"/>
  <c r="F256" i="43"/>
  <c r="F1816" i="43"/>
  <c r="M1750" i="43"/>
  <c r="F1361" i="43"/>
  <c r="M1295" i="43"/>
  <c r="N1295" i="43" s="1"/>
  <c r="D1295" i="18" s="1"/>
  <c r="G1340" i="43"/>
  <c r="K1307" i="43"/>
  <c r="K1339" i="43"/>
  <c r="N1339" i="43" s="1"/>
  <c r="D1339" i="18" s="1"/>
  <c r="G1372" i="43"/>
  <c r="G1084" i="43"/>
  <c r="K1051" i="43"/>
  <c r="G988" i="43"/>
  <c r="K955" i="43"/>
  <c r="N955" i="43" s="1"/>
  <c r="D955" i="18" s="1"/>
  <c r="F1621" i="43"/>
  <c r="M1555" i="43"/>
  <c r="N1555" i="43" s="1"/>
  <c r="D1555" i="18" s="1"/>
  <c r="K1467" i="43"/>
  <c r="N1467" i="43" s="1"/>
  <c r="D1467" i="18" s="1"/>
  <c r="G1500" i="43"/>
  <c r="F2011" i="43"/>
  <c r="M1945" i="43"/>
  <c r="G1692" i="43"/>
  <c r="K1659" i="43"/>
  <c r="N1659" i="43" s="1"/>
  <c r="D1659" i="18" s="1"/>
  <c r="G1532" i="43"/>
  <c r="K1499" i="43"/>
  <c r="F646" i="43"/>
  <c r="M580" i="43"/>
  <c r="N580" i="43" s="1"/>
  <c r="D580" i="18" s="1"/>
  <c r="F1101" i="43"/>
  <c r="M1035" i="43"/>
  <c r="N1035" i="43" s="1"/>
  <c r="D1035" i="18" s="1"/>
  <c r="K891" i="43"/>
  <c r="N891" i="43" s="1"/>
  <c r="D891" i="18" s="1"/>
  <c r="G924" i="43"/>
  <c r="F321" i="43"/>
  <c r="M255" i="43"/>
  <c r="N255" i="43" s="1"/>
  <c r="D255" i="18" s="1"/>
  <c r="F971" i="43"/>
  <c r="M905" i="43"/>
  <c r="N905" i="43" s="1"/>
  <c r="D905" i="18" s="1"/>
  <c r="F1166" i="43"/>
  <c r="M1100" i="43"/>
  <c r="N1100" i="43" s="1"/>
  <c r="D1100" i="18" s="1"/>
  <c r="G956" i="43"/>
  <c r="K923" i="43"/>
  <c r="F1036" i="43"/>
  <c r="M970" i="43"/>
  <c r="N970" i="43" s="1"/>
  <c r="D970" i="18" s="1"/>
  <c r="G1116" i="43"/>
  <c r="K1083" i="43"/>
  <c r="N1083" i="43" s="1"/>
  <c r="D1083" i="18" s="1"/>
  <c r="M385" i="43"/>
  <c r="N385" i="43" s="1"/>
  <c r="D385" i="18" s="1"/>
  <c r="F451" i="43"/>
  <c r="F776" i="43"/>
  <c r="M710" i="43"/>
  <c r="N710" i="43" s="1"/>
  <c r="D710" i="18" s="1"/>
  <c r="K1435" i="43"/>
  <c r="G1468" i="43"/>
  <c r="G1724" i="43"/>
  <c r="K1691" i="43"/>
  <c r="G1596" i="43"/>
  <c r="K1563" i="43"/>
  <c r="K1949" i="43"/>
  <c r="G1982" i="43"/>
  <c r="K1115" i="43"/>
  <c r="G1148" i="43"/>
  <c r="G1180" i="43"/>
  <c r="K1147" i="43"/>
  <c r="N1147" i="43" s="1"/>
  <c r="D1147" i="18" s="1"/>
  <c r="G1052" i="43"/>
  <c r="K1019" i="43"/>
  <c r="N1019" i="43" s="1"/>
  <c r="D1019" i="18" s="1"/>
  <c r="G1212" i="43"/>
  <c r="K1179" i="43"/>
  <c r="K1723" i="43"/>
  <c r="N1723" i="43" s="1"/>
  <c r="D1723" i="18" s="1"/>
  <c r="G1756" i="43"/>
  <c r="G1244" i="43"/>
  <c r="K1211" i="43"/>
  <c r="N1211" i="43" s="1"/>
  <c r="D1211" i="18" s="1"/>
  <c r="K1595" i="43"/>
  <c r="N1595" i="43" s="1"/>
  <c r="D1595" i="18" s="1"/>
  <c r="G1628" i="43"/>
  <c r="F711" i="43"/>
  <c r="M645" i="43"/>
  <c r="N645" i="43" s="1"/>
  <c r="D645" i="18" s="1"/>
  <c r="K1243" i="43"/>
  <c r="G1276" i="43"/>
  <c r="F1296" i="43"/>
  <c r="M1230" i="43"/>
  <c r="N1230" i="43" s="1"/>
  <c r="D1230" i="18" s="1"/>
  <c r="G1660" i="43"/>
  <c r="K1627" i="43"/>
  <c r="K1275" i="43"/>
  <c r="N1275" i="43" s="1"/>
  <c r="D1275" i="18" s="1"/>
  <c r="G1308" i="43"/>
  <c r="F2076" i="43"/>
  <c r="M2010" i="43"/>
  <c r="K1819" i="43"/>
  <c r="G1852" i="43"/>
  <c r="G1564" i="43"/>
  <c r="K1531" i="43"/>
  <c r="N1531" i="43" s="1"/>
  <c r="D1531" i="18" s="1"/>
  <c r="F61" i="43"/>
  <c r="F126" i="43"/>
  <c r="M60" i="43"/>
  <c r="N60" i="43" s="1"/>
  <c r="D60" i="18" s="1"/>
  <c r="F1946" i="43"/>
  <c r="M1880" i="43"/>
  <c r="G1820" i="43"/>
  <c r="K1787" i="43"/>
  <c r="N1787" i="43" s="1"/>
  <c r="D1787" i="18" s="1"/>
  <c r="F841" i="43"/>
  <c r="M775" i="43"/>
  <c r="N775" i="43" s="1"/>
  <c r="D775" i="18" s="1"/>
  <c r="M320" i="43"/>
  <c r="N320" i="43" s="1"/>
  <c r="D320" i="18" s="1"/>
  <c r="F386" i="43"/>
  <c r="F191" i="43"/>
  <c r="M125" i="43"/>
  <c r="N125" i="43" s="1"/>
  <c r="D125" i="18" s="1"/>
  <c r="G1020" i="43"/>
  <c r="K987" i="43"/>
  <c r="F906" i="43"/>
  <c r="M840" i="43"/>
  <c r="N840" i="43" s="1"/>
  <c r="D840" i="18" s="1"/>
  <c r="F2141" i="43"/>
  <c r="M2141" i="43" s="1"/>
  <c r="M2075" i="43"/>
  <c r="K1371" i="43"/>
  <c r="G1404" i="43"/>
  <c r="K1755" i="43"/>
  <c r="G1788" i="43"/>
  <c r="F1556" i="43"/>
  <c r="M1490" i="43"/>
  <c r="N1490" i="43" s="1"/>
  <c r="D1490" i="18" s="1"/>
  <c r="F1491" i="43"/>
  <c r="M1425" i="43"/>
  <c r="N1425" i="43" s="1"/>
  <c r="D1425" i="18" s="1"/>
  <c r="F1751" i="43"/>
  <c r="M1685" i="43"/>
  <c r="N1685" i="43" s="1"/>
  <c r="D1685" i="18" s="1"/>
  <c r="F1426" i="43"/>
  <c r="M1360" i="43"/>
  <c r="N1360" i="43" s="1"/>
  <c r="D1360" i="18" s="1"/>
  <c r="G892" i="43"/>
  <c r="K859" i="43"/>
  <c r="F516" i="43"/>
  <c r="M450" i="43"/>
  <c r="N450" i="43" s="1"/>
  <c r="D450" i="18" s="1"/>
  <c r="M515" i="43"/>
  <c r="N515" i="43" s="1"/>
  <c r="D515" i="18" s="1"/>
  <c r="F581" i="43"/>
  <c r="G1917" i="43"/>
  <c r="K1884" i="43"/>
  <c r="F1881" i="43"/>
  <c r="M1815" i="43"/>
  <c r="G1436" i="43"/>
  <c r="K1403" i="43"/>
  <c r="N1403" i="43" s="1"/>
  <c r="D1403" i="18" s="1"/>
  <c r="G1885" i="43" l="1"/>
  <c r="K1852" i="43"/>
  <c r="N1852" i="43" s="1"/>
  <c r="D1852" i="18" s="1"/>
  <c r="G1149" i="43"/>
  <c r="K1116" i="43"/>
  <c r="G1533" i="43"/>
  <c r="K1500" i="43"/>
  <c r="F1947" i="43"/>
  <c r="M1881" i="43"/>
  <c r="F972" i="43"/>
  <c r="M906" i="43"/>
  <c r="N906" i="43" s="1"/>
  <c r="D906" i="18" s="1"/>
  <c r="F1102" i="43"/>
  <c r="M1036" i="43"/>
  <c r="N1036" i="43" s="1"/>
  <c r="D1036" i="18" s="1"/>
  <c r="F2142" i="43"/>
  <c r="M2142" i="43" s="1"/>
  <c r="M2076" i="43"/>
  <c r="G1950" i="43"/>
  <c r="K1917" i="43"/>
  <c r="N1917" i="43" s="1"/>
  <c r="D1917" i="18" s="1"/>
  <c r="K1308" i="43"/>
  <c r="G1341" i="43"/>
  <c r="G989" i="43"/>
  <c r="K956" i="43"/>
  <c r="N956" i="43" s="1"/>
  <c r="D956" i="18" s="1"/>
  <c r="F1687" i="43"/>
  <c r="M1621" i="43"/>
  <c r="N1621" i="43" s="1"/>
  <c r="D1621" i="18" s="1"/>
  <c r="G1085" i="43"/>
  <c r="K1052" i="43"/>
  <c r="M1166" i="43"/>
  <c r="N1166" i="43" s="1"/>
  <c r="D1166" i="18" s="1"/>
  <c r="F1232" i="43"/>
  <c r="K988" i="43"/>
  <c r="G1021" i="43"/>
  <c r="G1053" i="43"/>
  <c r="K1020" i="43"/>
  <c r="N1020" i="43" s="1"/>
  <c r="D1020" i="18" s="1"/>
  <c r="F582" i="43"/>
  <c r="M516" i="43"/>
  <c r="N516" i="43" s="1"/>
  <c r="D516" i="18" s="1"/>
  <c r="F257" i="43"/>
  <c r="M191" i="43"/>
  <c r="N191" i="43" s="1"/>
  <c r="D191" i="18" s="1"/>
  <c r="G1213" i="43"/>
  <c r="K1180" i="43"/>
  <c r="F1037" i="43"/>
  <c r="M971" i="43"/>
  <c r="N971" i="43" s="1"/>
  <c r="D971" i="18" s="1"/>
  <c r="K1084" i="43"/>
  <c r="N1084" i="43" s="1"/>
  <c r="D1084" i="18" s="1"/>
  <c r="G1117" i="43"/>
  <c r="K1660" i="43"/>
  <c r="N1660" i="43" s="1"/>
  <c r="D1660" i="18" s="1"/>
  <c r="G1693" i="43"/>
  <c r="F1362" i="43"/>
  <c r="M1296" i="43"/>
  <c r="N1296" i="43" s="1"/>
  <c r="D1296" i="18" s="1"/>
  <c r="G1181" i="43"/>
  <c r="K1148" i="43"/>
  <c r="N1148" i="43" s="1"/>
  <c r="D1148" i="18" s="1"/>
  <c r="G1405" i="43"/>
  <c r="K1372" i="43"/>
  <c r="K892" i="43"/>
  <c r="N892" i="43" s="1"/>
  <c r="D892" i="18" s="1"/>
  <c r="G925" i="43"/>
  <c r="G1309" i="43"/>
  <c r="K1276" i="43"/>
  <c r="N1276" i="43" s="1"/>
  <c r="D1276" i="18" s="1"/>
  <c r="F387" i="43"/>
  <c r="M321" i="43"/>
  <c r="N321" i="43" s="1"/>
  <c r="D321" i="18" s="1"/>
  <c r="F452" i="43"/>
  <c r="M386" i="43"/>
  <c r="N386" i="43" s="1"/>
  <c r="D386" i="18" s="1"/>
  <c r="G2015" i="43"/>
  <c r="K1982" i="43"/>
  <c r="N1982" i="43" s="1"/>
  <c r="D1982" i="18" s="1"/>
  <c r="G957" i="43"/>
  <c r="K924" i="43"/>
  <c r="K1340" i="43"/>
  <c r="N1340" i="43" s="1"/>
  <c r="D1340" i="18" s="1"/>
  <c r="G1373" i="43"/>
  <c r="F1817" i="43"/>
  <c r="M1751" i="43"/>
  <c r="N1751" i="43" s="1"/>
  <c r="D1751" i="18" s="1"/>
  <c r="F907" i="43"/>
  <c r="M841" i="43"/>
  <c r="N841" i="43" s="1"/>
  <c r="D841" i="18" s="1"/>
  <c r="G1629" i="43"/>
  <c r="K1596" i="43"/>
  <c r="N1596" i="43" s="1"/>
  <c r="D1596" i="18" s="1"/>
  <c r="M1361" i="43"/>
  <c r="N1361" i="43" s="1"/>
  <c r="D1361" i="18" s="1"/>
  <c r="F1427" i="43"/>
  <c r="F1167" i="43"/>
  <c r="M1101" i="43"/>
  <c r="N1101" i="43" s="1"/>
  <c r="D1101" i="18" s="1"/>
  <c r="F1492" i="43"/>
  <c r="M1426" i="43"/>
  <c r="N1426" i="43" s="1"/>
  <c r="D1426" i="18" s="1"/>
  <c r="F1557" i="43"/>
  <c r="M1491" i="43"/>
  <c r="N1491" i="43" s="1"/>
  <c r="D1491" i="18" s="1"/>
  <c r="K1820" i="43"/>
  <c r="G1853" i="43"/>
  <c r="G1661" i="43"/>
  <c r="K1628" i="43"/>
  <c r="K1724" i="43"/>
  <c r="N1724" i="43" s="1"/>
  <c r="D1724" i="18" s="1"/>
  <c r="G1757" i="43"/>
  <c r="F1882" i="43"/>
  <c r="M1816" i="43"/>
  <c r="F647" i="43"/>
  <c r="M581" i="43"/>
  <c r="N581" i="43" s="1"/>
  <c r="D581" i="18" s="1"/>
  <c r="G1501" i="43"/>
  <c r="K1468" i="43"/>
  <c r="N1468" i="43" s="1"/>
  <c r="D1468" i="18" s="1"/>
  <c r="M646" i="43"/>
  <c r="N646" i="43" s="1"/>
  <c r="D646" i="18" s="1"/>
  <c r="F712" i="43"/>
  <c r="F1622" i="43"/>
  <c r="M1556" i="43"/>
  <c r="N1556" i="43" s="1"/>
  <c r="D1556" i="18" s="1"/>
  <c r="M1946" i="43"/>
  <c r="F2012" i="43"/>
  <c r="M256" i="43"/>
  <c r="N256" i="43" s="1"/>
  <c r="D256" i="18" s="1"/>
  <c r="F322" i="43"/>
  <c r="G1565" i="43"/>
  <c r="K1532" i="43"/>
  <c r="N1532" i="43" s="1"/>
  <c r="D1532" i="18" s="1"/>
  <c r="F192" i="43"/>
  <c r="M126" i="43"/>
  <c r="N126" i="43" s="1"/>
  <c r="D126" i="18" s="1"/>
  <c r="G1789" i="43"/>
  <c r="K1756" i="43"/>
  <c r="M776" i="43"/>
  <c r="N776" i="43" s="1"/>
  <c r="D776" i="18" s="1"/>
  <c r="F842" i="43"/>
  <c r="M711" i="43"/>
  <c r="N711" i="43" s="1"/>
  <c r="D711" i="18" s="1"/>
  <c r="F777" i="43"/>
  <c r="K1788" i="43"/>
  <c r="N1788" i="43" s="1"/>
  <c r="D1788" i="18" s="1"/>
  <c r="G1821" i="43"/>
  <c r="K1244" i="43"/>
  <c r="G1277" i="43"/>
  <c r="G1437" i="43"/>
  <c r="K1404" i="43"/>
  <c r="N1404" i="43" s="1"/>
  <c r="D1404" i="18" s="1"/>
  <c r="F62" i="43"/>
  <c r="F127" i="43"/>
  <c r="M61" i="43"/>
  <c r="N61" i="43" s="1"/>
  <c r="D61" i="18" s="1"/>
  <c r="F517" i="43"/>
  <c r="M451" i="43"/>
  <c r="N451" i="43" s="1"/>
  <c r="D451" i="18" s="1"/>
  <c r="G1725" i="43"/>
  <c r="K1692" i="43"/>
  <c r="F1297" i="43"/>
  <c r="M1231" i="43"/>
  <c r="N1231" i="43" s="1"/>
  <c r="D1231" i="18" s="1"/>
  <c r="K1436" i="43"/>
  <c r="G1469" i="43"/>
  <c r="K1564" i="43"/>
  <c r="G1597" i="43"/>
  <c r="G1245" i="43"/>
  <c r="K1212" i="43"/>
  <c r="N1212" i="43" s="1"/>
  <c r="D1212" i="18" s="1"/>
  <c r="F2077" i="43"/>
  <c r="M2011" i="43"/>
  <c r="F1752" i="43"/>
  <c r="M1686" i="43"/>
  <c r="N1686" i="43" s="1"/>
  <c r="D1686" i="18" s="1"/>
  <c r="K1757" i="43" l="1"/>
  <c r="G1790" i="43"/>
  <c r="G1022" i="43"/>
  <c r="K989" i="43"/>
  <c r="G1502" i="43"/>
  <c r="K1469" i="43"/>
  <c r="N1469" i="43" s="1"/>
  <c r="D1469" i="18" s="1"/>
  <c r="K1789" i="43"/>
  <c r="N1789" i="43" s="1"/>
  <c r="D1789" i="18" s="1"/>
  <c r="G1822" i="43"/>
  <c r="K957" i="43"/>
  <c r="N957" i="43" s="1"/>
  <c r="D957" i="18" s="1"/>
  <c r="G990" i="43"/>
  <c r="G1150" i="43"/>
  <c r="K1117" i="43"/>
  <c r="K1341" i="43"/>
  <c r="N1341" i="43" s="1"/>
  <c r="D1341" i="18" s="1"/>
  <c r="G1374" i="43"/>
  <c r="F908" i="43"/>
  <c r="M842" i="43"/>
  <c r="N842" i="43" s="1"/>
  <c r="D842" i="18" s="1"/>
  <c r="M192" i="43"/>
  <c r="N192" i="43" s="1"/>
  <c r="D192" i="18" s="1"/>
  <c r="F258" i="43"/>
  <c r="G1694" i="43"/>
  <c r="K1661" i="43"/>
  <c r="N1661" i="43" s="1"/>
  <c r="D1661" i="18" s="1"/>
  <c r="K1853" i="43"/>
  <c r="N1853" i="43" s="1"/>
  <c r="D1853" i="18" s="1"/>
  <c r="G1886" i="43"/>
  <c r="M1037" i="43"/>
  <c r="N1037" i="43" s="1"/>
  <c r="D1037" i="18" s="1"/>
  <c r="F1103" i="43"/>
  <c r="G1630" i="43"/>
  <c r="K1597" i="43"/>
  <c r="N1597" i="43" s="1"/>
  <c r="D1597" i="18" s="1"/>
  <c r="G2048" i="43"/>
  <c r="K2015" i="43"/>
  <c r="G1983" i="43"/>
  <c r="K1950" i="43"/>
  <c r="M1882" i="43"/>
  <c r="F1948" i="43"/>
  <c r="M1297" i="43"/>
  <c r="N1297" i="43" s="1"/>
  <c r="D1297" i="18" s="1"/>
  <c r="F1363" i="43"/>
  <c r="K1213" i="43"/>
  <c r="N1213" i="43" s="1"/>
  <c r="D1213" i="18" s="1"/>
  <c r="G1246" i="43"/>
  <c r="K1565" i="43"/>
  <c r="G1598" i="43"/>
  <c r="F1623" i="43"/>
  <c r="M1557" i="43"/>
  <c r="N1557" i="43" s="1"/>
  <c r="D1557" i="18" s="1"/>
  <c r="G1758" i="43"/>
  <c r="K1725" i="43"/>
  <c r="N1725" i="43" s="1"/>
  <c r="D1725" i="18" s="1"/>
  <c r="F388" i="43"/>
  <c r="M322" i="43"/>
  <c r="N322" i="43" s="1"/>
  <c r="D322" i="18" s="1"/>
  <c r="M452" i="43"/>
  <c r="N452" i="43" s="1"/>
  <c r="D452" i="18" s="1"/>
  <c r="F518" i="43"/>
  <c r="M257" i="43"/>
  <c r="N257" i="43" s="1"/>
  <c r="D257" i="18" s="1"/>
  <c r="F323" i="43"/>
  <c r="G1406" i="43"/>
  <c r="K1373" i="43"/>
  <c r="F1558" i="43"/>
  <c r="M1492" i="43"/>
  <c r="N1492" i="43" s="1"/>
  <c r="D1492" i="18" s="1"/>
  <c r="M517" i="43"/>
  <c r="N517" i="43" s="1"/>
  <c r="D517" i="18" s="1"/>
  <c r="F583" i="43"/>
  <c r="F453" i="43"/>
  <c r="M387" i="43"/>
  <c r="N387" i="43" s="1"/>
  <c r="D387" i="18" s="1"/>
  <c r="F648" i="43"/>
  <c r="M582" i="43"/>
  <c r="N582" i="43" s="1"/>
  <c r="D582" i="18" s="1"/>
  <c r="M1687" i="43"/>
  <c r="N1687" i="43" s="1"/>
  <c r="D1687" i="18" s="1"/>
  <c r="F1753" i="43"/>
  <c r="M1102" i="43"/>
  <c r="N1102" i="43" s="1"/>
  <c r="D1102" i="18" s="1"/>
  <c r="F1168" i="43"/>
  <c r="K1053" i="43"/>
  <c r="G1086" i="43"/>
  <c r="F193" i="43"/>
  <c r="M127" i="43"/>
  <c r="N127" i="43" s="1"/>
  <c r="D127" i="18" s="1"/>
  <c r="F2078" i="43"/>
  <c r="M2012" i="43"/>
  <c r="M1167" i="43"/>
  <c r="N1167" i="43" s="1"/>
  <c r="D1167" i="18" s="1"/>
  <c r="F1233" i="43"/>
  <c r="F63" i="43"/>
  <c r="F128" i="43"/>
  <c r="M62" i="43"/>
  <c r="N62" i="43" s="1"/>
  <c r="D62" i="18" s="1"/>
  <c r="K1309" i="43"/>
  <c r="G1342" i="43"/>
  <c r="M972" i="43"/>
  <c r="N972" i="43" s="1"/>
  <c r="D972" i="18" s="1"/>
  <c r="F1038" i="43"/>
  <c r="G1726" i="43"/>
  <c r="K1693" i="43"/>
  <c r="M1427" i="43"/>
  <c r="N1427" i="43" s="1"/>
  <c r="D1427" i="18" s="1"/>
  <c r="F1493" i="43"/>
  <c r="K925" i="43"/>
  <c r="G958" i="43"/>
  <c r="G1054" i="43"/>
  <c r="K1021" i="43"/>
  <c r="N1021" i="43" s="1"/>
  <c r="D1021" i="18" s="1"/>
  <c r="G1470" i="43"/>
  <c r="K1437" i="43"/>
  <c r="M1947" i="43"/>
  <c r="F2013" i="43"/>
  <c r="F1688" i="43"/>
  <c r="M1622" i="43"/>
  <c r="N1622" i="43" s="1"/>
  <c r="D1622" i="18" s="1"/>
  <c r="K1277" i="43"/>
  <c r="N1277" i="43" s="1"/>
  <c r="D1277" i="18" s="1"/>
  <c r="G1310" i="43"/>
  <c r="F778" i="43"/>
  <c r="M712" i="43"/>
  <c r="N712" i="43" s="1"/>
  <c r="D712" i="18" s="1"/>
  <c r="F1298" i="43"/>
  <c r="M1232" i="43"/>
  <c r="N1232" i="43" s="1"/>
  <c r="D1232" i="18" s="1"/>
  <c r="G1278" i="43"/>
  <c r="K1245" i="43"/>
  <c r="K1629" i="43"/>
  <c r="G1662" i="43"/>
  <c r="K1405" i="43"/>
  <c r="N1405" i="43" s="1"/>
  <c r="D1405" i="18" s="1"/>
  <c r="G1438" i="43"/>
  <c r="K1533" i="43"/>
  <c r="N1533" i="43" s="1"/>
  <c r="D1533" i="18" s="1"/>
  <c r="G1566" i="43"/>
  <c r="M1752" i="43"/>
  <c r="N1752" i="43" s="1"/>
  <c r="D1752" i="18" s="1"/>
  <c r="F1818" i="43"/>
  <c r="G1854" i="43"/>
  <c r="K1821" i="43"/>
  <c r="K1501" i="43"/>
  <c r="G1534" i="43"/>
  <c r="F973" i="43"/>
  <c r="M907" i="43"/>
  <c r="N907" i="43" s="1"/>
  <c r="D907" i="18" s="1"/>
  <c r="G1214" i="43"/>
  <c r="K1181" i="43"/>
  <c r="K1149" i="43"/>
  <c r="N1149" i="43" s="1"/>
  <c r="D1149" i="18" s="1"/>
  <c r="G1182" i="43"/>
  <c r="F2143" i="43"/>
  <c r="M2143" i="43" s="1"/>
  <c r="M2077" i="43"/>
  <c r="M777" i="43"/>
  <c r="N777" i="43" s="1"/>
  <c r="D777" i="18" s="1"/>
  <c r="F843" i="43"/>
  <c r="G1118" i="43"/>
  <c r="K1085" i="43"/>
  <c r="N1085" i="43" s="1"/>
  <c r="D1085" i="18" s="1"/>
  <c r="F713" i="43"/>
  <c r="M647" i="43"/>
  <c r="N647" i="43" s="1"/>
  <c r="D647" i="18" s="1"/>
  <c r="M1817" i="43"/>
  <c r="N1817" i="43" s="1"/>
  <c r="D1817" i="18" s="1"/>
  <c r="F1883" i="43"/>
  <c r="F1428" i="43"/>
  <c r="M1362" i="43"/>
  <c r="N1362" i="43" s="1"/>
  <c r="D1362" i="18" s="1"/>
  <c r="G1918" i="43"/>
  <c r="K1885" i="43"/>
  <c r="M258" i="43" l="1"/>
  <c r="N258" i="43" s="1"/>
  <c r="D258" i="18" s="1"/>
  <c r="F324" i="43"/>
  <c r="K1470" i="43"/>
  <c r="N1470" i="43" s="1"/>
  <c r="D1470" i="18" s="1"/>
  <c r="G1503" i="43"/>
  <c r="F1234" i="43"/>
  <c r="M1168" i="43"/>
  <c r="N1168" i="43" s="1"/>
  <c r="D1168" i="18" s="1"/>
  <c r="F1949" i="43"/>
  <c r="M1883" i="43"/>
  <c r="N1883" i="43" s="1"/>
  <c r="D1883" i="18" s="1"/>
  <c r="G1471" i="43"/>
  <c r="K1438" i="43"/>
  <c r="G991" i="43"/>
  <c r="K958" i="43"/>
  <c r="N958" i="43" s="1"/>
  <c r="D958" i="18" s="1"/>
  <c r="G1279" i="43"/>
  <c r="K1246" i="43"/>
  <c r="F974" i="43"/>
  <c r="M908" i="43"/>
  <c r="N908" i="43" s="1"/>
  <c r="D908" i="18" s="1"/>
  <c r="M1818" i="43"/>
  <c r="N1818" i="43" s="1"/>
  <c r="D1818" i="18" s="1"/>
  <c r="F1884" i="43"/>
  <c r="G1695" i="43"/>
  <c r="K1662" i="43"/>
  <c r="N1662" i="43" s="1"/>
  <c r="D1662" i="18" s="1"/>
  <c r="F1559" i="43"/>
  <c r="M1493" i="43"/>
  <c r="N1493" i="43" s="1"/>
  <c r="D1493" i="18" s="1"/>
  <c r="F714" i="43"/>
  <c r="M648" i="43"/>
  <c r="N648" i="43" s="1"/>
  <c r="D648" i="18" s="1"/>
  <c r="F1429" i="43"/>
  <c r="M1363" i="43"/>
  <c r="N1363" i="43" s="1"/>
  <c r="D1363" i="18" s="1"/>
  <c r="G1407" i="43"/>
  <c r="K1374" i="43"/>
  <c r="M1623" i="43"/>
  <c r="N1623" i="43" s="1"/>
  <c r="D1623" i="18" s="1"/>
  <c r="F1689" i="43"/>
  <c r="F909" i="43"/>
  <c r="M843" i="43"/>
  <c r="N843" i="43" s="1"/>
  <c r="D843" i="18" s="1"/>
  <c r="M453" i="43"/>
  <c r="N453" i="43" s="1"/>
  <c r="D453" i="18" s="1"/>
  <c r="F519" i="43"/>
  <c r="F2014" i="43"/>
  <c r="M1948" i="43"/>
  <c r="F1494" i="43"/>
  <c r="M1428" i="43"/>
  <c r="N1428" i="43" s="1"/>
  <c r="D1428" i="18" s="1"/>
  <c r="K1598" i="43"/>
  <c r="N1598" i="43" s="1"/>
  <c r="D1598" i="18" s="1"/>
  <c r="G1631" i="43"/>
  <c r="G1599" i="43"/>
  <c r="K1566" i="43"/>
  <c r="K1726" i="43"/>
  <c r="N1726" i="43" s="1"/>
  <c r="D1726" i="18" s="1"/>
  <c r="G1759" i="43"/>
  <c r="F649" i="43"/>
  <c r="M583" i="43"/>
  <c r="N583" i="43" s="1"/>
  <c r="D583" i="18" s="1"/>
  <c r="G1087" i="43"/>
  <c r="K1054" i="43"/>
  <c r="K1278" i="43"/>
  <c r="N1278" i="43" s="1"/>
  <c r="D1278" i="18" s="1"/>
  <c r="G1311" i="43"/>
  <c r="F1104" i="43"/>
  <c r="M1038" i="43"/>
  <c r="N1038" i="43" s="1"/>
  <c r="D1038" i="18" s="1"/>
  <c r="G1183" i="43"/>
  <c r="K1150" i="43"/>
  <c r="N1150" i="43" s="1"/>
  <c r="D1150" i="18" s="1"/>
  <c r="M1753" i="43"/>
  <c r="N1753" i="43" s="1"/>
  <c r="D1753" i="18" s="1"/>
  <c r="F1819" i="43"/>
  <c r="K1983" i="43"/>
  <c r="N1983" i="43" s="1"/>
  <c r="D1983" i="18" s="1"/>
  <c r="G2016" i="43"/>
  <c r="G1023" i="43"/>
  <c r="K990" i="43"/>
  <c r="K1182" i="43"/>
  <c r="G1215" i="43"/>
  <c r="G1375" i="43"/>
  <c r="K1342" i="43"/>
  <c r="N1342" i="43" s="1"/>
  <c r="D1342" i="18" s="1"/>
  <c r="M1558" i="43"/>
  <c r="N1558" i="43" s="1"/>
  <c r="D1558" i="18" s="1"/>
  <c r="F1624" i="43"/>
  <c r="F779" i="43"/>
  <c r="M713" i="43"/>
  <c r="N713" i="43" s="1"/>
  <c r="D713" i="18" s="1"/>
  <c r="M1298" i="43"/>
  <c r="N1298" i="43" s="1"/>
  <c r="D1298" i="18" s="1"/>
  <c r="F1364" i="43"/>
  <c r="K1822" i="43"/>
  <c r="G1855" i="43"/>
  <c r="G1439" i="43"/>
  <c r="K1406" i="43"/>
  <c r="N1406" i="43" s="1"/>
  <c r="D1406" i="18" s="1"/>
  <c r="K2048" i="43"/>
  <c r="N2048" i="43" s="1"/>
  <c r="D2048" i="18" s="1"/>
  <c r="G2081" i="43"/>
  <c r="F194" i="43"/>
  <c r="M128" i="43"/>
  <c r="N128" i="43" s="1"/>
  <c r="D128" i="18" s="1"/>
  <c r="M323" i="43"/>
  <c r="N323" i="43" s="1"/>
  <c r="D323" i="18" s="1"/>
  <c r="F389" i="43"/>
  <c r="G1535" i="43"/>
  <c r="K1502" i="43"/>
  <c r="M63" i="43"/>
  <c r="N63" i="43" s="1"/>
  <c r="D63" i="18" s="1"/>
  <c r="F129" i="43"/>
  <c r="F64" i="43"/>
  <c r="G1343" i="43"/>
  <c r="K1310" i="43"/>
  <c r="F1299" i="43"/>
  <c r="M1233" i="43"/>
  <c r="N1233" i="43" s="1"/>
  <c r="D1233" i="18" s="1"/>
  <c r="F584" i="43"/>
  <c r="M518" i="43"/>
  <c r="N518" i="43" s="1"/>
  <c r="D518" i="18" s="1"/>
  <c r="G1663" i="43"/>
  <c r="K1630" i="43"/>
  <c r="M1103" i="43"/>
  <c r="N1103" i="43" s="1"/>
  <c r="D1103" i="18" s="1"/>
  <c r="F1169" i="43"/>
  <c r="K1022" i="43"/>
  <c r="N1022" i="43" s="1"/>
  <c r="D1022" i="18" s="1"/>
  <c r="G1055" i="43"/>
  <c r="K1118" i="43"/>
  <c r="G1151" i="43"/>
  <c r="F844" i="43"/>
  <c r="M778" i="43"/>
  <c r="N778" i="43" s="1"/>
  <c r="D778" i="18" s="1"/>
  <c r="F1039" i="43"/>
  <c r="M973" i="43"/>
  <c r="N973" i="43" s="1"/>
  <c r="D973" i="18" s="1"/>
  <c r="K1534" i="43"/>
  <c r="N1534" i="43" s="1"/>
  <c r="D1534" i="18" s="1"/>
  <c r="G1567" i="43"/>
  <c r="M1688" i="43"/>
  <c r="N1688" i="43" s="1"/>
  <c r="D1688" i="18" s="1"/>
  <c r="F1754" i="43"/>
  <c r="F2144" i="43"/>
  <c r="M2144" i="43" s="1"/>
  <c r="M2078" i="43"/>
  <c r="M388" i="43"/>
  <c r="N388" i="43" s="1"/>
  <c r="D388" i="18" s="1"/>
  <c r="F454" i="43"/>
  <c r="G1919" i="43"/>
  <c r="K1886" i="43"/>
  <c r="G1823" i="43"/>
  <c r="K1790" i="43"/>
  <c r="N1790" i="43" s="1"/>
  <c r="D1790" i="18" s="1"/>
  <c r="F2079" i="43"/>
  <c r="M2013" i="43"/>
  <c r="M193" i="43"/>
  <c r="N193" i="43" s="1"/>
  <c r="D193" i="18" s="1"/>
  <c r="F259" i="43"/>
  <c r="K1758" i="43"/>
  <c r="G1791" i="43"/>
  <c r="G1247" i="43"/>
  <c r="K1214" i="43"/>
  <c r="N1214" i="43" s="1"/>
  <c r="D1214" i="18" s="1"/>
  <c r="K1918" i="43"/>
  <c r="N1918" i="43" s="1"/>
  <c r="D1918" i="18" s="1"/>
  <c r="G1951" i="43"/>
  <c r="K1854" i="43"/>
  <c r="N1854" i="43" s="1"/>
  <c r="D1854" i="18" s="1"/>
  <c r="G1887" i="43"/>
  <c r="G1119" i="43"/>
  <c r="K1086" i="43"/>
  <c r="N1086" i="43" s="1"/>
  <c r="D1086" i="18" s="1"/>
  <c r="G1727" i="43"/>
  <c r="K1694" i="43"/>
  <c r="G1984" i="43" l="1"/>
  <c r="K1951" i="43"/>
  <c r="M129" i="43"/>
  <c r="N129" i="43" s="1"/>
  <c r="D129" i="18" s="1"/>
  <c r="F195" i="43"/>
  <c r="G1408" i="43"/>
  <c r="K1375" i="43"/>
  <c r="F1625" i="43"/>
  <c r="M1559" i="43"/>
  <c r="N1559" i="43" s="1"/>
  <c r="D1559" i="18" s="1"/>
  <c r="G1248" i="43"/>
  <c r="K1215" i="43"/>
  <c r="N1215" i="43" s="1"/>
  <c r="D1215" i="18" s="1"/>
  <c r="G1600" i="43"/>
  <c r="K1567" i="43"/>
  <c r="K1695" i="43"/>
  <c r="G1728" i="43"/>
  <c r="K1247" i="43"/>
  <c r="G1280" i="43"/>
  <c r="K1535" i="43"/>
  <c r="N1535" i="43" s="1"/>
  <c r="D1535" i="18" s="1"/>
  <c r="G1568" i="43"/>
  <c r="K1599" i="43"/>
  <c r="N1599" i="43" s="1"/>
  <c r="D1599" i="18" s="1"/>
  <c r="G1632" i="43"/>
  <c r="K1791" i="43"/>
  <c r="N1791" i="43" s="1"/>
  <c r="D1791" i="18" s="1"/>
  <c r="G1824" i="43"/>
  <c r="F455" i="43"/>
  <c r="M389" i="43"/>
  <c r="N389" i="43" s="1"/>
  <c r="D389" i="18" s="1"/>
  <c r="K1023" i="43"/>
  <c r="N1023" i="43" s="1"/>
  <c r="D1023" i="18" s="1"/>
  <c r="G1056" i="43"/>
  <c r="G1664" i="43"/>
  <c r="K1631" i="43"/>
  <c r="F1950" i="43"/>
  <c r="M1884" i="43"/>
  <c r="N1884" i="43" s="1"/>
  <c r="D1884" i="18" s="1"/>
  <c r="G2049" i="43"/>
  <c r="K2016" i="43"/>
  <c r="M844" i="43"/>
  <c r="N844" i="43" s="1"/>
  <c r="D844" i="18" s="1"/>
  <c r="F910" i="43"/>
  <c r="M194" i="43"/>
  <c r="N194" i="43" s="1"/>
  <c r="D194" i="18" s="1"/>
  <c r="F260" i="43"/>
  <c r="F1885" i="43"/>
  <c r="M1819" i="43"/>
  <c r="N1819" i="43" s="1"/>
  <c r="D1819" i="18" s="1"/>
  <c r="M1494" i="43"/>
  <c r="N1494" i="43" s="1"/>
  <c r="D1494" i="18" s="1"/>
  <c r="F1560" i="43"/>
  <c r="M974" i="43"/>
  <c r="N974" i="43" s="1"/>
  <c r="D974" i="18" s="1"/>
  <c r="F1040" i="43"/>
  <c r="F2080" i="43"/>
  <c r="M2014" i="43"/>
  <c r="G1312" i="43"/>
  <c r="K1279" i="43"/>
  <c r="N1279" i="43" s="1"/>
  <c r="D1279" i="18" s="1"/>
  <c r="F1820" i="43"/>
  <c r="M1754" i="43"/>
  <c r="N1754" i="43" s="1"/>
  <c r="D1754" i="18" s="1"/>
  <c r="M259" i="43"/>
  <c r="N259" i="43" s="1"/>
  <c r="D259" i="18" s="1"/>
  <c r="F325" i="43"/>
  <c r="F585" i="43"/>
  <c r="M519" i="43"/>
  <c r="N519" i="43" s="1"/>
  <c r="D519" i="18" s="1"/>
  <c r="G2114" i="43"/>
  <c r="K2081" i="43"/>
  <c r="F2145" i="43"/>
  <c r="M2145" i="43" s="1"/>
  <c r="M2079" i="43"/>
  <c r="K1439" i="43"/>
  <c r="G1472" i="43"/>
  <c r="G1216" i="43"/>
  <c r="K1183" i="43"/>
  <c r="K991" i="43"/>
  <c r="G1024" i="43"/>
  <c r="G1184" i="43"/>
  <c r="K1151" i="43"/>
  <c r="N1151" i="43" s="1"/>
  <c r="D1151" i="18" s="1"/>
  <c r="F1235" i="43"/>
  <c r="M1169" i="43"/>
  <c r="N1169" i="43" s="1"/>
  <c r="D1169" i="18" s="1"/>
  <c r="G1888" i="43"/>
  <c r="K1855" i="43"/>
  <c r="N1855" i="43" s="1"/>
  <c r="D1855" i="18" s="1"/>
  <c r="G1504" i="43"/>
  <c r="K1471" i="43"/>
  <c r="N1471" i="43" s="1"/>
  <c r="D1471" i="18" s="1"/>
  <c r="G1088" i="43"/>
  <c r="K1055" i="43"/>
  <c r="F1170" i="43"/>
  <c r="M1104" i="43"/>
  <c r="N1104" i="43" s="1"/>
  <c r="D1104" i="18" s="1"/>
  <c r="M909" i="43"/>
  <c r="N909" i="43" s="1"/>
  <c r="D909" i="18" s="1"/>
  <c r="F975" i="43"/>
  <c r="G1344" i="43"/>
  <c r="K1311" i="43"/>
  <c r="F1755" i="43"/>
  <c r="M1689" i="43"/>
  <c r="N1689" i="43" s="1"/>
  <c r="D1689" i="18" s="1"/>
  <c r="K1823" i="43"/>
  <c r="G1856" i="43"/>
  <c r="K1663" i="43"/>
  <c r="N1663" i="43" s="1"/>
  <c r="D1663" i="18" s="1"/>
  <c r="G1696" i="43"/>
  <c r="F2015" i="43"/>
  <c r="M1949" i="43"/>
  <c r="N1949" i="43" s="1"/>
  <c r="D1949" i="18" s="1"/>
  <c r="F1105" i="43"/>
  <c r="M1039" i="43"/>
  <c r="N1039" i="43" s="1"/>
  <c r="D1039" i="18" s="1"/>
  <c r="F1430" i="43"/>
  <c r="M1364" i="43"/>
  <c r="N1364" i="43" s="1"/>
  <c r="D1364" i="18" s="1"/>
  <c r="G1952" i="43"/>
  <c r="K1919" i="43"/>
  <c r="N1919" i="43" s="1"/>
  <c r="D1919" i="18" s="1"/>
  <c r="F650" i="43"/>
  <c r="M584" i="43"/>
  <c r="N584" i="43" s="1"/>
  <c r="D584" i="18" s="1"/>
  <c r="K1087" i="43"/>
  <c r="N1087" i="43" s="1"/>
  <c r="D1087" i="18" s="1"/>
  <c r="G1120" i="43"/>
  <c r="G1440" i="43"/>
  <c r="K1407" i="43"/>
  <c r="N1407" i="43" s="1"/>
  <c r="D1407" i="18" s="1"/>
  <c r="M1234" i="43"/>
  <c r="N1234" i="43" s="1"/>
  <c r="D1234" i="18" s="1"/>
  <c r="F1300" i="43"/>
  <c r="K1727" i="43"/>
  <c r="N1727" i="43" s="1"/>
  <c r="D1727" i="18" s="1"/>
  <c r="G1760" i="43"/>
  <c r="F520" i="43"/>
  <c r="M454" i="43"/>
  <c r="N454" i="43" s="1"/>
  <c r="D454" i="18" s="1"/>
  <c r="G1536" i="43"/>
  <c r="K1503" i="43"/>
  <c r="F130" i="43"/>
  <c r="F65" i="43"/>
  <c r="M64" i="43"/>
  <c r="N64" i="43" s="1"/>
  <c r="D64" i="18" s="1"/>
  <c r="F1365" i="43"/>
  <c r="M1299" i="43"/>
  <c r="N1299" i="43" s="1"/>
  <c r="D1299" i="18" s="1"/>
  <c r="F1495" i="43"/>
  <c r="M1429" i="43"/>
  <c r="N1429" i="43" s="1"/>
  <c r="D1429" i="18" s="1"/>
  <c r="M779" i="43"/>
  <c r="N779" i="43" s="1"/>
  <c r="D779" i="18" s="1"/>
  <c r="F845" i="43"/>
  <c r="K1119" i="43"/>
  <c r="G1152" i="43"/>
  <c r="F1690" i="43"/>
  <c r="M1624" i="43"/>
  <c r="N1624" i="43" s="1"/>
  <c r="D1624" i="18" s="1"/>
  <c r="F715" i="43"/>
  <c r="M649" i="43"/>
  <c r="N649" i="43" s="1"/>
  <c r="D649" i="18" s="1"/>
  <c r="F390" i="43"/>
  <c r="M324" i="43"/>
  <c r="N324" i="43" s="1"/>
  <c r="D324" i="18" s="1"/>
  <c r="K1887" i="43"/>
  <c r="G1920" i="43"/>
  <c r="K1343" i="43"/>
  <c r="N1343" i="43" s="1"/>
  <c r="D1343" i="18" s="1"/>
  <c r="G1376" i="43"/>
  <c r="G1792" i="43"/>
  <c r="K1759" i="43"/>
  <c r="M714" i="43"/>
  <c r="N714" i="43" s="1"/>
  <c r="D714" i="18" s="1"/>
  <c r="F780" i="43"/>
  <c r="M1040" i="43" l="1"/>
  <c r="N1040" i="43" s="1"/>
  <c r="D1040" i="18" s="1"/>
  <c r="F1106" i="43"/>
  <c r="G1057" i="43"/>
  <c r="K1024" i="43"/>
  <c r="N1024" i="43" s="1"/>
  <c r="D1024" i="18" s="1"/>
  <c r="F1626" i="43"/>
  <c r="M1560" i="43"/>
  <c r="N1560" i="43" s="1"/>
  <c r="D1560" i="18" s="1"/>
  <c r="K1568" i="43"/>
  <c r="G1601" i="43"/>
  <c r="G1409" i="43"/>
  <c r="K1376" i="43"/>
  <c r="K1696" i="43"/>
  <c r="G1729" i="43"/>
  <c r="M1235" i="43"/>
  <c r="N1235" i="43" s="1"/>
  <c r="D1235" i="18" s="1"/>
  <c r="F1301" i="43"/>
  <c r="G1313" i="43"/>
  <c r="K1280" i="43"/>
  <c r="N1280" i="43" s="1"/>
  <c r="D1280" i="18" s="1"/>
  <c r="G1249" i="43"/>
  <c r="K1216" i="43"/>
  <c r="N1216" i="43" s="1"/>
  <c r="D1216" i="18" s="1"/>
  <c r="M1885" i="43"/>
  <c r="N1885" i="43" s="1"/>
  <c r="D1885" i="18" s="1"/>
  <c r="F1951" i="43"/>
  <c r="M1755" i="43"/>
  <c r="N1755" i="43" s="1"/>
  <c r="D1755" i="18" s="1"/>
  <c r="F1821" i="43"/>
  <c r="G1505" i="43"/>
  <c r="K1472" i="43"/>
  <c r="N1472" i="43" s="1"/>
  <c r="D1472" i="18" s="1"/>
  <c r="M260" i="43"/>
  <c r="N260" i="43" s="1"/>
  <c r="D260" i="18" s="1"/>
  <c r="F326" i="43"/>
  <c r="G1761" i="43"/>
  <c r="K1728" i="43"/>
  <c r="N1728" i="43" s="1"/>
  <c r="D1728" i="18" s="1"/>
  <c r="K1632" i="43"/>
  <c r="G1665" i="43"/>
  <c r="M715" i="43"/>
  <c r="N715" i="43" s="1"/>
  <c r="D715" i="18" s="1"/>
  <c r="F781" i="43"/>
  <c r="K1440" i="43"/>
  <c r="G1473" i="43"/>
  <c r="G1377" i="43"/>
  <c r="K1344" i="43"/>
  <c r="N1344" i="43" s="1"/>
  <c r="D1344" i="18" s="1"/>
  <c r="F976" i="43"/>
  <c r="M910" i="43"/>
  <c r="N910" i="43" s="1"/>
  <c r="D910" i="18" s="1"/>
  <c r="K1536" i="43"/>
  <c r="N1536" i="43" s="1"/>
  <c r="D1536" i="18" s="1"/>
  <c r="G1569" i="43"/>
  <c r="G1153" i="43"/>
  <c r="K1120" i="43"/>
  <c r="F1041" i="43"/>
  <c r="M975" i="43"/>
  <c r="N975" i="43" s="1"/>
  <c r="D975" i="18" s="1"/>
  <c r="G1889" i="43"/>
  <c r="K1856" i="43"/>
  <c r="N1856" i="43" s="1"/>
  <c r="D1856" i="18" s="1"/>
  <c r="K2114" i="43"/>
  <c r="N2114" i="43" s="1"/>
  <c r="D2114" i="18" s="1"/>
  <c r="G2147" i="43"/>
  <c r="K2147" i="43" s="1"/>
  <c r="K1792" i="43"/>
  <c r="N1792" i="43" s="1"/>
  <c r="D1792" i="18" s="1"/>
  <c r="G1825" i="43"/>
  <c r="K2049" i="43"/>
  <c r="N2049" i="43" s="1"/>
  <c r="D2049" i="18" s="1"/>
  <c r="G2082" i="43"/>
  <c r="G1633" i="43"/>
  <c r="K1600" i="43"/>
  <c r="N1600" i="43" s="1"/>
  <c r="D1600" i="18" s="1"/>
  <c r="M2015" i="43"/>
  <c r="N2015" i="43" s="1"/>
  <c r="D2015" i="18" s="1"/>
  <c r="F2081" i="43"/>
  <c r="F1236" i="43"/>
  <c r="M1170" i="43"/>
  <c r="N1170" i="43" s="1"/>
  <c r="D1170" i="18" s="1"/>
  <c r="M585" i="43"/>
  <c r="N585" i="43" s="1"/>
  <c r="D585" i="18" s="1"/>
  <c r="F651" i="43"/>
  <c r="M845" i="43"/>
  <c r="N845" i="43" s="1"/>
  <c r="D845" i="18" s="1"/>
  <c r="F911" i="43"/>
  <c r="K1952" i="43"/>
  <c r="G1985" i="43"/>
  <c r="F391" i="43"/>
  <c r="M325" i="43"/>
  <c r="N325" i="43" s="1"/>
  <c r="D325" i="18" s="1"/>
  <c r="F2016" i="43"/>
  <c r="M1950" i="43"/>
  <c r="N1950" i="43" s="1"/>
  <c r="D1950" i="18" s="1"/>
  <c r="G1281" i="43"/>
  <c r="K1248" i="43"/>
  <c r="G1793" i="43"/>
  <c r="K1760" i="43"/>
  <c r="K1152" i="43"/>
  <c r="N1152" i="43" s="1"/>
  <c r="D1152" i="18" s="1"/>
  <c r="G1185" i="43"/>
  <c r="K1664" i="43"/>
  <c r="N1664" i="43" s="1"/>
  <c r="D1664" i="18" s="1"/>
  <c r="G1697" i="43"/>
  <c r="F1691" i="43"/>
  <c r="M1625" i="43"/>
  <c r="N1625" i="43" s="1"/>
  <c r="D1625" i="18" s="1"/>
  <c r="G1217" i="43"/>
  <c r="K1184" i="43"/>
  <c r="M1495" i="43"/>
  <c r="N1495" i="43" s="1"/>
  <c r="D1495" i="18" s="1"/>
  <c r="F1561" i="43"/>
  <c r="K1504" i="43"/>
  <c r="G1537" i="43"/>
  <c r="M1820" i="43"/>
  <c r="N1820" i="43" s="1"/>
  <c r="D1820" i="18" s="1"/>
  <c r="F1886" i="43"/>
  <c r="K1056" i="43"/>
  <c r="G1089" i="43"/>
  <c r="K1408" i="43"/>
  <c r="N1408" i="43" s="1"/>
  <c r="D1408" i="18" s="1"/>
  <c r="G1441" i="43"/>
  <c r="F1366" i="43"/>
  <c r="M1300" i="43"/>
  <c r="N1300" i="43" s="1"/>
  <c r="D1300" i="18" s="1"/>
  <c r="M1365" i="43"/>
  <c r="N1365" i="43" s="1"/>
  <c r="D1365" i="18" s="1"/>
  <c r="F1431" i="43"/>
  <c r="M1430" i="43"/>
  <c r="N1430" i="43" s="1"/>
  <c r="D1430" i="18" s="1"/>
  <c r="F1496" i="43"/>
  <c r="K1312" i="43"/>
  <c r="G1345" i="43"/>
  <c r="F261" i="43"/>
  <c r="M195" i="43"/>
  <c r="N195" i="43" s="1"/>
  <c r="D195" i="18" s="1"/>
  <c r="F586" i="43"/>
  <c r="M520" i="43"/>
  <c r="N520" i="43" s="1"/>
  <c r="D520" i="18" s="1"/>
  <c r="F1756" i="43"/>
  <c r="M1690" i="43"/>
  <c r="N1690" i="43" s="1"/>
  <c r="D1690" i="18" s="1"/>
  <c r="F521" i="43"/>
  <c r="M455" i="43"/>
  <c r="N455" i="43" s="1"/>
  <c r="D455" i="18" s="1"/>
  <c r="F846" i="43"/>
  <c r="M780" i="43"/>
  <c r="N780" i="43" s="1"/>
  <c r="D780" i="18" s="1"/>
  <c r="F131" i="43"/>
  <c r="F66" i="43"/>
  <c r="M65" i="43"/>
  <c r="N65" i="43" s="1"/>
  <c r="D65" i="18" s="1"/>
  <c r="G1921" i="43"/>
  <c r="K1888" i="43"/>
  <c r="M2080" i="43"/>
  <c r="F2146" i="43"/>
  <c r="M2146" i="43" s="1"/>
  <c r="G1857" i="43"/>
  <c r="K1824" i="43"/>
  <c r="G1953" i="43"/>
  <c r="K1920" i="43"/>
  <c r="N1920" i="43" s="1"/>
  <c r="D1920" i="18" s="1"/>
  <c r="F456" i="43"/>
  <c r="M390" i="43"/>
  <c r="N390" i="43" s="1"/>
  <c r="D390" i="18" s="1"/>
  <c r="M650" i="43"/>
  <c r="N650" i="43" s="1"/>
  <c r="D650" i="18" s="1"/>
  <c r="F716" i="43"/>
  <c r="K1088" i="43"/>
  <c r="N1088" i="43" s="1"/>
  <c r="D1088" i="18" s="1"/>
  <c r="G1121" i="43"/>
  <c r="M130" i="43"/>
  <c r="N130" i="43" s="1"/>
  <c r="D130" i="18" s="1"/>
  <c r="F196" i="43"/>
  <c r="F1171" i="43"/>
  <c r="M1105" i="43"/>
  <c r="N1105" i="43" s="1"/>
  <c r="D1105" i="18" s="1"/>
  <c r="G2017" i="43"/>
  <c r="K1984" i="43"/>
  <c r="N1984" i="43" s="1"/>
  <c r="D1984" i="18" s="1"/>
  <c r="G1186" i="43" l="1"/>
  <c r="K1153" i="43"/>
  <c r="N1153" i="43" s="1"/>
  <c r="D1153" i="18" s="1"/>
  <c r="M651" i="43"/>
  <c r="N651" i="43" s="1"/>
  <c r="D651" i="18" s="1"/>
  <c r="F717" i="43"/>
  <c r="K1569" i="43"/>
  <c r="G1602" i="43"/>
  <c r="F2017" i="43"/>
  <c r="M1951" i="43"/>
  <c r="N1951" i="43" s="1"/>
  <c r="D1951" i="18" s="1"/>
  <c r="F327" i="43"/>
  <c r="M261" i="43"/>
  <c r="N261" i="43" s="1"/>
  <c r="D261" i="18" s="1"/>
  <c r="F1757" i="43"/>
  <c r="M1691" i="43"/>
  <c r="N1691" i="43" s="1"/>
  <c r="D1691" i="18" s="1"/>
  <c r="F1302" i="43"/>
  <c r="M1236" i="43"/>
  <c r="N1236" i="43" s="1"/>
  <c r="D1236" i="18" s="1"/>
  <c r="M976" i="43"/>
  <c r="N976" i="43" s="1"/>
  <c r="D976" i="18" s="1"/>
  <c r="F1042" i="43"/>
  <c r="G1378" i="43"/>
  <c r="K1345" i="43"/>
  <c r="N1345" i="43" s="1"/>
  <c r="D1345" i="18" s="1"/>
  <c r="K1697" i="43"/>
  <c r="G1730" i="43"/>
  <c r="F2147" i="43"/>
  <c r="M2147" i="43" s="1"/>
  <c r="N2147" i="43" s="1"/>
  <c r="D2147" i="18" s="1"/>
  <c r="M2081" i="43"/>
  <c r="N2081" i="43" s="1"/>
  <c r="D2081" i="18" s="1"/>
  <c r="G1282" i="43"/>
  <c r="K1249" i="43"/>
  <c r="M1756" i="43"/>
  <c r="N1756" i="43" s="1"/>
  <c r="D1756" i="18" s="1"/>
  <c r="F1822" i="43"/>
  <c r="K1377" i="43"/>
  <c r="G1410" i="43"/>
  <c r="F1562" i="43"/>
  <c r="M1496" i="43"/>
  <c r="N1496" i="43" s="1"/>
  <c r="D1496" i="18" s="1"/>
  <c r="K1473" i="43"/>
  <c r="N1473" i="43" s="1"/>
  <c r="D1473" i="18" s="1"/>
  <c r="G1506" i="43"/>
  <c r="G1346" i="43"/>
  <c r="K1313" i="43"/>
  <c r="K1953" i="43"/>
  <c r="G1986" i="43"/>
  <c r="G1218" i="43"/>
  <c r="K1185" i="43"/>
  <c r="K1633" i="43"/>
  <c r="G1666" i="43"/>
  <c r="F1497" i="43"/>
  <c r="M1431" i="43"/>
  <c r="N1431" i="43" s="1"/>
  <c r="D1431" i="18" s="1"/>
  <c r="K2082" i="43"/>
  <c r="G2115" i="43"/>
  <c r="F847" i="43"/>
  <c r="M781" i="43"/>
  <c r="N781" i="43" s="1"/>
  <c r="D781" i="18" s="1"/>
  <c r="M1301" i="43"/>
  <c r="N1301" i="43" s="1"/>
  <c r="D1301" i="18" s="1"/>
  <c r="F1367" i="43"/>
  <c r="G1250" i="43"/>
  <c r="K1217" i="43"/>
  <c r="N1217" i="43" s="1"/>
  <c r="D1217" i="18" s="1"/>
  <c r="M456" i="43"/>
  <c r="N456" i="43" s="1"/>
  <c r="D456" i="18" s="1"/>
  <c r="F522" i="43"/>
  <c r="K1857" i="43"/>
  <c r="N1857" i="43" s="1"/>
  <c r="D1857" i="18" s="1"/>
  <c r="G1890" i="43"/>
  <c r="G1858" i="43"/>
  <c r="K1825" i="43"/>
  <c r="K1121" i="43"/>
  <c r="G1154" i="43"/>
  <c r="F1432" i="43"/>
  <c r="M1366" i="43"/>
  <c r="N1366" i="43" s="1"/>
  <c r="D1366" i="18" s="1"/>
  <c r="G1762" i="43"/>
  <c r="K1729" i="43"/>
  <c r="N1729" i="43" s="1"/>
  <c r="D1729" i="18" s="1"/>
  <c r="G1826" i="43"/>
  <c r="K1793" i="43"/>
  <c r="N1793" i="43" s="1"/>
  <c r="D1793" i="18" s="1"/>
  <c r="G1698" i="43"/>
  <c r="K1665" i="43"/>
  <c r="N1665" i="43" s="1"/>
  <c r="D1665" i="18" s="1"/>
  <c r="G1474" i="43"/>
  <c r="K1441" i="43"/>
  <c r="K1921" i="43"/>
  <c r="N1921" i="43" s="1"/>
  <c r="D1921" i="18" s="1"/>
  <c r="G1954" i="43"/>
  <c r="K1281" i="43"/>
  <c r="N1281" i="43" s="1"/>
  <c r="D1281" i="18" s="1"/>
  <c r="G1314" i="43"/>
  <c r="K1409" i="43"/>
  <c r="N1409" i="43" s="1"/>
  <c r="D1409" i="18" s="1"/>
  <c r="G1442" i="43"/>
  <c r="G1634" i="43"/>
  <c r="K1601" i="43"/>
  <c r="N1601" i="43" s="1"/>
  <c r="D1601" i="18" s="1"/>
  <c r="F67" i="43"/>
  <c r="M66" i="43"/>
  <c r="N66" i="43" s="1"/>
  <c r="D66" i="18" s="1"/>
  <c r="F132" i="43"/>
  <c r="G1122" i="43"/>
  <c r="K1089" i="43"/>
  <c r="N1089" i="43" s="1"/>
  <c r="D1089" i="18" s="1"/>
  <c r="F2082" i="43"/>
  <c r="M2016" i="43"/>
  <c r="N2016" i="43" s="1"/>
  <c r="D2016" i="18" s="1"/>
  <c r="F197" i="43"/>
  <c r="M131" i="43"/>
  <c r="N131" i="43" s="1"/>
  <c r="D131" i="18" s="1"/>
  <c r="K1761" i="43"/>
  <c r="G1794" i="43"/>
  <c r="F1952" i="43"/>
  <c r="M1886" i="43"/>
  <c r="N1886" i="43" s="1"/>
  <c r="D1886" i="18" s="1"/>
  <c r="F457" i="43"/>
  <c r="M391" i="43"/>
  <c r="N391" i="43" s="1"/>
  <c r="D391" i="18" s="1"/>
  <c r="G1922" i="43"/>
  <c r="K1889" i="43"/>
  <c r="F392" i="43"/>
  <c r="M326" i="43"/>
  <c r="N326" i="43" s="1"/>
  <c r="D326" i="18" s="1"/>
  <c r="F1692" i="43"/>
  <c r="M1626" i="43"/>
  <c r="N1626" i="43" s="1"/>
  <c r="D1626" i="18" s="1"/>
  <c r="F652" i="43"/>
  <c r="M586" i="43"/>
  <c r="N586" i="43" s="1"/>
  <c r="D586" i="18" s="1"/>
  <c r="K2017" i="43"/>
  <c r="G2050" i="43"/>
  <c r="G1570" i="43"/>
  <c r="K1537" i="43"/>
  <c r="N1537" i="43" s="1"/>
  <c r="D1537" i="18" s="1"/>
  <c r="G2018" i="43"/>
  <c r="K1985" i="43"/>
  <c r="N1985" i="43" s="1"/>
  <c r="D1985" i="18" s="1"/>
  <c r="K1057" i="43"/>
  <c r="G1090" i="43"/>
  <c r="F782" i="43"/>
  <c r="M716" i="43"/>
  <c r="N716" i="43" s="1"/>
  <c r="D716" i="18" s="1"/>
  <c r="F1237" i="43"/>
  <c r="M1171" i="43"/>
  <c r="N1171" i="43" s="1"/>
  <c r="D1171" i="18" s="1"/>
  <c r="F587" i="43"/>
  <c r="M521" i="43"/>
  <c r="N521" i="43" s="1"/>
  <c r="D521" i="18" s="1"/>
  <c r="M1041" i="43"/>
  <c r="N1041" i="43" s="1"/>
  <c r="D1041" i="18" s="1"/>
  <c r="F1107" i="43"/>
  <c r="K1505" i="43"/>
  <c r="G1538" i="43"/>
  <c r="F1172" i="43"/>
  <c r="M1106" i="43"/>
  <c r="N1106" i="43" s="1"/>
  <c r="D1106" i="18" s="1"/>
  <c r="F912" i="43"/>
  <c r="M846" i="43"/>
  <c r="N846" i="43" s="1"/>
  <c r="D846" i="18" s="1"/>
  <c r="F262" i="43"/>
  <c r="M196" i="43"/>
  <c r="N196" i="43" s="1"/>
  <c r="D196" i="18" s="1"/>
  <c r="F1627" i="43"/>
  <c r="M1561" i="43"/>
  <c r="N1561" i="43" s="1"/>
  <c r="D1561" i="18" s="1"/>
  <c r="F977" i="43"/>
  <c r="M911" i="43"/>
  <c r="N911" i="43" s="1"/>
  <c r="D911" i="18" s="1"/>
  <c r="M1821" i="43"/>
  <c r="N1821" i="43" s="1"/>
  <c r="D1821" i="18" s="1"/>
  <c r="F1887" i="43"/>
  <c r="K1090" i="43" l="1"/>
  <c r="N1090" i="43" s="1"/>
  <c r="D1090" i="18" s="1"/>
  <c r="G1123" i="43"/>
  <c r="M197" i="43"/>
  <c r="N197" i="43" s="1"/>
  <c r="D197" i="18" s="1"/>
  <c r="F263" i="43"/>
  <c r="F913" i="43"/>
  <c r="M847" i="43"/>
  <c r="N847" i="43" s="1"/>
  <c r="D847" i="18" s="1"/>
  <c r="G1315" i="43"/>
  <c r="K1282" i="43"/>
  <c r="N1282" i="43" s="1"/>
  <c r="D1282" i="18" s="1"/>
  <c r="G2148" i="43"/>
  <c r="K2148" i="43" s="1"/>
  <c r="K2115" i="43"/>
  <c r="N2115" i="43" s="1"/>
  <c r="D2115" i="18" s="1"/>
  <c r="M977" i="43"/>
  <c r="N977" i="43" s="1"/>
  <c r="D977" i="18" s="1"/>
  <c r="F1043" i="43"/>
  <c r="K2018" i="43"/>
  <c r="G2051" i="43"/>
  <c r="F2148" i="43"/>
  <c r="M2148" i="43" s="1"/>
  <c r="M2082" i="43"/>
  <c r="N2082" i="43" s="1"/>
  <c r="D2082" i="18" s="1"/>
  <c r="G1731" i="43"/>
  <c r="K1698" i="43"/>
  <c r="G1763" i="43"/>
  <c r="K1730" i="43"/>
  <c r="N1730" i="43" s="1"/>
  <c r="D1730" i="18" s="1"/>
  <c r="M1497" i="43"/>
  <c r="N1497" i="43" s="1"/>
  <c r="D1497" i="18" s="1"/>
  <c r="F1563" i="43"/>
  <c r="M1627" i="43"/>
  <c r="N1627" i="43" s="1"/>
  <c r="D1627" i="18" s="1"/>
  <c r="F1693" i="43"/>
  <c r="G1603" i="43"/>
  <c r="K1570" i="43"/>
  <c r="K1122" i="43"/>
  <c r="G1155" i="43"/>
  <c r="K1826" i="43"/>
  <c r="G1859" i="43"/>
  <c r="G2083" i="43"/>
  <c r="K2050" i="43"/>
  <c r="N2050" i="43" s="1"/>
  <c r="D2050" i="18" s="1"/>
  <c r="F198" i="43"/>
  <c r="M132" i="43"/>
  <c r="N132" i="43" s="1"/>
  <c r="D132" i="18" s="1"/>
  <c r="K1666" i="43"/>
  <c r="N1666" i="43" s="1"/>
  <c r="D1666" i="18" s="1"/>
  <c r="G1699" i="43"/>
  <c r="K1378" i="43"/>
  <c r="G1411" i="43"/>
  <c r="F328" i="43"/>
  <c r="M262" i="43"/>
  <c r="N262" i="43" s="1"/>
  <c r="D262" i="18" s="1"/>
  <c r="G1795" i="43"/>
  <c r="K1762" i="43"/>
  <c r="F1108" i="43"/>
  <c r="M1042" i="43"/>
  <c r="N1042" i="43" s="1"/>
  <c r="D1042" i="18" s="1"/>
  <c r="M67" i="43"/>
  <c r="N67" i="43" s="1"/>
  <c r="D67" i="18" s="1"/>
  <c r="F133" i="43"/>
  <c r="F1498" i="43"/>
  <c r="M1432" i="43"/>
  <c r="N1432" i="43" s="1"/>
  <c r="D1432" i="18" s="1"/>
  <c r="G1251" i="43"/>
  <c r="K1218" i="43"/>
  <c r="N1218" i="43" s="1"/>
  <c r="D1218" i="18" s="1"/>
  <c r="G1667" i="43"/>
  <c r="K1634" i="43"/>
  <c r="G1187" i="43"/>
  <c r="K1154" i="43"/>
  <c r="N1154" i="43" s="1"/>
  <c r="D1154" i="18" s="1"/>
  <c r="K1986" i="43"/>
  <c r="N1986" i="43" s="1"/>
  <c r="D1986" i="18" s="1"/>
  <c r="G2019" i="43"/>
  <c r="M1302" i="43"/>
  <c r="N1302" i="43" s="1"/>
  <c r="D1302" i="18" s="1"/>
  <c r="F1368" i="43"/>
  <c r="F1238" i="43"/>
  <c r="M1172" i="43"/>
  <c r="N1172" i="43" s="1"/>
  <c r="D1172" i="18" s="1"/>
  <c r="F1758" i="43"/>
  <c r="M1692" i="43"/>
  <c r="N1692" i="43" s="1"/>
  <c r="D1692" i="18" s="1"/>
  <c r="K1442" i="43"/>
  <c r="G1475" i="43"/>
  <c r="F1823" i="43"/>
  <c r="M1757" i="43"/>
  <c r="N1757" i="43" s="1"/>
  <c r="D1757" i="18" s="1"/>
  <c r="F458" i="43"/>
  <c r="M392" i="43"/>
  <c r="N392" i="43" s="1"/>
  <c r="D392" i="18" s="1"/>
  <c r="G1891" i="43"/>
  <c r="K1858" i="43"/>
  <c r="N1858" i="43" s="1"/>
  <c r="D1858" i="18" s="1"/>
  <c r="F1173" i="43"/>
  <c r="M1107" i="43"/>
  <c r="N1107" i="43" s="1"/>
  <c r="D1107" i="18" s="1"/>
  <c r="G1347" i="43"/>
  <c r="K1314" i="43"/>
  <c r="G1923" i="43"/>
  <c r="K1890" i="43"/>
  <c r="K1346" i="43"/>
  <c r="N1346" i="43" s="1"/>
  <c r="D1346" i="18" s="1"/>
  <c r="G1379" i="43"/>
  <c r="M327" i="43"/>
  <c r="N327" i="43" s="1"/>
  <c r="D327" i="18" s="1"/>
  <c r="F393" i="43"/>
  <c r="G1539" i="43"/>
  <c r="K1506" i="43"/>
  <c r="F718" i="43"/>
  <c r="M652" i="43"/>
  <c r="N652" i="43" s="1"/>
  <c r="D652" i="18" s="1"/>
  <c r="G1987" i="43"/>
  <c r="K1954" i="43"/>
  <c r="F2083" i="43"/>
  <c r="M2017" i="43"/>
  <c r="N2017" i="43" s="1"/>
  <c r="D2017" i="18" s="1"/>
  <c r="F588" i="43"/>
  <c r="M522" i="43"/>
  <c r="N522" i="43" s="1"/>
  <c r="D522" i="18" s="1"/>
  <c r="K1602" i="43"/>
  <c r="N1602" i="43" s="1"/>
  <c r="D1602" i="18" s="1"/>
  <c r="G1635" i="43"/>
  <c r="F978" i="43"/>
  <c r="M912" i="43"/>
  <c r="N912" i="43" s="1"/>
  <c r="D912" i="18" s="1"/>
  <c r="F1628" i="43"/>
  <c r="M1562" i="43"/>
  <c r="N1562" i="43" s="1"/>
  <c r="D1562" i="18" s="1"/>
  <c r="F653" i="43"/>
  <c r="M587" i="43"/>
  <c r="N587" i="43" s="1"/>
  <c r="D587" i="18" s="1"/>
  <c r="G1443" i="43"/>
  <c r="K1410" i="43"/>
  <c r="N1410" i="43" s="1"/>
  <c r="D1410" i="18" s="1"/>
  <c r="M717" i="43"/>
  <c r="N717" i="43" s="1"/>
  <c r="D717" i="18" s="1"/>
  <c r="F783" i="43"/>
  <c r="G1827" i="43"/>
  <c r="K1794" i="43"/>
  <c r="N1794" i="43" s="1"/>
  <c r="D1794" i="18" s="1"/>
  <c r="K1250" i="43"/>
  <c r="G1283" i="43"/>
  <c r="F2018" i="43"/>
  <c r="M1952" i="43"/>
  <c r="N1952" i="43" s="1"/>
  <c r="D1952" i="18" s="1"/>
  <c r="F1303" i="43"/>
  <c r="M1237" i="43"/>
  <c r="N1237" i="43" s="1"/>
  <c r="D1237" i="18" s="1"/>
  <c r="F1433" i="43"/>
  <c r="M1367" i="43"/>
  <c r="N1367" i="43" s="1"/>
  <c r="D1367" i="18" s="1"/>
  <c r="F1888" i="43"/>
  <c r="M1822" i="43"/>
  <c r="N1822" i="43" s="1"/>
  <c r="D1822" i="18" s="1"/>
  <c r="K1474" i="43"/>
  <c r="N1474" i="43" s="1"/>
  <c r="D1474" i="18" s="1"/>
  <c r="G1507" i="43"/>
  <c r="K1538" i="43"/>
  <c r="N1538" i="43" s="1"/>
  <c r="D1538" i="18" s="1"/>
  <c r="G1571" i="43"/>
  <c r="K1922" i="43"/>
  <c r="N1922" i="43" s="1"/>
  <c r="D1922" i="18" s="1"/>
  <c r="G1955" i="43"/>
  <c r="M457" i="43"/>
  <c r="N457" i="43" s="1"/>
  <c r="D457" i="18" s="1"/>
  <c r="F523" i="43"/>
  <c r="F1953" i="43"/>
  <c r="M1887" i="43"/>
  <c r="N1887" i="43" s="1"/>
  <c r="D1887" i="18" s="1"/>
  <c r="F848" i="43"/>
  <c r="M782" i="43"/>
  <c r="N782" i="43" s="1"/>
  <c r="D782" i="18" s="1"/>
  <c r="G1219" i="43"/>
  <c r="K1186" i="43"/>
  <c r="G1572" i="43" l="1"/>
  <c r="K1539" i="43"/>
  <c r="N1539" i="43" s="1"/>
  <c r="D1539" i="18" s="1"/>
  <c r="G1508" i="43"/>
  <c r="K1475" i="43"/>
  <c r="N1475" i="43" s="1"/>
  <c r="D1475" i="18" s="1"/>
  <c r="K1795" i="43"/>
  <c r="N1795" i="43" s="1"/>
  <c r="D1795" i="18" s="1"/>
  <c r="G1828" i="43"/>
  <c r="G1796" i="43"/>
  <c r="K1763" i="43"/>
  <c r="F459" i="43"/>
  <c r="M393" i="43"/>
  <c r="N393" i="43" s="1"/>
  <c r="D393" i="18" s="1"/>
  <c r="K1731" i="43"/>
  <c r="N1731" i="43" s="1"/>
  <c r="D1731" i="18" s="1"/>
  <c r="G1764" i="43"/>
  <c r="F1629" i="43"/>
  <c r="M1563" i="43"/>
  <c r="N1563" i="43" s="1"/>
  <c r="D1563" i="18" s="1"/>
  <c r="G1412" i="43"/>
  <c r="K1379" i="43"/>
  <c r="F1824" i="43"/>
  <c r="M1758" i="43"/>
  <c r="N1758" i="43" s="1"/>
  <c r="D1758" i="18" s="1"/>
  <c r="F394" i="43"/>
  <c r="M328" i="43"/>
  <c r="N328" i="43" s="1"/>
  <c r="D328" i="18" s="1"/>
  <c r="K1411" i="43"/>
  <c r="N1411" i="43" s="1"/>
  <c r="D1411" i="18" s="1"/>
  <c r="G1444" i="43"/>
  <c r="F1174" i="43"/>
  <c r="M1108" i="43"/>
  <c r="N1108" i="43" s="1"/>
  <c r="D1108" i="18" s="1"/>
  <c r="K1955" i="43"/>
  <c r="G1988" i="43"/>
  <c r="K1443" i="43"/>
  <c r="G1476" i="43"/>
  <c r="F1304" i="43"/>
  <c r="M1238" i="43"/>
  <c r="N1238" i="43" s="1"/>
  <c r="D1238" i="18" s="1"/>
  <c r="K2051" i="43"/>
  <c r="N2051" i="43" s="1"/>
  <c r="D2051" i="18" s="1"/>
  <c r="G2084" i="43"/>
  <c r="G1956" i="43"/>
  <c r="K1923" i="43"/>
  <c r="N1923" i="43" s="1"/>
  <c r="D1923" i="18" s="1"/>
  <c r="M1368" i="43"/>
  <c r="N1368" i="43" s="1"/>
  <c r="D1368" i="18" s="1"/>
  <c r="F1434" i="43"/>
  <c r="G1732" i="43"/>
  <c r="K1699" i="43"/>
  <c r="F1109" i="43"/>
  <c r="M1043" i="43"/>
  <c r="N1043" i="43" s="1"/>
  <c r="D1043" i="18" s="1"/>
  <c r="G1316" i="43"/>
  <c r="K1283" i="43"/>
  <c r="N1283" i="43" s="1"/>
  <c r="D1283" i="18" s="1"/>
  <c r="F264" i="43"/>
  <c r="M198" i="43"/>
  <c r="N198" i="43" s="1"/>
  <c r="D198" i="18" s="1"/>
  <c r="F589" i="43"/>
  <c r="M523" i="43"/>
  <c r="N523" i="43" s="1"/>
  <c r="D523" i="18" s="1"/>
  <c r="F1239" i="43"/>
  <c r="M1173" i="43"/>
  <c r="N1173" i="43" s="1"/>
  <c r="D1173" i="18" s="1"/>
  <c r="K1187" i="43"/>
  <c r="G1220" i="43"/>
  <c r="K2083" i="43"/>
  <c r="G2116" i="43"/>
  <c r="N2148" i="43"/>
  <c r="D2148" i="18" s="1"/>
  <c r="G1252" i="43"/>
  <c r="K1219" i="43"/>
  <c r="N1219" i="43" s="1"/>
  <c r="D1219" i="18" s="1"/>
  <c r="G1860" i="43"/>
  <c r="K1827" i="43"/>
  <c r="M1888" i="43"/>
  <c r="N1888" i="43" s="1"/>
  <c r="D1888" i="18" s="1"/>
  <c r="F1954" i="43"/>
  <c r="F1044" i="43"/>
  <c r="M978" i="43"/>
  <c r="N978" i="43" s="1"/>
  <c r="D978" i="18" s="1"/>
  <c r="G1892" i="43"/>
  <c r="K1859" i="43"/>
  <c r="N1859" i="43" s="1"/>
  <c r="D1859" i="18" s="1"/>
  <c r="M653" i="43"/>
  <c r="N653" i="43" s="1"/>
  <c r="D653" i="18" s="1"/>
  <c r="F719" i="43"/>
  <c r="K1667" i="43"/>
  <c r="N1667" i="43" s="1"/>
  <c r="D1667" i="18" s="1"/>
  <c r="G1700" i="43"/>
  <c r="K1891" i="43"/>
  <c r="G1924" i="43"/>
  <c r="G1188" i="43"/>
  <c r="K1155" i="43"/>
  <c r="N1155" i="43" s="1"/>
  <c r="D1155" i="18" s="1"/>
  <c r="K1315" i="43"/>
  <c r="G1348" i="43"/>
  <c r="K1347" i="43"/>
  <c r="N1347" i="43" s="1"/>
  <c r="D1347" i="18" s="1"/>
  <c r="G1380" i="43"/>
  <c r="K1251" i="43"/>
  <c r="G1284" i="43"/>
  <c r="G2052" i="43"/>
  <c r="K2019" i="43"/>
  <c r="K1507" i="43"/>
  <c r="G1540" i="43"/>
  <c r="M588" i="43"/>
  <c r="N588" i="43" s="1"/>
  <c r="D588" i="18" s="1"/>
  <c r="F654" i="43"/>
  <c r="F524" i="43"/>
  <c r="M458" i="43"/>
  <c r="N458" i="43" s="1"/>
  <c r="D458" i="18" s="1"/>
  <c r="M913" i="43"/>
  <c r="N913" i="43" s="1"/>
  <c r="D913" i="18" s="1"/>
  <c r="F979" i="43"/>
  <c r="M1498" i="43"/>
  <c r="N1498" i="43" s="1"/>
  <c r="D1498" i="18" s="1"/>
  <c r="F1564" i="43"/>
  <c r="G1636" i="43"/>
  <c r="K1603" i="43"/>
  <c r="N1603" i="43" s="1"/>
  <c r="D1603" i="18" s="1"/>
  <c r="M263" i="43"/>
  <c r="N263" i="43" s="1"/>
  <c r="D263" i="18" s="1"/>
  <c r="F329" i="43"/>
  <c r="M718" i="43"/>
  <c r="N718" i="43" s="1"/>
  <c r="D718" i="18" s="1"/>
  <c r="F784" i="43"/>
  <c r="F914" i="43"/>
  <c r="M848" i="43"/>
  <c r="N848" i="43" s="1"/>
  <c r="D848" i="18" s="1"/>
  <c r="M1953" i="43"/>
  <c r="N1953" i="43" s="1"/>
  <c r="D1953" i="18" s="1"/>
  <c r="F2019" i="43"/>
  <c r="G1604" i="43"/>
  <c r="K1571" i="43"/>
  <c r="F1694" i="43"/>
  <c r="M1628" i="43"/>
  <c r="N1628" i="43" s="1"/>
  <c r="D1628" i="18" s="1"/>
  <c r="G1668" i="43"/>
  <c r="K1635" i="43"/>
  <c r="F1369" i="43"/>
  <c r="M1303" i="43"/>
  <c r="N1303" i="43" s="1"/>
  <c r="D1303" i="18" s="1"/>
  <c r="F2149" i="43"/>
  <c r="M2149" i="43" s="1"/>
  <c r="M2083" i="43"/>
  <c r="F199" i="43"/>
  <c r="M133" i="43"/>
  <c r="N133" i="43" s="1"/>
  <c r="D133" i="18" s="1"/>
  <c r="F1759" i="43"/>
  <c r="M1693" i="43"/>
  <c r="N1693" i="43" s="1"/>
  <c r="D1693" i="18" s="1"/>
  <c r="F1889" i="43"/>
  <c r="M1823" i="43"/>
  <c r="N1823" i="43" s="1"/>
  <c r="D1823" i="18" s="1"/>
  <c r="G1156" i="43"/>
  <c r="K1123" i="43"/>
  <c r="F849" i="43"/>
  <c r="M783" i="43"/>
  <c r="N783" i="43" s="1"/>
  <c r="D783" i="18" s="1"/>
  <c r="M1433" i="43"/>
  <c r="N1433" i="43" s="1"/>
  <c r="D1433" i="18" s="1"/>
  <c r="F1499" i="43"/>
  <c r="M2018" i="43"/>
  <c r="N2018" i="43" s="1"/>
  <c r="D2018" i="18" s="1"/>
  <c r="F2084" i="43"/>
  <c r="K1987" i="43"/>
  <c r="N1987" i="43" s="1"/>
  <c r="D1987" i="18" s="1"/>
  <c r="G2020" i="43"/>
  <c r="F785" i="43" l="1"/>
  <c r="M719" i="43"/>
  <c r="N719" i="43" s="1"/>
  <c r="D719" i="18" s="1"/>
  <c r="M264" i="43"/>
  <c r="N264" i="43" s="1"/>
  <c r="D264" i="18" s="1"/>
  <c r="F330" i="43"/>
  <c r="G1477" i="43"/>
  <c r="K1444" i="43"/>
  <c r="M394" i="43"/>
  <c r="N394" i="43" s="1"/>
  <c r="D394" i="18" s="1"/>
  <c r="F460" i="43"/>
  <c r="M1369" i="43"/>
  <c r="N1369" i="43" s="1"/>
  <c r="D1369" i="18" s="1"/>
  <c r="F1435" i="43"/>
  <c r="M1824" i="43"/>
  <c r="N1824" i="43" s="1"/>
  <c r="D1824" i="18" s="1"/>
  <c r="F1890" i="43"/>
  <c r="M1694" i="43"/>
  <c r="N1694" i="43" s="1"/>
  <c r="D1694" i="18" s="1"/>
  <c r="F1760" i="43"/>
  <c r="F1110" i="43"/>
  <c r="M1044" i="43"/>
  <c r="N1044" i="43" s="1"/>
  <c r="D1044" i="18" s="1"/>
  <c r="F2150" i="43"/>
  <c r="M2150" i="43" s="1"/>
  <c r="M2084" i="43"/>
  <c r="G1637" i="43"/>
  <c r="K1604" i="43"/>
  <c r="N1604" i="43" s="1"/>
  <c r="D1604" i="18" s="1"/>
  <c r="K2052" i="43"/>
  <c r="N2052" i="43" s="1"/>
  <c r="D2052" i="18" s="1"/>
  <c r="G2085" i="43"/>
  <c r="M1954" i="43"/>
  <c r="N1954" i="43" s="1"/>
  <c r="D1954" i="18" s="1"/>
  <c r="F2020" i="43"/>
  <c r="G1765" i="43"/>
  <c r="K1732" i="43"/>
  <c r="N1732" i="43" s="1"/>
  <c r="D1732" i="18" s="1"/>
  <c r="K1412" i="43"/>
  <c r="N1412" i="43" s="1"/>
  <c r="D1412" i="18" s="1"/>
  <c r="G1445" i="43"/>
  <c r="M524" i="43"/>
  <c r="N524" i="43" s="1"/>
  <c r="D524" i="18" s="1"/>
  <c r="F590" i="43"/>
  <c r="F1695" i="43"/>
  <c r="M1629" i="43"/>
  <c r="N1629" i="43" s="1"/>
  <c r="D1629" i="18" s="1"/>
  <c r="K1764" i="43"/>
  <c r="G1797" i="43"/>
  <c r="M654" i="43"/>
  <c r="N654" i="43" s="1"/>
  <c r="D654" i="18" s="1"/>
  <c r="F720" i="43"/>
  <c r="G1925" i="43"/>
  <c r="K1892" i="43"/>
  <c r="G1413" i="43"/>
  <c r="K1380" i="43"/>
  <c r="G2117" i="43"/>
  <c r="K2084" i="43"/>
  <c r="G1701" i="43"/>
  <c r="K1668" i="43"/>
  <c r="N1668" i="43" s="1"/>
  <c r="D1668" i="18" s="1"/>
  <c r="K2020" i="43"/>
  <c r="G2053" i="43"/>
  <c r="G1573" i="43"/>
  <c r="K1540" i="43"/>
  <c r="N1540" i="43" s="1"/>
  <c r="D1540" i="18" s="1"/>
  <c r="F1565" i="43"/>
  <c r="M1499" i="43"/>
  <c r="N1499" i="43" s="1"/>
  <c r="D1499" i="18" s="1"/>
  <c r="M1434" i="43"/>
  <c r="N1434" i="43" s="1"/>
  <c r="D1434" i="18" s="1"/>
  <c r="F1500" i="43"/>
  <c r="F980" i="43"/>
  <c r="M914" i="43"/>
  <c r="N914" i="43" s="1"/>
  <c r="D914" i="18" s="1"/>
  <c r="K1156" i="43"/>
  <c r="N1156" i="43" s="1"/>
  <c r="D1156" i="18" s="1"/>
  <c r="G1189" i="43"/>
  <c r="F395" i="43"/>
  <c r="M329" i="43"/>
  <c r="N329" i="43" s="1"/>
  <c r="D329" i="18" s="1"/>
  <c r="K2116" i="43"/>
  <c r="N2116" i="43" s="1"/>
  <c r="D2116" i="18" s="1"/>
  <c r="G2149" i="43"/>
  <c r="K2149" i="43" s="1"/>
  <c r="N2149" i="43" s="1"/>
  <c r="D2149" i="18" s="1"/>
  <c r="M459" i="43"/>
  <c r="N459" i="43" s="1"/>
  <c r="D459" i="18" s="1"/>
  <c r="F525" i="43"/>
  <c r="K1860" i="43"/>
  <c r="N1860" i="43" s="1"/>
  <c r="D1860" i="18" s="1"/>
  <c r="G1893" i="43"/>
  <c r="N2083" i="43"/>
  <c r="D2083" i="18" s="1"/>
  <c r="F1370" i="43"/>
  <c r="M1304" i="43"/>
  <c r="N1304" i="43" s="1"/>
  <c r="D1304" i="18" s="1"/>
  <c r="K1188" i="43"/>
  <c r="G1221" i="43"/>
  <c r="K1220" i="43"/>
  <c r="N1220" i="43" s="1"/>
  <c r="D1220" i="18" s="1"/>
  <c r="G1253" i="43"/>
  <c r="K1796" i="43"/>
  <c r="N1796" i="43" s="1"/>
  <c r="D1796" i="18" s="1"/>
  <c r="G1829" i="43"/>
  <c r="K1316" i="43"/>
  <c r="G1349" i="43"/>
  <c r="F2085" i="43"/>
  <c r="M2019" i="43"/>
  <c r="N2019" i="43" s="1"/>
  <c r="D2019" i="18" s="1"/>
  <c r="K1284" i="43"/>
  <c r="N1284" i="43" s="1"/>
  <c r="D1284" i="18" s="1"/>
  <c r="G1317" i="43"/>
  <c r="K1636" i="43"/>
  <c r="G1669" i="43"/>
  <c r="K1924" i="43"/>
  <c r="N1924" i="43" s="1"/>
  <c r="D1924" i="18" s="1"/>
  <c r="G1957" i="43"/>
  <c r="G1509" i="43"/>
  <c r="K1476" i="43"/>
  <c r="N1476" i="43" s="1"/>
  <c r="D1476" i="18" s="1"/>
  <c r="G1861" i="43"/>
  <c r="K1828" i="43"/>
  <c r="F915" i="43"/>
  <c r="M849" i="43"/>
  <c r="N849" i="43" s="1"/>
  <c r="D849" i="18" s="1"/>
  <c r="M784" i="43"/>
  <c r="N784" i="43" s="1"/>
  <c r="D784" i="18" s="1"/>
  <c r="F850" i="43"/>
  <c r="G1285" i="43"/>
  <c r="K1252" i="43"/>
  <c r="F1175" i="43"/>
  <c r="M1109" i="43"/>
  <c r="N1109" i="43" s="1"/>
  <c r="D1109" i="18" s="1"/>
  <c r="F1305" i="43"/>
  <c r="M1239" i="43"/>
  <c r="N1239" i="43" s="1"/>
  <c r="D1239" i="18" s="1"/>
  <c r="G2021" i="43"/>
  <c r="K1988" i="43"/>
  <c r="N1988" i="43" s="1"/>
  <c r="D1988" i="18" s="1"/>
  <c r="F265" i="43"/>
  <c r="M199" i="43"/>
  <c r="N199" i="43" s="1"/>
  <c r="D199" i="18" s="1"/>
  <c r="F1045" i="43"/>
  <c r="M979" i="43"/>
  <c r="N979" i="43" s="1"/>
  <c r="D979" i="18" s="1"/>
  <c r="K1508" i="43"/>
  <c r="G1541" i="43"/>
  <c r="G1381" i="43"/>
  <c r="K1348" i="43"/>
  <c r="N1348" i="43" s="1"/>
  <c r="D1348" i="18" s="1"/>
  <c r="K1700" i="43"/>
  <c r="G1733" i="43"/>
  <c r="M589" i="43"/>
  <c r="N589" i="43" s="1"/>
  <c r="D589" i="18" s="1"/>
  <c r="F655" i="43"/>
  <c r="K1956" i="43"/>
  <c r="G1989" i="43"/>
  <c r="F1955" i="43"/>
  <c r="M1889" i="43"/>
  <c r="N1889" i="43" s="1"/>
  <c r="D1889" i="18" s="1"/>
  <c r="F1825" i="43"/>
  <c r="M1759" i="43"/>
  <c r="N1759" i="43" s="1"/>
  <c r="D1759" i="18" s="1"/>
  <c r="F1630" i="43"/>
  <c r="M1564" i="43"/>
  <c r="N1564" i="43" s="1"/>
  <c r="D1564" i="18" s="1"/>
  <c r="F1240" i="43"/>
  <c r="M1174" i="43"/>
  <c r="N1174" i="43" s="1"/>
  <c r="D1174" i="18" s="1"/>
  <c r="G1605" i="43"/>
  <c r="K1572" i="43"/>
  <c r="K1381" i="43" l="1"/>
  <c r="G1414" i="43"/>
  <c r="K1925" i="43"/>
  <c r="N1925" i="43" s="1"/>
  <c r="D1925" i="18" s="1"/>
  <c r="G1958" i="43"/>
  <c r="K1189" i="43"/>
  <c r="G1222" i="43"/>
  <c r="F1176" i="43"/>
  <c r="M1110" i="43"/>
  <c r="N1110" i="43" s="1"/>
  <c r="D1110" i="18" s="1"/>
  <c r="K2117" i="43"/>
  <c r="N2117" i="43" s="1"/>
  <c r="D2117" i="18" s="1"/>
  <c r="G2150" i="43"/>
  <c r="K2150" i="43" s="1"/>
  <c r="N2150" i="43" s="1"/>
  <c r="D2150" i="18" s="1"/>
  <c r="G1670" i="43"/>
  <c r="K1637" i="43"/>
  <c r="G1574" i="43"/>
  <c r="K1541" i="43"/>
  <c r="N1541" i="43" s="1"/>
  <c r="D1541" i="18" s="1"/>
  <c r="F1111" i="43"/>
  <c r="M1045" i="43"/>
  <c r="N1045" i="43" s="1"/>
  <c r="D1045" i="18" s="1"/>
  <c r="G1350" i="43"/>
  <c r="K1317" i="43"/>
  <c r="M395" i="43"/>
  <c r="N395" i="43" s="1"/>
  <c r="D395" i="18" s="1"/>
  <c r="F461" i="43"/>
  <c r="F2151" i="43"/>
  <c r="M2151" i="43" s="1"/>
  <c r="M2085" i="43"/>
  <c r="G1830" i="43"/>
  <c r="K1797" i="43"/>
  <c r="N1797" i="43" s="1"/>
  <c r="D1797" i="18" s="1"/>
  <c r="G1542" i="43"/>
  <c r="K1509" i="43"/>
  <c r="G1702" i="43"/>
  <c r="K1669" i="43"/>
  <c r="N1669" i="43" s="1"/>
  <c r="D1669" i="18" s="1"/>
  <c r="G1382" i="43"/>
  <c r="K1349" i="43"/>
  <c r="N1349" i="43" s="1"/>
  <c r="D1349" i="18" s="1"/>
  <c r="F1046" i="43"/>
  <c r="M980" i="43"/>
  <c r="N980" i="43" s="1"/>
  <c r="D980" i="18" s="1"/>
  <c r="F1826" i="43"/>
  <c r="M1760" i="43"/>
  <c r="N1760" i="43" s="1"/>
  <c r="D1760" i="18" s="1"/>
  <c r="G1990" i="43"/>
  <c r="K1957" i="43"/>
  <c r="K1829" i="43"/>
  <c r="G1862" i="43"/>
  <c r="F1761" i="43"/>
  <c r="M1695" i="43"/>
  <c r="N1695" i="43" s="1"/>
  <c r="D1695" i="18" s="1"/>
  <c r="F1956" i="43"/>
  <c r="M1890" i="43"/>
  <c r="N1890" i="43" s="1"/>
  <c r="D1890" i="18" s="1"/>
  <c r="F656" i="43"/>
  <c r="M590" i="43"/>
  <c r="N590" i="43" s="1"/>
  <c r="D590" i="18" s="1"/>
  <c r="F1501" i="43"/>
  <c r="M1435" i="43"/>
  <c r="N1435" i="43" s="1"/>
  <c r="D1435" i="18" s="1"/>
  <c r="K2021" i="43"/>
  <c r="G2054" i="43"/>
  <c r="M1305" i="43"/>
  <c r="N1305" i="43" s="1"/>
  <c r="D1305" i="18" s="1"/>
  <c r="F1371" i="43"/>
  <c r="M1500" i="43"/>
  <c r="N1500" i="43" s="1"/>
  <c r="D1500" i="18" s="1"/>
  <c r="F1566" i="43"/>
  <c r="M1630" i="43"/>
  <c r="N1630" i="43" s="1"/>
  <c r="D1630" i="18" s="1"/>
  <c r="F1696" i="43"/>
  <c r="M1565" i="43"/>
  <c r="N1565" i="43" s="1"/>
  <c r="D1565" i="18" s="1"/>
  <c r="F1631" i="43"/>
  <c r="G1478" i="43"/>
  <c r="K1445" i="43"/>
  <c r="M460" i="43"/>
  <c r="N460" i="43" s="1"/>
  <c r="D460" i="18" s="1"/>
  <c r="F526" i="43"/>
  <c r="F1306" i="43"/>
  <c r="M1240" i="43"/>
  <c r="N1240" i="43" s="1"/>
  <c r="D1240" i="18" s="1"/>
  <c r="F591" i="43"/>
  <c r="M525" i="43"/>
  <c r="N525" i="43" s="1"/>
  <c r="D525" i="18" s="1"/>
  <c r="G1446" i="43"/>
  <c r="K1413" i="43"/>
  <c r="N1413" i="43" s="1"/>
  <c r="D1413" i="18" s="1"/>
  <c r="K1285" i="43"/>
  <c r="N1285" i="43" s="1"/>
  <c r="D1285" i="18" s="1"/>
  <c r="G1318" i="43"/>
  <c r="G1254" i="43"/>
  <c r="K1221" i="43"/>
  <c r="N1221" i="43" s="1"/>
  <c r="D1221" i="18" s="1"/>
  <c r="G1606" i="43"/>
  <c r="K1573" i="43"/>
  <c r="K1765" i="43"/>
  <c r="G1798" i="43"/>
  <c r="F786" i="43"/>
  <c r="M720" i="43"/>
  <c r="N720" i="43" s="1"/>
  <c r="D720" i="18" s="1"/>
  <c r="G1638" i="43"/>
  <c r="K1605" i="43"/>
  <c r="N1605" i="43" s="1"/>
  <c r="D1605" i="18" s="1"/>
  <c r="M265" i="43"/>
  <c r="N265" i="43" s="1"/>
  <c r="D265" i="18" s="1"/>
  <c r="F331" i="43"/>
  <c r="F1241" i="43"/>
  <c r="M1175" i="43"/>
  <c r="N1175" i="43" s="1"/>
  <c r="D1175" i="18" s="1"/>
  <c r="F1891" i="43"/>
  <c r="M1825" i="43"/>
  <c r="N1825" i="43" s="1"/>
  <c r="D1825" i="18" s="1"/>
  <c r="K1253" i="43"/>
  <c r="G1286" i="43"/>
  <c r="G2086" i="43"/>
  <c r="K2053" i="43"/>
  <c r="N2053" i="43" s="1"/>
  <c r="D2053" i="18" s="1"/>
  <c r="F2086" i="43"/>
  <c r="M2020" i="43"/>
  <c r="N2020" i="43" s="1"/>
  <c r="D2020" i="18" s="1"/>
  <c r="K1477" i="43"/>
  <c r="N1477" i="43" s="1"/>
  <c r="D1477" i="18" s="1"/>
  <c r="G1510" i="43"/>
  <c r="F2021" i="43"/>
  <c r="M1955" i="43"/>
  <c r="N1955" i="43" s="1"/>
  <c r="D1955" i="18" s="1"/>
  <c r="G2022" i="43"/>
  <c r="K1989" i="43"/>
  <c r="N1989" i="43" s="1"/>
  <c r="D1989" i="18" s="1"/>
  <c r="F916" i="43"/>
  <c r="M850" i="43"/>
  <c r="N850" i="43" s="1"/>
  <c r="D850" i="18" s="1"/>
  <c r="F981" i="43"/>
  <c r="M915" i="43"/>
  <c r="N915" i="43" s="1"/>
  <c r="D915" i="18" s="1"/>
  <c r="F1436" i="43"/>
  <c r="M1370" i="43"/>
  <c r="N1370" i="43" s="1"/>
  <c r="D1370" i="18" s="1"/>
  <c r="M330" i="43"/>
  <c r="N330" i="43" s="1"/>
  <c r="D330" i="18" s="1"/>
  <c r="F396" i="43"/>
  <c r="G2118" i="43"/>
  <c r="K2085" i="43"/>
  <c r="F721" i="43"/>
  <c r="M655" i="43"/>
  <c r="N655" i="43" s="1"/>
  <c r="D655" i="18" s="1"/>
  <c r="K1733" i="43"/>
  <c r="N1733" i="43" s="1"/>
  <c r="D1733" i="18" s="1"/>
  <c r="G1766" i="43"/>
  <c r="K1861" i="43"/>
  <c r="N1861" i="43" s="1"/>
  <c r="D1861" i="18" s="1"/>
  <c r="G1894" i="43"/>
  <c r="G1926" i="43"/>
  <c r="K1893" i="43"/>
  <c r="K1701" i="43"/>
  <c r="G1734" i="43"/>
  <c r="N2084" i="43"/>
  <c r="D2084" i="18" s="1"/>
  <c r="F851" i="43"/>
  <c r="M785" i="43"/>
  <c r="N785" i="43" s="1"/>
  <c r="D785" i="18" s="1"/>
  <c r="N2085" i="43" l="1"/>
  <c r="D2085" i="18" s="1"/>
  <c r="M721" i="43"/>
  <c r="N721" i="43" s="1"/>
  <c r="D721" i="18" s="1"/>
  <c r="F787" i="43"/>
  <c r="K1446" i="43"/>
  <c r="G1479" i="43"/>
  <c r="M461" i="43"/>
  <c r="N461" i="43" s="1"/>
  <c r="D461" i="18" s="1"/>
  <c r="F527" i="43"/>
  <c r="K1350" i="43"/>
  <c r="N1350" i="43" s="1"/>
  <c r="D1350" i="18" s="1"/>
  <c r="G1383" i="43"/>
  <c r="F462" i="43"/>
  <c r="M396" i="43"/>
  <c r="N396" i="43" s="1"/>
  <c r="D396" i="18" s="1"/>
  <c r="F1307" i="43"/>
  <c r="M1241" i="43"/>
  <c r="N1241" i="43" s="1"/>
  <c r="D1241" i="18" s="1"/>
  <c r="F1372" i="43"/>
  <c r="M1306" i="43"/>
  <c r="N1306" i="43" s="1"/>
  <c r="D1306" i="18" s="1"/>
  <c r="F1827" i="43"/>
  <c r="M1761" i="43"/>
  <c r="N1761" i="43" s="1"/>
  <c r="D1761" i="18" s="1"/>
  <c r="F592" i="43"/>
  <c r="M526" i="43"/>
  <c r="N526" i="43" s="1"/>
  <c r="D526" i="18" s="1"/>
  <c r="G1895" i="43"/>
  <c r="K1862" i="43"/>
  <c r="N1862" i="43" s="1"/>
  <c r="D1862" i="18" s="1"/>
  <c r="F1177" i="43"/>
  <c r="M1111" i="43"/>
  <c r="N1111" i="43" s="1"/>
  <c r="D1111" i="18" s="1"/>
  <c r="M331" i="43"/>
  <c r="N331" i="43" s="1"/>
  <c r="D331" i="18" s="1"/>
  <c r="F397" i="43"/>
  <c r="G1607" i="43"/>
  <c r="K1574" i="43"/>
  <c r="G1319" i="43"/>
  <c r="K1286" i="43"/>
  <c r="N1286" i="43" s="1"/>
  <c r="D1286" i="18" s="1"/>
  <c r="F1892" i="43"/>
  <c r="M1826" i="43"/>
  <c r="N1826" i="43" s="1"/>
  <c r="D1826" i="18" s="1"/>
  <c r="F722" i="43"/>
  <c r="M656" i="43"/>
  <c r="N656" i="43" s="1"/>
  <c r="D656" i="18" s="1"/>
  <c r="M786" i="43"/>
  <c r="N786" i="43" s="1"/>
  <c r="D786" i="18" s="1"/>
  <c r="F852" i="43"/>
  <c r="K1670" i="43"/>
  <c r="N1670" i="43" s="1"/>
  <c r="D1670" i="18" s="1"/>
  <c r="G1703" i="43"/>
  <c r="G1511" i="43"/>
  <c r="K1478" i="43"/>
  <c r="N1478" i="43" s="1"/>
  <c r="D1478" i="18" s="1"/>
  <c r="G1671" i="43"/>
  <c r="K1638" i="43"/>
  <c r="F1047" i="43"/>
  <c r="M981" i="43"/>
  <c r="N981" i="43" s="1"/>
  <c r="D981" i="18" s="1"/>
  <c r="M1631" i="43"/>
  <c r="N1631" i="43" s="1"/>
  <c r="D1631" i="18" s="1"/>
  <c r="F1697" i="43"/>
  <c r="G1415" i="43"/>
  <c r="K1382" i="43"/>
  <c r="M1176" i="43"/>
  <c r="N1176" i="43" s="1"/>
  <c r="D1176" i="18" s="1"/>
  <c r="F1242" i="43"/>
  <c r="G2151" i="43"/>
  <c r="K2151" i="43" s="1"/>
  <c r="N2151" i="43" s="1"/>
  <c r="D2151" i="18" s="1"/>
  <c r="K2118" i="43"/>
  <c r="N2118" i="43" s="1"/>
  <c r="D2118" i="18" s="1"/>
  <c r="F2087" i="43"/>
  <c r="M2021" i="43"/>
  <c r="N2021" i="43" s="1"/>
  <c r="D2021" i="18" s="1"/>
  <c r="F1437" i="43"/>
  <c r="M1371" i="43"/>
  <c r="N1371" i="43" s="1"/>
  <c r="D1371" i="18" s="1"/>
  <c r="G1255" i="43"/>
  <c r="K1222" i="43"/>
  <c r="N1222" i="43" s="1"/>
  <c r="D1222" i="18" s="1"/>
  <c r="F1957" i="43"/>
  <c r="M1891" i="43"/>
  <c r="N1891" i="43" s="1"/>
  <c r="D1891" i="18" s="1"/>
  <c r="M591" i="43"/>
  <c r="N591" i="43" s="1"/>
  <c r="D591" i="18" s="1"/>
  <c r="F657" i="43"/>
  <c r="K1798" i="43"/>
  <c r="N1798" i="43" s="1"/>
  <c r="D1798" i="18" s="1"/>
  <c r="G1831" i="43"/>
  <c r="G1735" i="43"/>
  <c r="K1702" i="43"/>
  <c r="F2022" i="43"/>
  <c r="M1956" i="43"/>
  <c r="N1956" i="43" s="1"/>
  <c r="D1956" i="18" s="1"/>
  <c r="G2087" i="43"/>
  <c r="K2054" i="43"/>
  <c r="N2054" i="43" s="1"/>
  <c r="D2054" i="18" s="1"/>
  <c r="G1991" i="43"/>
  <c r="K1958" i="43"/>
  <c r="F1112" i="43"/>
  <c r="M1046" i="43"/>
  <c r="N1046" i="43" s="1"/>
  <c r="D1046" i="18" s="1"/>
  <c r="G2055" i="43"/>
  <c r="K2022" i="43"/>
  <c r="G1575" i="43"/>
  <c r="K1542" i="43"/>
  <c r="N1542" i="43" s="1"/>
  <c r="D1542" i="18" s="1"/>
  <c r="M851" i="43"/>
  <c r="N851" i="43" s="1"/>
  <c r="D851" i="18" s="1"/>
  <c r="F917" i="43"/>
  <c r="F982" i="43"/>
  <c r="M916" i="43"/>
  <c r="N916" i="43" s="1"/>
  <c r="D916" i="18" s="1"/>
  <c r="F1762" i="43"/>
  <c r="M1696" i="43"/>
  <c r="N1696" i="43" s="1"/>
  <c r="D1696" i="18" s="1"/>
  <c r="K1734" i="43"/>
  <c r="N1734" i="43" s="1"/>
  <c r="D1734" i="18" s="1"/>
  <c r="G1767" i="43"/>
  <c r="F1502" i="43"/>
  <c r="M1436" i="43"/>
  <c r="N1436" i="43" s="1"/>
  <c r="D1436" i="18" s="1"/>
  <c r="K1990" i="43"/>
  <c r="N1990" i="43" s="1"/>
  <c r="D1990" i="18" s="1"/>
  <c r="G2023" i="43"/>
  <c r="G1959" i="43"/>
  <c r="K1926" i="43"/>
  <c r="N1926" i="43" s="1"/>
  <c r="D1926" i="18" s="1"/>
  <c r="G1639" i="43"/>
  <c r="K1606" i="43"/>
  <c r="N1606" i="43" s="1"/>
  <c r="D1606" i="18" s="1"/>
  <c r="K1894" i="43"/>
  <c r="G1927" i="43"/>
  <c r="G1543" i="43"/>
  <c r="K1510" i="43"/>
  <c r="F2152" i="43"/>
  <c r="M2152" i="43" s="1"/>
  <c r="M2086" i="43"/>
  <c r="K1254" i="43"/>
  <c r="G1287" i="43"/>
  <c r="G1799" i="43"/>
  <c r="K1766" i="43"/>
  <c r="K1318" i="43"/>
  <c r="G1351" i="43"/>
  <c r="M1501" i="43"/>
  <c r="N1501" i="43" s="1"/>
  <c r="D1501" i="18" s="1"/>
  <c r="F1567" i="43"/>
  <c r="K1830" i="43"/>
  <c r="G1863" i="43"/>
  <c r="G1447" i="43"/>
  <c r="K1414" i="43"/>
  <c r="N1414" i="43" s="1"/>
  <c r="D1414" i="18" s="1"/>
  <c r="F1632" i="43"/>
  <c r="M1566" i="43"/>
  <c r="N1566" i="43" s="1"/>
  <c r="D1566" i="18" s="1"/>
  <c r="K2086" i="43"/>
  <c r="G2119" i="43"/>
  <c r="F1633" i="43" l="1"/>
  <c r="M1567" i="43"/>
  <c r="N1567" i="43" s="1"/>
  <c r="D1567" i="18" s="1"/>
  <c r="G1800" i="43"/>
  <c r="K1767" i="43"/>
  <c r="G1768" i="43"/>
  <c r="K1735" i="43"/>
  <c r="N1735" i="43" s="1"/>
  <c r="D1735" i="18" s="1"/>
  <c r="M1047" i="43"/>
  <c r="N1047" i="43" s="1"/>
  <c r="D1047" i="18" s="1"/>
  <c r="F1113" i="43"/>
  <c r="G1864" i="43"/>
  <c r="K1831" i="43"/>
  <c r="K1671" i="43"/>
  <c r="N1671" i="43" s="1"/>
  <c r="D1671" i="18" s="1"/>
  <c r="G1704" i="43"/>
  <c r="G1928" i="43"/>
  <c r="K1895" i="43"/>
  <c r="F723" i="43"/>
  <c r="M657" i="43"/>
  <c r="N657" i="43" s="1"/>
  <c r="D657" i="18" s="1"/>
  <c r="K1511" i="43"/>
  <c r="G1544" i="43"/>
  <c r="M592" i="43"/>
  <c r="N592" i="43" s="1"/>
  <c r="D592" i="18" s="1"/>
  <c r="F658" i="43"/>
  <c r="G1736" i="43"/>
  <c r="K1703" i="43"/>
  <c r="F1893" i="43"/>
  <c r="M1827" i="43"/>
  <c r="N1827" i="43" s="1"/>
  <c r="D1827" i="18" s="1"/>
  <c r="G1896" i="43"/>
  <c r="K1863" i="43"/>
  <c r="N1863" i="43" s="1"/>
  <c r="D1863" i="18" s="1"/>
  <c r="M852" i="43"/>
  <c r="N852" i="43" s="1"/>
  <c r="D852" i="18" s="1"/>
  <c r="F918" i="43"/>
  <c r="M1372" i="43"/>
  <c r="N1372" i="43" s="1"/>
  <c r="D1372" i="18" s="1"/>
  <c r="F1438" i="43"/>
  <c r="F983" i="43"/>
  <c r="M917" i="43"/>
  <c r="N917" i="43" s="1"/>
  <c r="D917" i="18" s="1"/>
  <c r="F1373" i="43"/>
  <c r="M1307" i="43"/>
  <c r="N1307" i="43" s="1"/>
  <c r="D1307" i="18" s="1"/>
  <c r="K1543" i="43"/>
  <c r="N1543" i="43" s="1"/>
  <c r="D1543" i="18" s="1"/>
  <c r="G1576" i="43"/>
  <c r="F1503" i="43"/>
  <c r="M1437" i="43"/>
  <c r="N1437" i="43" s="1"/>
  <c r="D1437" i="18" s="1"/>
  <c r="M722" i="43"/>
  <c r="N722" i="43" s="1"/>
  <c r="D722" i="18" s="1"/>
  <c r="F788" i="43"/>
  <c r="G1960" i="43"/>
  <c r="K1927" i="43"/>
  <c r="N1927" i="43" s="1"/>
  <c r="D1927" i="18" s="1"/>
  <c r="K2055" i="43"/>
  <c r="N2055" i="43" s="1"/>
  <c r="D2055" i="18" s="1"/>
  <c r="G2088" i="43"/>
  <c r="F528" i="43"/>
  <c r="M462" i="43"/>
  <c r="N462" i="43" s="1"/>
  <c r="D462" i="18" s="1"/>
  <c r="G1416" i="43"/>
  <c r="K1383" i="43"/>
  <c r="K1575" i="43"/>
  <c r="G1608" i="43"/>
  <c r="G1288" i="43"/>
  <c r="K1255" i="43"/>
  <c r="M982" i="43"/>
  <c r="N982" i="43" s="1"/>
  <c r="D982" i="18" s="1"/>
  <c r="F1048" i="43"/>
  <c r="G1320" i="43"/>
  <c r="K1287" i="43"/>
  <c r="N1287" i="43" s="1"/>
  <c r="D1287" i="18" s="1"/>
  <c r="F2023" i="43"/>
  <c r="M1957" i="43"/>
  <c r="N1957" i="43" s="1"/>
  <c r="D1957" i="18" s="1"/>
  <c r="G2152" i="43"/>
  <c r="K2152" i="43" s="1"/>
  <c r="N2152" i="43" s="1"/>
  <c r="D2152" i="18" s="1"/>
  <c r="K2119" i="43"/>
  <c r="N2119" i="43" s="1"/>
  <c r="D2119" i="18" s="1"/>
  <c r="G2024" i="43"/>
  <c r="K1991" i="43"/>
  <c r="N1991" i="43" s="1"/>
  <c r="D1991" i="18" s="1"/>
  <c r="F1308" i="43"/>
  <c r="M1242" i="43"/>
  <c r="N1242" i="43" s="1"/>
  <c r="D1242" i="18" s="1"/>
  <c r="K1319" i="43"/>
  <c r="G1352" i="43"/>
  <c r="F593" i="43"/>
  <c r="M527" i="43"/>
  <c r="N527" i="43" s="1"/>
  <c r="D527" i="18" s="1"/>
  <c r="M2087" i="43"/>
  <c r="F2153" i="43"/>
  <c r="M2153" i="43" s="1"/>
  <c r="M1762" i="43"/>
  <c r="N1762" i="43" s="1"/>
  <c r="D1762" i="18" s="1"/>
  <c r="F1828" i="43"/>
  <c r="M1112" i="43"/>
  <c r="N1112" i="43" s="1"/>
  <c r="D1112" i="18" s="1"/>
  <c r="F1178" i="43"/>
  <c r="M1892" i="43"/>
  <c r="N1892" i="43" s="1"/>
  <c r="D1892" i="18" s="1"/>
  <c r="F1958" i="43"/>
  <c r="K1639" i="43"/>
  <c r="G1672" i="43"/>
  <c r="N2086" i="43"/>
  <c r="D2086" i="18" s="1"/>
  <c r="K1959" i="43"/>
  <c r="G1992" i="43"/>
  <c r="G1640" i="43"/>
  <c r="K1607" i="43"/>
  <c r="N1607" i="43" s="1"/>
  <c r="D1607" i="18" s="1"/>
  <c r="G1512" i="43"/>
  <c r="K1479" i="43"/>
  <c r="N1479" i="43" s="1"/>
  <c r="D1479" i="18" s="1"/>
  <c r="F1698" i="43"/>
  <c r="M1632" i="43"/>
  <c r="N1632" i="43" s="1"/>
  <c r="D1632" i="18" s="1"/>
  <c r="G2056" i="43"/>
  <c r="K2023" i="43"/>
  <c r="G2120" i="43"/>
  <c r="K2087" i="43"/>
  <c r="K1415" i="43"/>
  <c r="N1415" i="43" s="1"/>
  <c r="D1415" i="18" s="1"/>
  <c r="G1448" i="43"/>
  <c r="M397" i="43"/>
  <c r="N397" i="43" s="1"/>
  <c r="D397" i="18" s="1"/>
  <c r="F463" i="43"/>
  <c r="F1763" i="43"/>
  <c r="M1697" i="43"/>
  <c r="N1697" i="43" s="1"/>
  <c r="D1697" i="18" s="1"/>
  <c r="F853" i="43"/>
  <c r="M787" i="43"/>
  <c r="N787" i="43" s="1"/>
  <c r="D787" i="18" s="1"/>
  <c r="F1568" i="43"/>
  <c r="M1502" i="43"/>
  <c r="N1502" i="43" s="1"/>
  <c r="D1502" i="18" s="1"/>
  <c r="M1177" i="43"/>
  <c r="N1177" i="43" s="1"/>
  <c r="D1177" i="18" s="1"/>
  <c r="F1243" i="43"/>
  <c r="G1384" i="43"/>
  <c r="K1351" i="43"/>
  <c r="N1351" i="43" s="1"/>
  <c r="D1351" i="18" s="1"/>
  <c r="K1799" i="43"/>
  <c r="N1799" i="43" s="1"/>
  <c r="D1799" i="18" s="1"/>
  <c r="G1832" i="43"/>
  <c r="G1480" i="43"/>
  <c r="K1447" i="43"/>
  <c r="F2088" i="43"/>
  <c r="M2022" i="43"/>
  <c r="N2022" i="43" s="1"/>
  <c r="D2022" i="18" s="1"/>
  <c r="N2087" i="43" l="1"/>
  <c r="D2087" i="18" s="1"/>
  <c r="G1865" i="43"/>
  <c r="K1832" i="43"/>
  <c r="F724" i="43"/>
  <c r="M658" i="43"/>
  <c r="N658" i="43" s="1"/>
  <c r="D658" i="18" s="1"/>
  <c r="F1374" i="43"/>
  <c r="M1308" i="43"/>
  <c r="N1308" i="43" s="1"/>
  <c r="D1308" i="18" s="1"/>
  <c r="G1993" i="43"/>
  <c r="K1960" i="43"/>
  <c r="G1577" i="43"/>
  <c r="K1544" i="43"/>
  <c r="N1544" i="43" s="1"/>
  <c r="D1544" i="18" s="1"/>
  <c r="F854" i="43"/>
  <c r="M788" i="43"/>
  <c r="N788" i="43" s="1"/>
  <c r="D788" i="18" s="1"/>
  <c r="F789" i="43"/>
  <c r="M723" i="43"/>
  <c r="N723" i="43" s="1"/>
  <c r="D723" i="18" s="1"/>
  <c r="F1569" i="43"/>
  <c r="M1503" i="43"/>
  <c r="N1503" i="43" s="1"/>
  <c r="D1503" i="18" s="1"/>
  <c r="F659" i="43"/>
  <c r="M593" i="43"/>
  <c r="N593" i="43" s="1"/>
  <c r="D593" i="18" s="1"/>
  <c r="M528" i="43"/>
  <c r="N528" i="43" s="1"/>
  <c r="D528" i="18" s="1"/>
  <c r="F594" i="43"/>
  <c r="K1512" i="43"/>
  <c r="G1545" i="43"/>
  <c r="G1385" i="43"/>
  <c r="K1352" i="43"/>
  <c r="N1352" i="43" s="1"/>
  <c r="D1352" i="18" s="1"/>
  <c r="G2121" i="43"/>
  <c r="K2088" i="43"/>
  <c r="G1769" i="43"/>
  <c r="K1736" i="43"/>
  <c r="N1736" i="43" s="1"/>
  <c r="D1736" i="18" s="1"/>
  <c r="K1928" i="43"/>
  <c r="N1928" i="43" s="1"/>
  <c r="D1928" i="18" s="1"/>
  <c r="G1961" i="43"/>
  <c r="F919" i="43"/>
  <c r="M853" i="43"/>
  <c r="N853" i="43" s="1"/>
  <c r="D853" i="18" s="1"/>
  <c r="F2089" i="43"/>
  <c r="M2023" i="43"/>
  <c r="N2023" i="43" s="1"/>
  <c r="D2023" i="18" s="1"/>
  <c r="G1609" i="43"/>
  <c r="K1576" i="43"/>
  <c r="K1704" i="43"/>
  <c r="G1737" i="43"/>
  <c r="F1244" i="43"/>
  <c r="M1178" i="43"/>
  <c r="N1178" i="43" s="1"/>
  <c r="D1178" i="18" s="1"/>
  <c r="G1353" i="43"/>
  <c r="K1320" i="43"/>
  <c r="M1373" i="43"/>
  <c r="N1373" i="43" s="1"/>
  <c r="D1373" i="18" s="1"/>
  <c r="F1439" i="43"/>
  <c r="K1864" i="43"/>
  <c r="N1864" i="43" s="1"/>
  <c r="D1864" i="18" s="1"/>
  <c r="G1897" i="43"/>
  <c r="F529" i="43"/>
  <c r="M463" i="43"/>
  <c r="N463" i="43" s="1"/>
  <c r="D463" i="18" s="1"/>
  <c r="F1179" i="43"/>
  <c r="M1113" i="43"/>
  <c r="N1113" i="43" s="1"/>
  <c r="D1113" i="18" s="1"/>
  <c r="F1894" i="43"/>
  <c r="M1828" i="43"/>
  <c r="N1828" i="43" s="1"/>
  <c r="D1828" i="18" s="1"/>
  <c r="M983" i="43"/>
  <c r="N983" i="43" s="1"/>
  <c r="D983" i="18" s="1"/>
  <c r="F1049" i="43"/>
  <c r="F2024" i="43"/>
  <c r="M1958" i="43"/>
  <c r="N1958" i="43" s="1"/>
  <c r="D1958" i="18" s="1"/>
  <c r="G1481" i="43"/>
  <c r="K1448" i="43"/>
  <c r="K1768" i="43"/>
  <c r="G1801" i="43"/>
  <c r="F1959" i="43"/>
  <c r="M1893" i="43"/>
  <c r="N1893" i="43" s="1"/>
  <c r="D1893" i="18" s="1"/>
  <c r="K1288" i="43"/>
  <c r="N1288" i="43" s="1"/>
  <c r="D1288" i="18" s="1"/>
  <c r="G1321" i="43"/>
  <c r="F984" i="43"/>
  <c r="M918" i="43"/>
  <c r="N918" i="43" s="1"/>
  <c r="D918" i="18" s="1"/>
  <c r="G1417" i="43"/>
  <c r="K1384" i="43"/>
  <c r="F1504" i="43"/>
  <c r="M1438" i="43"/>
  <c r="N1438" i="43" s="1"/>
  <c r="D1438" i="18" s="1"/>
  <c r="K2120" i="43"/>
  <c r="N2120" i="43" s="1"/>
  <c r="D2120" i="18" s="1"/>
  <c r="G2153" i="43"/>
  <c r="K2153" i="43" s="1"/>
  <c r="N2153" i="43" s="1"/>
  <c r="D2153" i="18" s="1"/>
  <c r="K1608" i="43"/>
  <c r="N1608" i="43" s="1"/>
  <c r="D1608" i="18" s="1"/>
  <c r="G1641" i="43"/>
  <c r="G1833" i="43"/>
  <c r="K1800" i="43"/>
  <c r="N1800" i="43" s="1"/>
  <c r="D1800" i="18" s="1"/>
  <c r="M1698" i="43"/>
  <c r="N1698" i="43" s="1"/>
  <c r="D1698" i="18" s="1"/>
  <c r="F1764" i="43"/>
  <c r="M1568" i="43"/>
  <c r="N1568" i="43" s="1"/>
  <c r="D1568" i="18" s="1"/>
  <c r="F1634" i="43"/>
  <c r="G1705" i="43"/>
  <c r="K1672" i="43"/>
  <c r="N1672" i="43" s="1"/>
  <c r="D1672" i="18" s="1"/>
  <c r="F2154" i="43"/>
  <c r="M2154" i="43" s="1"/>
  <c r="M2088" i="43"/>
  <c r="K1640" i="43"/>
  <c r="G1673" i="43"/>
  <c r="M1763" i="43"/>
  <c r="N1763" i="43" s="1"/>
  <c r="D1763" i="18" s="1"/>
  <c r="F1829" i="43"/>
  <c r="G2089" i="43"/>
  <c r="K2056" i="43"/>
  <c r="N2056" i="43" s="1"/>
  <c r="D2056" i="18" s="1"/>
  <c r="G1929" i="43"/>
  <c r="K1896" i="43"/>
  <c r="F1699" i="43"/>
  <c r="M1633" i="43"/>
  <c r="N1633" i="43" s="1"/>
  <c r="D1633" i="18" s="1"/>
  <c r="F1309" i="43"/>
  <c r="M1243" i="43"/>
  <c r="N1243" i="43" s="1"/>
  <c r="D1243" i="18" s="1"/>
  <c r="G2025" i="43"/>
  <c r="K1992" i="43"/>
  <c r="N1992" i="43" s="1"/>
  <c r="D1992" i="18" s="1"/>
  <c r="K2024" i="43"/>
  <c r="G2057" i="43"/>
  <c r="F1114" i="43"/>
  <c r="M1048" i="43"/>
  <c r="N1048" i="43" s="1"/>
  <c r="D1048" i="18" s="1"/>
  <c r="K1480" i="43"/>
  <c r="N1480" i="43" s="1"/>
  <c r="D1480" i="18" s="1"/>
  <c r="G1513" i="43"/>
  <c r="K1416" i="43"/>
  <c r="N1416" i="43" s="1"/>
  <c r="D1416" i="18" s="1"/>
  <c r="G1449" i="43"/>
  <c r="G1354" i="43" l="1"/>
  <c r="K1321" i="43"/>
  <c r="G1386" i="43"/>
  <c r="K1353" i="43"/>
  <c r="N1353" i="43" s="1"/>
  <c r="D1353" i="18" s="1"/>
  <c r="F660" i="43"/>
  <c r="M594" i="43"/>
  <c r="N594" i="43" s="1"/>
  <c r="D594" i="18" s="1"/>
  <c r="M1244" i="43"/>
  <c r="N1244" i="43" s="1"/>
  <c r="D1244" i="18" s="1"/>
  <c r="F1310" i="43"/>
  <c r="F2025" i="43"/>
  <c r="M1959" i="43"/>
  <c r="N1959" i="43" s="1"/>
  <c r="D1959" i="18" s="1"/>
  <c r="F725" i="43"/>
  <c r="M659" i="43"/>
  <c r="N659" i="43" s="1"/>
  <c r="D659" i="18" s="1"/>
  <c r="F1180" i="43"/>
  <c r="M1114" i="43"/>
  <c r="N1114" i="43" s="1"/>
  <c r="D1114" i="18" s="1"/>
  <c r="G1834" i="43"/>
  <c r="K1801" i="43"/>
  <c r="N1801" i="43" s="1"/>
  <c r="D1801" i="18" s="1"/>
  <c r="G1770" i="43"/>
  <c r="K1737" i="43"/>
  <c r="N1737" i="43" s="1"/>
  <c r="D1737" i="18" s="1"/>
  <c r="G1738" i="43"/>
  <c r="K1705" i="43"/>
  <c r="F1635" i="43"/>
  <c r="M1569" i="43"/>
  <c r="N1569" i="43" s="1"/>
  <c r="D1569" i="18" s="1"/>
  <c r="K1481" i="43"/>
  <c r="N1481" i="43" s="1"/>
  <c r="D1481" i="18" s="1"/>
  <c r="G1514" i="43"/>
  <c r="M789" i="43"/>
  <c r="N789" i="43" s="1"/>
  <c r="D789" i="18" s="1"/>
  <c r="F855" i="43"/>
  <c r="F2155" i="43"/>
  <c r="M2155" i="43" s="1"/>
  <c r="M2089" i="43"/>
  <c r="F920" i="43"/>
  <c r="M854" i="43"/>
  <c r="N854" i="43" s="1"/>
  <c r="D854" i="18" s="1"/>
  <c r="K1449" i="43"/>
  <c r="G1482" i="43"/>
  <c r="G1994" i="43"/>
  <c r="K1961" i="43"/>
  <c r="G1610" i="43"/>
  <c r="K1577" i="43"/>
  <c r="F1830" i="43"/>
  <c r="M1764" i="43"/>
  <c r="N1764" i="43" s="1"/>
  <c r="D1764" i="18" s="1"/>
  <c r="G2090" i="43"/>
  <c r="K2057" i="43"/>
  <c r="N2057" i="43" s="1"/>
  <c r="D2057" i="18" s="1"/>
  <c r="M1634" i="43"/>
  <c r="N1634" i="43" s="1"/>
  <c r="D1634" i="18" s="1"/>
  <c r="F1700" i="43"/>
  <c r="K1609" i="43"/>
  <c r="N1609" i="43" s="1"/>
  <c r="D1609" i="18" s="1"/>
  <c r="G1642" i="43"/>
  <c r="K2025" i="43"/>
  <c r="G2058" i="43"/>
  <c r="K1993" i="43"/>
  <c r="N1993" i="43" s="1"/>
  <c r="D1993" i="18" s="1"/>
  <c r="G2026" i="43"/>
  <c r="K1673" i="43"/>
  <c r="N1673" i="43" s="1"/>
  <c r="D1673" i="18" s="1"/>
  <c r="G1706" i="43"/>
  <c r="G1802" i="43"/>
  <c r="K1769" i="43"/>
  <c r="G1546" i="43"/>
  <c r="K1513" i="43"/>
  <c r="N2088" i="43"/>
  <c r="D2088" i="18" s="1"/>
  <c r="F1440" i="43"/>
  <c r="M1374" i="43"/>
  <c r="N1374" i="43" s="1"/>
  <c r="D1374" i="18" s="1"/>
  <c r="F1050" i="43"/>
  <c r="M984" i="43"/>
  <c r="N984" i="43" s="1"/>
  <c r="D984" i="18" s="1"/>
  <c r="F985" i="43"/>
  <c r="M919" i="43"/>
  <c r="N919" i="43" s="1"/>
  <c r="D919" i="18" s="1"/>
  <c r="F1765" i="43"/>
  <c r="M1699" i="43"/>
  <c r="N1699" i="43" s="1"/>
  <c r="D1699" i="18" s="1"/>
  <c r="G1674" i="43"/>
  <c r="K1641" i="43"/>
  <c r="F1960" i="43"/>
  <c r="M1894" i="43"/>
  <c r="N1894" i="43" s="1"/>
  <c r="D1894" i="18" s="1"/>
  <c r="K1929" i="43"/>
  <c r="N1929" i="43" s="1"/>
  <c r="D1929" i="18" s="1"/>
  <c r="G1962" i="43"/>
  <c r="M529" i="43"/>
  <c r="N529" i="43" s="1"/>
  <c r="D529" i="18" s="1"/>
  <c r="F595" i="43"/>
  <c r="F2090" i="43"/>
  <c r="M2024" i="43"/>
  <c r="N2024" i="43" s="1"/>
  <c r="D2024" i="18" s="1"/>
  <c r="F1245" i="43"/>
  <c r="M1179" i="43"/>
  <c r="N1179" i="43" s="1"/>
  <c r="D1179" i="18" s="1"/>
  <c r="F790" i="43"/>
  <c r="M724" i="43"/>
  <c r="N724" i="43" s="1"/>
  <c r="D724" i="18" s="1"/>
  <c r="F1375" i="43"/>
  <c r="M1309" i="43"/>
  <c r="N1309" i="43" s="1"/>
  <c r="D1309" i="18" s="1"/>
  <c r="F1115" i="43"/>
  <c r="M1049" i="43"/>
  <c r="N1049" i="43" s="1"/>
  <c r="D1049" i="18" s="1"/>
  <c r="K1385" i="43"/>
  <c r="G1418" i="43"/>
  <c r="K1833" i="43"/>
  <c r="G1866" i="43"/>
  <c r="K2089" i="43"/>
  <c r="G2122" i="43"/>
  <c r="M1504" i="43"/>
  <c r="N1504" i="43" s="1"/>
  <c r="D1504" i="18" s="1"/>
  <c r="F1570" i="43"/>
  <c r="K2121" i="43"/>
  <c r="N2121" i="43" s="1"/>
  <c r="D2121" i="18" s="1"/>
  <c r="G2154" i="43"/>
  <c r="K2154" i="43" s="1"/>
  <c r="N2154" i="43" s="1"/>
  <c r="D2154" i="18" s="1"/>
  <c r="G1930" i="43"/>
  <c r="K1897" i="43"/>
  <c r="F1895" i="43"/>
  <c r="M1829" i="43"/>
  <c r="N1829" i="43" s="1"/>
  <c r="D1829" i="18" s="1"/>
  <c r="G1450" i="43"/>
  <c r="K1417" i="43"/>
  <c r="N1417" i="43" s="1"/>
  <c r="D1417" i="18" s="1"/>
  <c r="F1505" i="43"/>
  <c r="M1439" i="43"/>
  <c r="N1439" i="43" s="1"/>
  <c r="D1439" i="18" s="1"/>
  <c r="G1578" i="43"/>
  <c r="K1545" i="43"/>
  <c r="N1545" i="43" s="1"/>
  <c r="D1545" i="18" s="1"/>
  <c r="G1898" i="43"/>
  <c r="K1865" i="43"/>
  <c r="N1865" i="43" s="1"/>
  <c r="D1865" i="18" s="1"/>
  <c r="G1643" i="43" l="1"/>
  <c r="K1610" i="43"/>
  <c r="N1610" i="43" s="1"/>
  <c r="D1610" i="18" s="1"/>
  <c r="G1803" i="43"/>
  <c r="K1770" i="43"/>
  <c r="G1899" i="43"/>
  <c r="K1866" i="43"/>
  <c r="N1866" i="43" s="1"/>
  <c r="D1866" i="18" s="1"/>
  <c r="K1994" i="43"/>
  <c r="N1994" i="43" s="1"/>
  <c r="D1994" i="18" s="1"/>
  <c r="G2027" i="43"/>
  <c r="G1867" i="43"/>
  <c r="K1834" i="43"/>
  <c r="M1505" i="43"/>
  <c r="N1505" i="43" s="1"/>
  <c r="D1505" i="18" s="1"/>
  <c r="F1571" i="43"/>
  <c r="F856" i="43"/>
  <c r="M790" i="43"/>
  <c r="N790" i="43" s="1"/>
  <c r="D790" i="18" s="1"/>
  <c r="K1546" i="43"/>
  <c r="N1546" i="43" s="1"/>
  <c r="D1546" i="18" s="1"/>
  <c r="G1579" i="43"/>
  <c r="G1515" i="43"/>
  <c r="K1482" i="43"/>
  <c r="N1482" i="43" s="1"/>
  <c r="D1482" i="18" s="1"/>
  <c r="M1180" i="43"/>
  <c r="N1180" i="43" s="1"/>
  <c r="D1180" i="18" s="1"/>
  <c r="F1246" i="43"/>
  <c r="M1830" i="43"/>
  <c r="N1830" i="43" s="1"/>
  <c r="D1830" i="18" s="1"/>
  <c r="F1896" i="43"/>
  <c r="M725" i="43"/>
  <c r="N725" i="43" s="1"/>
  <c r="D725" i="18" s="1"/>
  <c r="F791" i="43"/>
  <c r="M1765" i="43"/>
  <c r="N1765" i="43" s="1"/>
  <c r="D1765" i="18" s="1"/>
  <c r="F1831" i="43"/>
  <c r="K1450" i="43"/>
  <c r="G1483" i="43"/>
  <c r="M1245" i="43"/>
  <c r="N1245" i="43" s="1"/>
  <c r="D1245" i="18" s="1"/>
  <c r="F1311" i="43"/>
  <c r="K1802" i="43"/>
  <c r="N1802" i="43" s="1"/>
  <c r="D1802" i="18" s="1"/>
  <c r="G1835" i="43"/>
  <c r="F986" i="43"/>
  <c r="M920" i="43"/>
  <c r="N920" i="43" s="1"/>
  <c r="D920" i="18" s="1"/>
  <c r="F1961" i="43"/>
  <c r="M1895" i="43"/>
  <c r="N1895" i="43" s="1"/>
  <c r="D1895" i="18" s="1"/>
  <c r="M2090" i="43"/>
  <c r="F2156" i="43"/>
  <c r="M2156" i="43" s="1"/>
  <c r="G1739" i="43"/>
  <c r="K1706" i="43"/>
  <c r="M2025" i="43"/>
  <c r="N2025" i="43" s="1"/>
  <c r="D2025" i="18" s="1"/>
  <c r="F2091" i="43"/>
  <c r="F1376" i="43"/>
  <c r="M1310" i="43"/>
  <c r="N1310" i="43" s="1"/>
  <c r="D1310" i="18" s="1"/>
  <c r="M1375" i="43"/>
  <c r="N1375" i="43" s="1"/>
  <c r="D1375" i="18" s="1"/>
  <c r="F1441" i="43"/>
  <c r="G1771" i="43"/>
  <c r="K1738" i="43"/>
  <c r="N1738" i="43" s="1"/>
  <c r="D1738" i="18" s="1"/>
  <c r="K1418" i="43"/>
  <c r="N1418" i="43" s="1"/>
  <c r="D1418" i="18" s="1"/>
  <c r="G1451" i="43"/>
  <c r="M595" i="43"/>
  <c r="N595" i="43" s="1"/>
  <c r="D595" i="18" s="1"/>
  <c r="F661" i="43"/>
  <c r="G1963" i="43"/>
  <c r="K1930" i="43"/>
  <c r="N1930" i="43" s="1"/>
  <c r="D1930" i="18" s="1"/>
  <c r="K1962" i="43"/>
  <c r="G1995" i="43"/>
  <c r="F921" i="43"/>
  <c r="M855" i="43"/>
  <c r="N855" i="43" s="1"/>
  <c r="D855" i="18" s="1"/>
  <c r="F1116" i="43"/>
  <c r="M1050" i="43"/>
  <c r="N1050" i="43" s="1"/>
  <c r="D1050" i="18" s="1"/>
  <c r="K2058" i="43"/>
  <c r="N2058" i="43" s="1"/>
  <c r="D2058" i="18" s="1"/>
  <c r="G2091" i="43"/>
  <c r="M660" i="43"/>
  <c r="N660" i="43" s="1"/>
  <c r="D660" i="18" s="1"/>
  <c r="F726" i="43"/>
  <c r="G2059" i="43"/>
  <c r="K2026" i="43"/>
  <c r="K1514" i="43"/>
  <c r="G1547" i="43"/>
  <c r="M1440" i="43"/>
  <c r="N1440" i="43" s="1"/>
  <c r="D1440" i="18" s="1"/>
  <c r="F1506" i="43"/>
  <c r="K1578" i="43"/>
  <c r="G1611" i="43"/>
  <c r="M1960" i="43"/>
  <c r="N1960" i="43" s="1"/>
  <c r="D1960" i="18" s="1"/>
  <c r="F2026" i="43"/>
  <c r="K1642" i="43"/>
  <c r="G1675" i="43"/>
  <c r="G1419" i="43"/>
  <c r="K1386" i="43"/>
  <c r="F1051" i="43"/>
  <c r="M985" i="43"/>
  <c r="N985" i="43" s="1"/>
  <c r="D985" i="18" s="1"/>
  <c r="K2090" i="43"/>
  <c r="G2123" i="43"/>
  <c r="F1636" i="43"/>
  <c r="M1570" i="43"/>
  <c r="N1570" i="43" s="1"/>
  <c r="D1570" i="18" s="1"/>
  <c r="G2155" i="43"/>
  <c r="K2155" i="43" s="1"/>
  <c r="N2155" i="43" s="1"/>
  <c r="D2155" i="18" s="1"/>
  <c r="K2122" i="43"/>
  <c r="N2122" i="43" s="1"/>
  <c r="D2122" i="18" s="1"/>
  <c r="M1700" i="43"/>
  <c r="N1700" i="43" s="1"/>
  <c r="D1700" i="18" s="1"/>
  <c r="F1766" i="43"/>
  <c r="F1701" i="43"/>
  <c r="M1635" i="43"/>
  <c r="N1635" i="43" s="1"/>
  <c r="D1635" i="18" s="1"/>
  <c r="K1354" i="43"/>
  <c r="N1354" i="43" s="1"/>
  <c r="D1354" i="18" s="1"/>
  <c r="G1387" i="43"/>
  <c r="K1898" i="43"/>
  <c r="G1931" i="43"/>
  <c r="F1181" i="43"/>
  <c r="M1115" i="43"/>
  <c r="N1115" i="43" s="1"/>
  <c r="D1115" i="18" s="1"/>
  <c r="N2089" i="43"/>
  <c r="D2089" i="18" s="1"/>
  <c r="K1674" i="43"/>
  <c r="N1674" i="43" s="1"/>
  <c r="D1674" i="18" s="1"/>
  <c r="G1707" i="43"/>
  <c r="N2090" i="43" l="1"/>
  <c r="D2090" i="18" s="1"/>
  <c r="F2157" i="43"/>
  <c r="M2157" i="43" s="1"/>
  <c r="M2091" i="43"/>
  <c r="F1962" i="43"/>
  <c r="M1896" i="43"/>
  <c r="N1896" i="43" s="1"/>
  <c r="D1896" i="18" s="1"/>
  <c r="F1312" i="43"/>
  <c r="M1246" i="43"/>
  <c r="N1246" i="43" s="1"/>
  <c r="D1246" i="18" s="1"/>
  <c r="K1515" i="43"/>
  <c r="G1548" i="43"/>
  <c r="F1702" i="43"/>
  <c r="M1636" i="43"/>
  <c r="N1636" i="43" s="1"/>
  <c r="D1636" i="18" s="1"/>
  <c r="G1612" i="43"/>
  <c r="K1579" i="43"/>
  <c r="F922" i="43"/>
  <c r="M856" i="43"/>
  <c r="N856" i="43" s="1"/>
  <c r="D856" i="18" s="1"/>
  <c r="M1051" i="43"/>
  <c r="N1051" i="43" s="1"/>
  <c r="D1051" i="18" s="1"/>
  <c r="F1117" i="43"/>
  <c r="M1961" i="43"/>
  <c r="N1961" i="43" s="1"/>
  <c r="D1961" i="18" s="1"/>
  <c r="F2027" i="43"/>
  <c r="G1708" i="43"/>
  <c r="K1675" i="43"/>
  <c r="N1675" i="43" s="1"/>
  <c r="D1675" i="18" s="1"/>
  <c r="F1052" i="43"/>
  <c r="M986" i="43"/>
  <c r="N986" i="43" s="1"/>
  <c r="D986" i="18" s="1"/>
  <c r="F1637" i="43"/>
  <c r="M1571" i="43"/>
  <c r="N1571" i="43" s="1"/>
  <c r="D1571" i="18" s="1"/>
  <c r="F1182" i="43"/>
  <c r="M1116" i="43"/>
  <c r="N1116" i="43" s="1"/>
  <c r="D1116" i="18" s="1"/>
  <c r="K1931" i="43"/>
  <c r="N1931" i="43" s="1"/>
  <c r="D1931" i="18" s="1"/>
  <c r="G1964" i="43"/>
  <c r="G1644" i="43"/>
  <c r="K1611" i="43"/>
  <c r="N1611" i="43" s="1"/>
  <c r="D1611" i="18" s="1"/>
  <c r="G1484" i="43"/>
  <c r="K1451" i="43"/>
  <c r="F1377" i="43"/>
  <c r="M1311" i="43"/>
  <c r="N1311" i="43" s="1"/>
  <c r="D1311" i="18" s="1"/>
  <c r="K1867" i="43"/>
  <c r="N1867" i="43" s="1"/>
  <c r="D1867" i="18" s="1"/>
  <c r="G1900" i="43"/>
  <c r="G2028" i="43"/>
  <c r="K1995" i="43"/>
  <c r="N1995" i="43" s="1"/>
  <c r="D1995" i="18" s="1"/>
  <c r="K2027" i="43"/>
  <c r="G2060" i="43"/>
  <c r="G1740" i="43"/>
  <c r="K1707" i="43"/>
  <c r="K1419" i="43"/>
  <c r="N1419" i="43" s="1"/>
  <c r="D1419" i="18" s="1"/>
  <c r="G1452" i="43"/>
  <c r="K1963" i="43"/>
  <c r="G1996" i="43"/>
  <c r="G2124" i="43"/>
  <c r="K2091" i="43"/>
  <c r="K2123" i="43"/>
  <c r="N2123" i="43" s="1"/>
  <c r="D2123" i="18" s="1"/>
  <c r="G2156" i="43"/>
  <c r="K2156" i="43" s="1"/>
  <c r="N2156" i="43" s="1"/>
  <c r="D2156" i="18" s="1"/>
  <c r="G1772" i="43"/>
  <c r="K1739" i="43"/>
  <c r="N1739" i="43" s="1"/>
  <c r="D1739" i="18" s="1"/>
  <c r="F987" i="43"/>
  <c r="M921" i="43"/>
  <c r="N921" i="43" s="1"/>
  <c r="D921" i="18" s="1"/>
  <c r="G1580" i="43"/>
  <c r="K1547" i="43"/>
  <c r="N1547" i="43" s="1"/>
  <c r="D1547" i="18" s="1"/>
  <c r="F1897" i="43"/>
  <c r="M1831" i="43"/>
  <c r="N1831" i="43" s="1"/>
  <c r="D1831" i="18" s="1"/>
  <c r="G1932" i="43"/>
  <c r="K1899" i="43"/>
  <c r="F1442" i="43"/>
  <c r="M1376" i="43"/>
  <c r="N1376" i="43" s="1"/>
  <c r="D1376" i="18" s="1"/>
  <c r="G1868" i="43"/>
  <c r="K1835" i="43"/>
  <c r="K1771" i="43"/>
  <c r="G1804" i="43"/>
  <c r="G1420" i="43"/>
  <c r="K1387" i="43"/>
  <c r="M1701" i="43"/>
  <c r="N1701" i="43" s="1"/>
  <c r="D1701" i="18" s="1"/>
  <c r="F1767" i="43"/>
  <c r="M1766" i="43"/>
  <c r="N1766" i="43" s="1"/>
  <c r="D1766" i="18" s="1"/>
  <c r="F1832" i="43"/>
  <c r="M1441" i="43"/>
  <c r="N1441" i="43" s="1"/>
  <c r="D1441" i="18" s="1"/>
  <c r="F1507" i="43"/>
  <c r="G1836" i="43"/>
  <c r="K1803" i="43"/>
  <c r="N1803" i="43" s="1"/>
  <c r="D1803" i="18" s="1"/>
  <c r="F792" i="43"/>
  <c r="M726" i="43"/>
  <c r="N726" i="43" s="1"/>
  <c r="D726" i="18" s="1"/>
  <c r="K1483" i="43"/>
  <c r="N1483" i="43" s="1"/>
  <c r="D1483" i="18" s="1"/>
  <c r="G1516" i="43"/>
  <c r="F857" i="43"/>
  <c r="M791" i="43"/>
  <c r="N791" i="43" s="1"/>
  <c r="D791" i="18" s="1"/>
  <c r="F727" i="43"/>
  <c r="M661" i="43"/>
  <c r="N661" i="43" s="1"/>
  <c r="D661" i="18" s="1"/>
  <c r="F1247" i="43"/>
  <c r="M1181" i="43"/>
  <c r="N1181" i="43" s="1"/>
  <c r="D1181" i="18" s="1"/>
  <c r="M2026" i="43"/>
  <c r="N2026" i="43" s="1"/>
  <c r="D2026" i="18" s="1"/>
  <c r="F2092" i="43"/>
  <c r="F1572" i="43"/>
  <c r="M1506" i="43"/>
  <c r="N1506" i="43" s="1"/>
  <c r="D1506" i="18" s="1"/>
  <c r="K2059" i="43"/>
  <c r="N2059" i="43" s="1"/>
  <c r="D2059" i="18" s="1"/>
  <c r="G2092" i="43"/>
  <c r="K1643" i="43"/>
  <c r="G1676" i="43"/>
  <c r="N2091" i="43" l="1"/>
  <c r="D2091" i="18" s="1"/>
  <c r="F1703" i="43"/>
  <c r="M1637" i="43"/>
  <c r="N1637" i="43" s="1"/>
  <c r="D1637" i="18" s="1"/>
  <c r="F1118" i="43"/>
  <c r="M1052" i="43"/>
  <c r="N1052" i="43" s="1"/>
  <c r="D1052" i="18" s="1"/>
  <c r="G1901" i="43"/>
  <c r="K1868" i="43"/>
  <c r="N1868" i="43" s="1"/>
  <c r="D1868" i="18" s="1"/>
  <c r="K1740" i="43"/>
  <c r="N1740" i="43" s="1"/>
  <c r="D1740" i="18" s="1"/>
  <c r="G1773" i="43"/>
  <c r="F793" i="43"/>
  <c r="M727" i="43"/>
  <c r="N727" i="43" s="1"/>
  <c r="D727" i="18" s="1"/>
  <c r="G2093" i="43"/>
  <c r="K2060" i="43"/>
  <c r="N2060" i="43" s="1"/>
  <c r="D2060" i="18" s="1"/>
  <c r="G1741" i="43"/>
  <c r="K1708" i="43"/>
  <c r="F2093" i="43"/>
  <c r="M2027" i="43"/>
  <c r="N2027" i="43" s="1"/>
  <c r="D2027" i="18" s="1"/>
  <c r="K1932" i="43"/>
  <c r="N1932" i="43" s="1"/>
  <c r="D1932" i="18" s="1"/>
  <c r="G1965" i="43"/>
  <c r="K2028" i="43"/>
  <c r="G2061" i="43"/>
  <c r="F1183" i="43"/>
  <c r="M1117" i="43"/>
  <c r="N1117" i="43" s="1"/>
  <c r="D1117" i="18" s="1"/>
  <c r="F1313" i="43"/>
  <c r="M1247" i="43"/>
  <c r="N1247" i="43" s="1"/>
  <c r="D1247" i="18" s="1"/>
  <c r="M922" i="43"/>
  <c r="N922" i="43" s="1"/>
  <c r="D922" i="18" s="1"/>
  <c r="F988" i="43"/>
  <c r="K1836" i="43"/>
  <c r="G1869" i="43"/>
  <c r="G1613" i="43"/>
  <c r="K1580" i="43"/>
  <c r="F1443" i="43"/>
  <c r="M1377" i="43"/>
  <c r="N1377" i="43" s="1"/>
  <c r="D1377" i="18" s="1"/>
  <c r="F1573" i="43"/>
  <c r="M1507" i="43"/>
  <c r="N1507" i="43" s="1"/>
  <c r="D1507" i="18" s="1"/>
  <c r="K1612" i="43"/>
  <c r="N1612" i="43" s="1"/>
  <c r="D1612" i="18" s="1"/>
  <c r="G1645" i="43"/>
  <c r="G1837" i="43"/>
  <c r="K1804" i="43"/>
  <c r="N1804" i="43" s="1"/>
  <c r="D1804" i="18" s="1"/>
  <c r="F1768" i="43"/>
  <c r="M1702" i="43"/>
  <c r="N1702" i="43" s="1"/>
  <c r="D1702" i="18" s="1"/>
  <c r="G1677" i="43"/>
  <c r="K1644" i="43"/>
  <c r="G1581" i="43"/>
  <c r="K1548" i="43"/>
  <c r="N1548" i="43" s="1"/>
  <c r="D1548" i="18" s="1"/>
  <c r="K2092" i="43"/>
  <c r="G2125" i="43"/>
  <c r="K1772" i="43"/>
  <c r="G1805" i="43"/>
  <c r="G1485" i="43"/>
  <c r="K1452" i="43"/>
  <c r="K1484" i="43"/>
  <c r="N1484" i="43" s="1"/>
  <c r="D1484" i="18" s="1"/>
  <c r="G1517" i="43"/>
  <c r="G1709" i="43"/>
  <c r="K1676" i="43"/>
  <c r="N1676" i="43" s="1"/>
  <c r="D1676" i="18" s="1"/>
  <c r="F1898" i="43"/>
  <c r="M1832" i="43"/>
  <c r="N1832" i="43" s="1"/>
  <c r="D1832" i="18" s="1"/>
  <c r="F1053" i="43"/>
  <c r="M987" i="43"/>
  <c r="N987" i="43" s="1"/>
  <c r="D987" i="18" s="1"/>
  <c r="F1833" i="43"/>
  <c r="M1767" i="43"/>
  <c r="N1767" i="43" s="1"/>
  <c r="D1767" i="18" s="1"/>
  <c r="G1997" i="43"/>
  <c r="K1964" i="43"/>
  <c r="F923" i="43"/>
  <c r="M857" i="43"/>
  <c r="N857" i="43" s="1"/>
  <c r="D857" i="18" s="1"/>
  <c r="F1508" i="43"/>
  <c r="M1442" i="43"/>
  <c r="N1442" i="43" s="1"/>
  <c r="D1442" i="18" s="1"/>
  <c r="G1549" i="43"/>
  <c r="K1516" i="43"/>
  <c r="F1378" i="43"/>
  <c r="M1312" i="43"/>
  <c r="N1312" i="43" s="1"/>
  <c r="D1312" i="18" s="1"/>
  <c r="F858" i="43"/>
  <c r="M792" i="43"/>
  <c r="N792" i="43" s="1"/>
  <c r="D792" i="18" s="1"/>
  <c r="F2028" i="43"/>
  <c r="M1962" i="43"/>
  <c r="N1962" i="43" s="1"/>
  <c r="D1962" i="18" s="1"/>
  <c r="K1900" i="43"/>
  <c r="G1933" i="43"/>
  <c r="F1963" i="43"/>
  <c r="M1897" i="43"/>
  <c r="N1897" i="43" s="1"/>
  <c r="D1897" i="18" s="1"/>
  <c r="M1572" i="43"/>
  <c r="N1572" i="43" s="1"/>
  <c r="D1572" i="18" s="1"/>
  <c r="F1638" i="43"/>
  <c r="G1453" i="43"/>
  <c r="K1420" i="43"/>
  <c r="N1420" i="43" s="1"/>
  <c r="D1420" i="18" s="1"/>
  <c r="K2124" i="43"/>
  <c r="N2124" i="43" s="1"/>
  <c r="D2124" i="18" s="1"/>
  <c r="G2157" i="43"/>
  <c r="K2157" i="43" s="1"/>
  <c r="N2157" i="43" s="1"/>
  <c r="D2157" i="18" s="1"/>
  <c r="K1996" i="43"/>
  <c r="N1996" i="43" s="1"/>
  <c r="D1996" i="18" s="1"/>
  <c r="G2029" i="43"/>
  <c r="F1248" i="43"/>
  <c r="M1182" i="43"/>
  <c r="N1182" i="43" s="1"/>
  <c r="D1182" i="18" s="1"/>
  <c r="F2158" i="43"/>
  <c r="M2158" i="43" s="1"/>
  <c r="M2092" i="43"/>
  <c r="G2062" i="43" l="1"/>
  <c r="K2029" i="43"/>
  <c r="F1249" i="43"/>
  <c r="M1183" i="43"/>
  <c r="N1183" i="43" s="1"/>
  <c r="D1183" i="18" s="1"/>
  <c r="G2094" i="43"/>
  <c r="K2061" i="43"/>
  <c r="N2061" i="43" s="1"/>
  <c r="D2061" i="18" s="1"/>
  <c r="K1677" i="43"/>
  <c r="N1677" i="43" s="1"/>
  <c r="D1677" i="18" s="1"/>
  <c r="G1710" i="43"/>
  <c r="K1997" i="43"/>
  <c r="N1997" i="43" s="1"/>
  <c r="D1997" i="18" s="1"/>
  <c r="G2030" i="43"/>
  <c r="M1833" i="43"/>
  <c r="N1833" i="43" s="1"/>
  <c r="D1833" i="18" s="1"/>
  <c r="F1899" i="43"/>
  <c r="F1704" i="43"/>
  <c r="M1638" i="43"/>
  <c r="N1638" i="43" s="1"/>
  <c r="D1638" i="18" s="1"/>
  <c r="K1837" i="43"/>
  <c r="G1870" i="43"/>
  <c r="F2159" i="43"/>
  <c r="M2159" i="43" s="1"/>
  <c r="M2093" i="43"/>
  <c r="G1678" i="43"/>
  <c r="K1645" i="43"/>
  <c r="F1119" i="43"/>
  <c r="M1053" i="43"/>
  <c r="N1053" i="43" s="1"/>
  <c r="D1053" i="18" s="1"/>
  <c r="K1741" i="43"/>
  <c r="N1741" i="43" s="1"/>
  <c r="D1741" i="18" s="1"/>
  <c r="G1774" i="43"/>
  <c r="F1639" i="43"/>
  <c r="M1573" i="43"/>
  <c r="N1573" i="43" s="1"/>
  <c r="D1573" i="18" s="1"/>
  <c r="K2093" i="43"/>
  <c r="G2126" i="43"/>
  <c r="F859" i="43"/>
  <c r="M793" i="43"/>
  <c r="N793" i="43" s="1"/>
  <c r="D793" i="18" s="1"/>
  <c r="F1509" i="43"/>
  <c r="M1443" i="43"/>
  <c r="N1443" i="43" s="1"/>
  <c r="D1443" i="18" s="1"/>
  <c r="G1806" i="43"/>
  <c r="K1773" i="43"/>
  <c r="G1998" i="43"/>
  <c r="K1965" i="43"/>
  <c r="F1834" i="43"/>
  <c r="M1768" i="43"/>
  <c r="N1768" i="43" s="1"/>
  <c r="D1768" i="18" s="1"/>
  <c r="K1453" i="43"/>
  <c r="G1486" i="43"/>
  <c r="G1902" i="43"/>
  <c r="K1869" i="43"/>
  <c r="N1869" i="43" s="1"/>
  <c r="D1869" i="18" s="1"/>
  <c r="K1901" i="43"/>
  <c r="G1934" i="43"/>
  <c r="G1614" i="43"/>
  <c r="K1581" i="43"/>
  <c r="F2029" i="43"/>
  <c r="M1963" i="43"/>
  <c r="N1963" i="43" s="1"/>
  <c r="D1963" i="18" s="1"/>
  <c r="G1646" i="43"/>
  <c r="K1613" i="43"/>
  <c r="N1613" i="43" s="1"/>
  <c r="D1613" i="18" s="1"/>
  <c r="F1444" i="43"/>
  <c r="M1378" i="43"/>
  <c r="N1378" i="43" s="1"/>
  <c r="D1378" i="18" s="1"/>
  <c r="K1805" i="43"/>
  <c r="N1805" i="43" s="1"/>
  <c r="D1805" i="18" s="1"/>
  <c r="G1838" i="43"/>
  <c r="F1054" i="43"/>
  <c r="M988" i="43"/>
  <c r="N988" i="43" s="1"/>
  <c r="D988" i="18" s="1"/>
  <c r="F1184" i="43"/>
  <c r="M1118" i="43"/>
  <c r="N1118" i="43" s="1"/>
  <c r="D1118" i="18" s="1"/>
  <c r="G1550" i="43"/>
  <c r="K1517" i="43"/>
  <c r="M858" i="43"/>
  <c r="N858" i="43" s="1"/>
  <c r="D858" i="18" s="1"/>
  <c r="F924" i="43"/>
  <c r="G2158" i="43"/>
  <c r="K2158" i="43" s="1"/>
  <c r="N2158" i="43" s="1"/>
  <c r="D2158" i="18" s="1"/>
  <c r="K2125" i="43"/>
  <c r="N2125" i="43" s="1"/>
  <c r="D2125" i="18" s="1"/>
  <c r="M923" i="43"/>
  <c r="N923" i="43" s="1"/>
  <c r="D923" i="18" s="1"/>
  <c r="F989" i="43"/>
  <c r="G1518" i="43"/>
  <c r="K1485" i="43"/>
  <c r="N1485" i="43" s="1"/>
  <c r="D1485" i="18" s="1"/>
  <c r="G1582" i="43"/>
  <c r="K1549" i="43"/>
  <c r="N1549" i="43" s="1"/>
  <c r="D1549" i="18" s="1"/>
  <c r="N2092" i="43"/>
  <c r="D2092" i="18" s="1"/>
  <c r="F1379" i="43"/>
  <c r="M1313" i="43"/>
  <c r="N1313" i="43" s="1"/>
  <c r="D1313" i="18" s="1"/>
  <c r="G1966" i="43"/>
  <c r="K1933" i="43"/>
  <c r="N1933" i="43" s="1"/>
  <c r="D1933" i="18" s="1"/>
  <c r="M1898" i="43"/>
  <c r="N1898" i="43" s="1"/>
  <c r="D1898" i="18" s="1"/>
  <c r="F1964" i="43"/>
  <c r="G1742" i="43"/>
  <c r="K1709" i="43"/>
  <c r="F2094" i="43"/>
  <c r="M2028" i="43"/>
  <c r="N2028" i="43" s="1"/>
  <c r="D2028" i="18" s="1"/>
  <c r="F1314" i="43"/>
  <c r="M1248" i="43"/>
  <c r="N1248" i="43" s="1"/>
  <c r="D1248" i="18" s="1"/>
  <c r="F1574" i="43"/>
  <c r="M1508" i="43"/>
  <c r="N1508" i="43" s="1"/>
  <c r="D1508" i="18" s="1"/>
  <c r="F1769" i="43"/>
  <c r="M1703" i="43"/>
  <c r="N1703" i="43" s="1"/>
  <c r="D1703" i="18" s="1"/>
  <c r="K1870" i="43" l="1"/>
  <c r="N1870" i="43" s="1"/>
  <c r="D1870" i="18" s="1"/>
  <c r="G1903" i="43"/>
  <c r="G2031" i="43"/>
  <c r="K1998" i="43"/>
  <c r="N1998" i="43" s="1"/>
  <c r="D1998" i="18" s="1"/>
  <c r="F1770" i="43"/>
  <c r="M1704" i="43"/>
  <c r="N1704" i="43" s="1"/>
  <c r="D1704" i="18" s="1"/>
  <c r="M1054" i="43"/>
  <c r="N1054" i="43" s="1"/>
  <c r="D1054" i="18" s="1"/>
  <c r="F1120" i="43"/>
  <c r="M1899" i="43"/>
  <c r="N1899" i="43" s="1"/>
  <c r="D1899" i="18" s="1"/>
  <c r="F1965" i="43"/>
  <c r="K1966" i="43"/>
  <c r="G1999" i="43"/>
  <c r="K1806" i="43"/>
  <c r="N1806" i="43" s="1"/>
  <c r="D1806" i="18" s="1"/>
  <c r="G1839" i="43"/>
  <c r="G2063" i="43"/>
  <c r="K2030" i="43"/>
  <c r="F1575" i="43"/>
  <c r="M1509" i="43"/>
  <c r="N1509" i="43" s="1"/>
  <c r="D1509" i="18" s="1"/>
  <c r="G1743" i="43"/>
  <c r="K1710" i="43"/>
  <c r="F1510" i="43"/>
  <c r="M1444" i="43"/>
  <c r="N1444" i="43" s="1"/>
  <c r="D1444" i="18" s="1"/>
  <c r="F925" i="43"/>
  <c r="M859" i="43"/>
  <c r="N859" i="43" s="1"/>
  <c r="D859" i="18" s="1"/>
  <c r="M1769" i="43"/>
  <c r="N1769" i="43" s="1"/>
  <c r="D1769" i="18" s="1"/>
  <c r="F1835" i="43"/>
  <c r="G1967" i="43"/>
  <c r="K1934" i="43"/>
  <c r="N1934" i="43" s="1"/>
  <c r="D1934" i="18" s="1"/>
  <c r="F1185" i="43"/>
  <c r="M1119" i="43"/>
  <c r="N1119" i="43" s="1"/>
  <c r="D1119" i="18" s="1"/>
  <c r="F1640" i="43"/>
  <c r="M1574" i="43"/>
  <c r="N1574" i="43" s="1"/>
  <c r="D1574" i="18" s="1"/>
  <c r="M924" i="43"/>
  <c r="N924" i="43" s="1"/>
  <c r="D924" i="18" s="1"/>
  <c r="F990" i="43"/>
  <c r="G1711" i="43"/>
  <c r="K1678" i="43"/>
  <c r="N1678" i="43" s="1"/>
  <c r="D1678" i="18" s="1"/>
  <c r="G1583" i="43"/>
  <c r="K1550" i="43"/>
  <c r="N1550" i="43" s="1"/>
  <c r="D1550" i="18" s="1"/>
  <c r="F1900" i="43"/>
  <c r="M1834" i="43"/>
  <c r="N1834" i="43" s="1"/>
  <c r="D1834" i="18" s="1"/>
  <c r="G1775" i="43"/>
  <c r="K1742" i="43"/>
  <c r="N1742" i="43" s="1"/>
  <c r="D1742" i="18" s="1"/>
  <c r="F1250" i="43"/>
  <c r="M1184" i="43"/>
  <c r="N1184" i="43" s="1"/>
  <c r="D1184" i="18" s="1"/>
  <c r="M1379" i="43"/>
  <c r="N1379" i="43" s="1"/>
  <c r="D1379" i="18" s="1"/>
  <c r="F1445" i="43"/>
  <c r="K1646" i="43"/>
  <c r="G1679" i="43"/>
  <c r="N2093" i="43"/>
  <c r="D2093" i="18" s="1"/>
  <c r="G2127" i="43"/>
  <c r="K2094" i="43"/>
  <c r="G1935" i="43"/>
  <c r="K1902" i="43"/>
  <c r="F1380" i="43"/>
  <c r="M1314" i="43"/>
  <c r="N1314" i="43" s="1"/>
  <c r="D1314" i="18" s="1"/>
  <c r="K1518" i="43"/>
  <c r="G1551" i="43"/>
  <c r="F2160" i="43"/>
  <c r="M2160" i="43" s="1"/>
  <c r="M2094" i="43"/>
  <c r="F2030" i="43"/>
  <c r="M1964" i="43"/>
  <c r="N1964" i="43" s="1"/>
  <c r="D1964" i="18" s="1"/>
  <c r="G1871" i="43"/>
  <c r="K1838" i="43"/>
  <c r="G2159" i="43"/>
  <c r="K2159" i="43" s="1"/>
  <c r="N2159" i="43" s="1"/>
  <c r="D2159" i="18" s="1"/>
  <c r="K2126" i="43"/>
  <c r="N2126" i="43" s="1"/>
  <c r="D2126" i="18" s="1"/>
  <c r="G1519" i="43"/>
  <c r="K1486" i="43"/>
  <c r="N1486" i="43" s="1"/>
  <c r="D1486" i="18" s="1"/>
  <c r="K1582" i="43"/>
  <c r="G1615" i="43"/>
  <c r="F1705" i="43"/>
  <c r="M1639" i="43"/>
  <c r="N1639" i="43" s="1"/>
  <c r="D1639" i="18" s="1"/>
  <c r="M989" i="43"/>
  <c r="N989" i="43" s="1"/>
  <c r="D989" i="18" s="1"/>
  <c r="F1055" i="43"/>
  <c r="F2095" i="43"/>
  <c r="M2029" i="43"/>
  <c r="N2029" i="43" s="1"/>
  <c r="D2029" i="18" s="1"/>
  <c r="G1807" i="43"/>
  <c r="K1774" i="43"/>
  <c r="F1315" i="43"/>
  <c r="M1249" i="43"/>
  <c r="N1249" i="43" s="1"/>
  <c r="D1249" i="18" s="1"/>
  <c r="G1647" i="43"/>
  <c r="K1614" i="43"/>
  <c r="N1614" i="43" s="1"/>
  <c r="D1614" i="18" s="1"/>
  <c r="K2062" i="43"/>
  <c r="N2062" i="43" s="1"/>
  <c r="D2062" i="18" s="1"/>
  <c r="G2095" i="43"/>
  <c r="G2032" i="43" l="1"/>
  <c r="K1999" i="43"/>
  <c r="N1999" i="43" s="1"/>
  <c r="D1999" i="18" s="1"/>
  <c r="K1647" i="43"/>
  <c r="G1680" i="43"/>
  <c r="G2096" i="43"/>
  <c r="K2063" i="43"/>
  <c r="N2063" i="43" s="1"/>
  <c r="D2063" i="18" s="1"/>
  <c r="F1056" i="43"/>
  <c r="M990" i="43"/>
  <c r="N990" i="43" s="1"/>
  <c r="D990" i="18" s="1"/>
  <c r="M1510" i="43"/>
  <c r="N1510" i="43" s="1"/>
  <c r="D1510" i="18" s="1"/>
  <c r="F1576" i="43"/>
  <c r="F2031" i="43"/>
  <c r="M1965" i="43"/>
  <c r="N1965" i="43" s="1"/>
  <c r="D1965" i="18" s="1"/>
  <c r="F1186" i="43"/>
  <c r="M1120" i="43"/>
  <c r="N1120" i="43" s="1"/>
  <c r="D1120" i="18" s="1"/>
  <c r="F1966" i="43"/>
  <c r="M1900" i="43"/>
  <c r="N1900" i="43" s="1"/>
  <c r="D1900" i="18" s="1"/>
  <c r="G1552" i="43"/>
  <c r="K1519" i="43"/>
  <c r="G2128" i="43"/>
  <c r="K2095" i="43"/>
  <c r="G1776" i="43"/>
  <c r="K1743" i="43"/>
  <c r="N1743" i="43" s="1"/>
  <c r="D1743" i="18" s="1"/>
  <c r="G1904" i="43"/>
  <c r="K1871" i="43"/>
  <c r="N1871" i="43" s="1"/>
  <c r="D1871" i="18" s="1"/>
  <c r="F1316" i="43"/>
  <c r="M1250" i="43"/>
  <c r="N1250" i="43" s="1"/>
  <c r="D1250" i="18" s="1"/>
  <c r="F1381" i="43"/>
  <c r="M1315" i="43"/>
  <c r="N1315" i="43" s="1"/>
  <c r="D1315" i="18" s="1"/>
  <c r="N2094" i="43"/>
  <c r="D2094" i="18" s="1"/>
  <c r="G2000" i="43"/>
  <c r="K1967" i="43"/>
  <c r="F1836" i="43"/>
  <c r="M1770" i="43"/>
  <c r="N1770" i="43" s="1"/>
  <c r="D1770" i="18" s="1"/>
  <c r="G1584" i="43"/>
  <c r="K1551" i="43"/>
  <c r="N1551" i="43" s="1"/>
  <c r="D1551" i="18" s="1"/>
  <c r="M1640" i="43"/>
  <c r="N1640" i="43" s="1"/>
  <c r="D1640" i="18" s="1"/>
  <c r="F1706" i="43"/>
  <c r="G1840" i="43"/>
  <c r="K1807" i="43"/>
  <c r="N1807" i="43" s="1"/>
  <c r="D1807" i="18" s="1"/>
  <c r="F2161" i="43"/>
  <c r="M2161" i="43" s="1"/>
  <c r="M2095" i="43"/>
  <c r="F1446" i="43"/>
  <c r="M1380" i="43"/>
  <c r="N1380" i="43" s="1"/>
  <c r="D1380" i="18" s="1"/>
  <c r="F1121" i="43"/>
  <c r="M1055" i="43"/>
  <c r="N1055" i="43" s="1"/>
  <c r="D1055" i="18" s="1"/>
  <c r="F1251" i="43"/>
  <c r="M1185" i="43"/>
  <c r="N1185" i="43" s="1"/>
  <c r="D1185" i="18" s="1"/>
  <c r="K2031" i="43"/>
  <c r="G2064" i="43"/>
  <c r="M1705" i="43"/>
  <c r="N1705" i="43" s="1"/>
  <c r="D1705" i="18" s="1"/>
  <c r="F1771" i="43"/>
  <c r="K2127" i="43"/>
  <c r="N2127" i="43" s="1"/>
  <c r="D2127" i="18" s="1"/>
  <c r="G2160" i="43"/>
  <c r="K2160" i="43" s="1"/>
  <c r="N2160" i="43" s="1"/>
  <c r="D2160" i="18" s="1"/>
  <c r="F1901" i="43"/>
  <c r="M1835" i="43"/>
  <c r="N1835" i="43" s="1"/>
  <c r="D1835" i="18" s="1"/>
  <c r="K1615" i="43"/>
  <c r="N1615" i="43" s="1"/>
  <c r="D1615" i="18" s="1"/>
  <c r="G1648" i="43"/>
  <c r="G1616" i="43"/>
  <c r="K1583" i="43"/>
  <c r="G1744" i="43"/>
  <c r="K1711" i="43"/>
  <c r="K1935" i="43"/>
  <c r="N1935" i="43" s="1"/>
  <c r="D1935" i="18" s="1"/>
  <c r="G1968" i="43"/>
  <c r="G1712" i="43"/>
  <c r="K1679" i="43"/>
  <c r="N1679" i="43" s="1"/>
  <c r="D1679" i="18" s="1"/>
  <c r="M925" i="43"/>
  <c r="N925" i="43" s="1"/>
  <c r="D925" i="18" s="1"/>
  <c r="F991" i="43"/>
  <c r="G1936" i="43"/>
  <c r="K1903" i="43"/>
  <c r="K1775" i="43"/>
  <c r="G1808" i="43"/>
  <c r="M1575" i="43"/>
  <c r="N1575" i="43" s="1"/>
  <c r="D1575" i="18" s="1"/>
  <c r="F1641" i="43"/>
  <c r="F2096" i="43"/>
  <c r="M2030" i="43"/>
  <c r="N2030" i="43" s="1"/>
  <c r="D2030" i="18" s="1"/>
  <c r="K1839" i="43"/>
  <c r="G1872" i="43"/>
  <c r="F1511" i="43"/>
  <c r="M1445" i="43"/>
  <c r="N1445" i="43" s="1"/>
  <c r="D1445" i="18" s="1"/>
  <c r="G1745" i="43" l="1"/>
  <c r="K1712" i="43"/>
  <c r="G2161" i="43"/>
  <c r="K2161" i="43" s="1"/>
  <c r="N2161" i="43" s="1"/>
  <c r="D2161" i="18" s="1"/>
  <c r="K2128" i="43"/>
  <c r="N2128" i="43" s="1"/>
  <c r="D2128" i="18" s="1"/>
  <c r="F1772" i="43"/>
  <c r="M1706" i="43"/>
  <c r="N1706" i="43" s="1"/>
  <c r="D1706" i="18" s="1"/>
  <c r="F2032" i="43"/>
  <c r="M1966" i="43"/>
  <c r="N1966" i="43" s="1"/>
  <c r="D1966" i="18" s="1"/>
  <c r="M1186" i="43"/>
  <c r="N1186" i="43" s="1"/>
  <c r="D1186" i="18" s="1"/>
  <c r="F1252" i="43"/>
  <c r="F2097" i="43"/>
  <c r="M2031" i="43"/>
  <c r="N2031" i="43" s="1"/>
  <c r="D2031" i="18" s="1"/>
  <c r="F1967" i="43"/>
  <c r="M1901" i="43"/>
  <c r="N1901" i="43" s="1"/>
  <c r="D1901" i="18" s="1"/>
  <c r="F1902" i="43"/>
  <c r="M1836" i="43"/>
  <c r="N1836" i="43" s="1"/>
  <c r="D1836" i="18" s="1"/>
  <c r="F1642" i="43"/>
  <c r="M1576" i="43"/>
  <c r="N1576" i="43" s="1"/>
  <c r="D1576" i="18" s="1"/>
  <c r="K2000" i="43"/>
  <c r="N2000" i="43" s="1"/>
  <c r="D2000" i="18" s="1"/>
  <c r="G2033" i="43"/>
  <c r="F1122" i="43"/>
  <c r="M1056" i="43"/>
  <c r="N1056" i="43" s="1"/>
  <c r="D1056" i="18" s="1"/>
  <c r="G2097" i="43"/>
  <c r="K2064" i="43"/>
  <c r="N2064" i="43" s="1"/>
  <c r="D2064" i="18" s="1"/>
  <c r="F1447" i="43"/>
  <c r="M1381" i="43"/>
  <c r="N1381" i="43" s="1"/>
  <c r="D1381" i="18" s="1"/>
  <c r="K2096" i="43"/>
  <c r="G2129" i="43"/>
  <c r="F2162" i="43"/>
  <c r="M2162" i="43" s="1"/>
  <c r="M2096" i="43"/>
  <c r="F1707" i="43"/>
  <c r="M1641" i="43"/>
  <c r="N1641" i="43" s="1"/>
  <c r="D1641" i="18" s="1"/>
  <c r="F1837" i="43"/>
  <c r="M1771" i="43"/>
  <c r="N1771" i="43" s="1"/>
  <c r="D1771" i="18" s="1"/>
  <c r="K1680" i="43"/>
  <c r="N1680" i="43" s="1"/>
  <c r="D1680" i="18" s="1"/>
  <c r="G1713" i="43"/>
  <c r="G1969" i="43"/>
  <c r="K1936" i="43"/>
  <c r="N1936" i="43" s="1"/>
  <c r="D1936" i="18" s="1"/>
  <c r="M1251" i="43"/>
  <c r="N1251" i="43" s="1"/>
  <c r="D1251" i="18" s="1"/>
  <c r="F1317" i="43"/>
  <c r="F1382" i="43"/>
  <c r="M1316" i="43"/>
  <c r="N1316" i="43" s="1"/>
  <c r="D1316" i="18" s="1"/>
  <c r="N2095" i="43"/>
  <c r="D2095" i="18" s="1"/>
  <c r="G2001" i="43"/>
  <c r="K1968" i="43"/>
  <c r="F1057" i="43"/>
  <c r="M991" i="43"/>
  <c r="N991" i="43" s="1"/>
  <c r="D991" i="18" s="1"/>
  <c r="M1121" i="43"/>
  <c r="N1121" i="43" s="1"/>
  <c r="D1121" i="18" s="1"/>
  <c r="F1187" i="43"/>
  <c r="K1904" i="43"/>
  <c r="G1937" i="43"/>
  <c r="G2065" i="43"/>
  <c r="K2032" i="43"/>
  <c r="G1681" i="43"/>
  <c r="K1648" i="43"/>
  <c r="G1841" i="43"/>
  <c r="K1808" i="43"/>
  <c r="N1808" i="43" s="1"/>
  <c r="D1808" i="18" s="1"/>
  <c r="K1840" i="43"/>
  <c r="G1873" i="43"/>
  <c r="K1552" i="43"/>
  <c r="N1552" i="43" s="1"/>
  <c r="D1552" i="18" s="1"/>
  <c r="G1585" i="43"/>
  <c r="K1744" i="43"/>
  <c r="N1744" i="43" s="1"/>
  <c r="D1744" i="18" s="1"/>
  <c r="G1777" i="43"/>
  <c r="K1616" i="43"/>
  <c r="N1616" i="43" s="1"/>
  <c r="D1616" i="18" s="1"/>
  <c r="G1649" i="43"/>
  <c r="F1577" i="43"/>
  <c r="M1511" i="43"/>
  <c r="N1511" i="43" s="1"/>
  <c r="D1511" i="18" s="1"/>
  <c r="G1617" i="43"/>
  <c r="K1584" i="43"/>
  <c r="G1905" i="43"/>
  <c r="K1872" i="43"/>
  <c r="N1872" i="43" s="1"/>
  <c r="D1872" i="18" s="1"/>
  <c r="F1512" i="43"/>
  <c r="M1446" i="43"/>
  <c r="N1446" i="43" s="1"/>
  <c r="D1446" i="18" s="1"/>
  <c r="G1809" i="43"/>
  <c r="K1776" i="43"/>
  <c r="G1810" i="43" l="1"/>
  <c r="K1777" i="43"/>
  <c r="G2066" i="43"/>
  <c r="K2033" i="43"/>
  <c r="F1383" i="43"/>
  <c r="M1317" i="43"/>
  <c r="N1317" i="43" s="1"/>
  <c r="D1317" i="18" s="1"/>
  <c r="F1708" i="43"/>
  <c r="M1642" i="43"/>
  <c r="N1642" i="43" s="1"/>
  <c r="D1642" i="18" s="1"/>
  <c r="G1746" i="43"/>
  <c r="K1713" i="43"/>
  <c r="F2033" i="43"/>
  <c r="M1967" i="43"/>
  <c r="N1967" i="43" s="1"/>
  <c r="D1967" i="18" s="1"/>
  <c r="M1382" i="43"/>
  <c r="N1382" i="43" s="1"/>
  <c r="D1382" i="18" s="1"/>
  <c r="F1448" i="43"/>
  <c r="F1903" i="43"/>
  <c r="M1837" i="43"/>
  <c r="N1837" i="43" s="1"/>
  <c r="D1837" i="18" s="1"/>
  <c r="M2097" i="43"/>
  <c r="F2163" i="43"/>
  <c r="M2163" i="43" s="1"/>
  <c r="M1902" i="43"/>
  <c r="N1902" i="43" s="1"/>
  <c r="D1902" i="18" s="1"/>
  <c r="F1968" i="43"/>
  <c r="G1874" i="43"/>
  <c r="K1841" i="43"/>
  <c r="G1970" i="43"/>
  <c r="K1937" i="43"/>
  <c r="N1937" i="43" s="1"/>
  <c r="D1937" i="18" s="1"/>
  <c r="M1707" i="43"/>
  <c r="N1707" i="43" s="1"/>
  <c r="D1707" i="18" s="1"/>
  <c r="F1773" i="43"/>
  <c r="F1318" i="43"/>
  <c r="M1252" i="43"/>
  <c r="N1252" i="43" s="1"/>
  <c r="D1252" i="18" s="1"/>
  <c r="M2032" i="43"/>
  <c r="N2032" i="43" s="1"/>
  <c r="D2032" i="18" s="1"/>
  <c r="F2098" i="43"/>
  <c r="M1122" i="43"/>
  <c r="N1122" i="43" s="1"/>
  <c r="D1122" i="18" s="1"/>
  <c r="F1188" i="43"/>
  <c r="G2162" i="43"/>
  <c r="K2162" i="43" s="1"/>
  <c r="N2162" i="43" s="1"/>
  <c r="D2162" i="18" s="1"/>
  <c r="K2129" i="43"/>
  <c r="N2129" i="43" s="1"/>
  <c r="D2129" i="18" s="1"/>
  <c r="K1905" i="43"/>
  <c r="G1938" i="43"/>
  <c r="F1123" i="43"/>
  <c r="M1057" i="43"/>
  <c r="N1057" i="43" s="1"/>
  <c r="D1057" i="18" s="1"/>
  <c r="N2096" i="43"/>
  <c r="D2096" i="18" s="1"/>
  <c r="M1772" i="43"/>
  <c r="N1772" i="43" s="1"/>
  <c r="D1772" i="18" s="1"/>
  <c r="F1838" i="43"/>
  <c r="K1969" i="43"/>
  <c r="G2002" i="43"/>
  <c r="K1681" i="43"/>
  <c r="N1681" i="43" s="1"/>
  <c r="D1681" i="18" s="1"/>
  <c r="G1714" i="43"/>
  <c r="K2065" i="43"/>
  <c r="N2065" i="43" s="1"/>
  <c r="D2065" i="18" s="1"/>
  <c r="G2098" i="43"/>
  <c r="K1809" i="43"/>
  <c r="N1809" i="43" s="1"/>
  <c r="D1809" i="18" s="1"/>
  <c r="G1842" i="43"/>
  <c r="K1585" i="43"/>
  <c r="G1618" i="43"/>
  <c r="M1187" i="43"/>
  <c r="N1187" i="43" s="1"/>
  <c r="D1187" i="18" s="1"/>
  <c r="F1253" i="43"/>
  <c r="M1512" i="43"/>
  <c r="N1512" i="43" s="1"/>
  <c r="D1512" i="18" s="1"/>
  <c r="F1578" i="43"/>
  <c r="M1447" i="43"/>
  <c r="N1447" i="43" s="1"/>
  <c r="D1447" i="18" s="1"/>
  <c r="F1513" i="43"/>
  <c r="G1906" i="43"/>
  <c r="K1873" i="43"/>
  <c r="N1873" i="43" s="1"/>
  <c r="D1873" i="18" s="1"/>
  <c r="G1650" i="43"/>
  <c r="K1617" i="43"/>
  <c r="N1617" i="43" s="1"/>
  <c r="D1617" i="18" s="1"/>
  <c r="F1643" i="43"/>
  <c r="M1577" i="43"/>
  <c r="N1577" i="43" s="1"/>
  <c r="D1577" i="18" s="1"/>
  <c r="K1649" i="43"/>
  <c r="G1682" i="43"/>
  <c r="K2001" i="43"/>
  <c r="N2001" i="43" s="1"/>
  <c r="D2001" i="18" s="1"/>
  <c r="G2034" i="43"/>
  <c r="K2097" i="43"/>
  <c r="G2130" i="43"/>
  <c r="G1778" i="43"/>
  <c r="K1745" i="43"/>
  <c r="N1745" i="43" s="1"/>
  <c r="D1745" i="18" s="1"/>
  <c r="G1715" i="43" l="1"/>
  <c r="K1682" i="43"/>
  <c r="N1682" i="43" s="1"/>
  <c r="D1682" i="18" s="1"/>
  <c r="F2034" i="43"/>
  <c r="M1968" i="43"/>
  <c r="N1968" i="43" s="1"/>
  <c r="D1968" i="18" s="1"/>
  <c r="F1709" i="43"/>
  <c r="M1643" i="43"/>
  <c r="N1643" i="43" s="1"/>
  <c r="D1643" i="18" s="1"/>
  <c r="F1904" i="43"/>
  <c r="M1838" i="43"/>
  <c r="N1838" i="43" s="1"/>
  <c r="D1838" i="18" s="1"/>
  <c r="K1650" i="43"/>
  <c r="G1683" i="43"/>
  <c r="F1189" i="43"/>
  <c r="M1123" i="43"/>
  <c r="N1123" i="43" s="1"/>
  <c r="D1123" i="18" s="1"/>
  <c r="M1448" i="43"/>
  <c r="N1448" i="43" s="1"/>
  <c r="D1448" i="18" s="1"/>
  <c r="F1514" i="43"/>
  <c r="M2033" i="43"/>
  <c r="N2033" i="43" s="1"/>
  <c r="D2033" i="18" s="1"/>
  <c r="F2099" i="43"/>
  <c r="G1939" i="43"/>
  <c r="K1906" i="43"/>
  <c r="K1938" i="43"/>
  <c r="N1938" i="43" s="1"/>
  <c r="D1938" i="18" s="1"/>
  <c r="G1971" i="43"/>
  <c r="F1254" i="43"/>
  <c r="M1188" i="43"/>
  <c r="N1188" i="43" s="1"/>
  <c r="D1188" i="18" s="1"/>
  <c r="G1779" i="43"/>
  <c r="K1746" i="43"/>
  <c r="N1746" i="43" s="1"/>
  <c r="D1746" i="18" s="1"/>
  <c r="K1618" i="43"/>
  <c r="N1618" i="43" s="1"/>
  <c r="D1618" i="18" s="1"/>
  <c r="G1651" i="43"/>
  <c r="M1708" i="43"/>
  <c r="N1708" i="43" s="1"/>
  <c r="D1708" i="18" s="1"/>
  <c r="F1774" i="43"/>
  <c r="F1969" i="43"/>
  <c r="M1903" i="43"/>
  <c r="N1903" i="43" s="1"/>
  <c r="D1903" i="18" s="1"/>
  <c r="F1579" i="43"/>
  <c r="M1513" i="43"/>
  <c r="N1513" i="43" s="1"/>
  <c r="D1513" i="18" s="1"/>
  <c r="G1875" i="43"/>
  <c r="K1842" i="43"/>
  <c r="M1318" i="43"/>
  <c r="N1318" i="43" s="1"/>
  <c r="D1318" i="18" s="1"/>
  <c r="F1384" i="43"/>
  <c r="M1383" i="43"/>
  <c r="N1383" i="43" s="1"/>
  <c r="D1383" i="18" s="1"/>
  <c r="F1449" i="43"/>
  <c r="F1319" i="43"/>
  <c r="M1253" i="43"/>
  <c r="N1253" i="43" s="1"/>
  <c r="D1253" i="18" s="1"/>
  <c r="M1773" i="43"/>
  <c r="N1773" i="43" s="1"/>
  <c r="D1773" i="18" s="1"/>
  <c r="F1839" i="43"/>
  <c r="M2098" i="43"/>
  <c r="F2164" i="43"/>
  <c r="M2164" i="43" s="1"/>
  <c r="N2097" i="43"/>
  <c r="D2097" i="18" s="1"/>
  <c r="G2131" i="43"/>
  <c r="K2098" i="43"/>
  <c r="K2066" i="43"/>
  <c r="N2066" i="43" s="1"/>
  <c r="D2066" i="18" s="1"/>
  <c r="G2099" i="43"/>
  <c r="F1644" i="43"/>
  <c r="M1578" i="43"/>
  <c r="N1578" i="43" s="1"/>
  <c r="D1578" i="18" s="1"/>
  <c r="K1874" i="43"/>
  <c r="N1874" i="43" s="1"/>
  <c r="D1874" i="18" s="1"/>
  <c r="G1907" i="43"/>
  <c r="G2035" i="43"/>
  <c r="K2002" i="43"/>
  <c r="N2002" i="43" s="1"/>
  <c r="D2002" i="18" s="1"/>
  <c r="K1778" i="43"/>
  <c r="G1811" i="43"/>
  <c r="K2130" i="43"/>
  <c r="N2130" i="43" s="1"/>
  <c r="D2130" i="18" s="1"/>
  <c r="G2163" i="43"/>
  <c r="K2163" i="43" s="1"/>
  <c r="N2163" i="43" s="1"/>
  <c r="D2163" i="18" s="1"/>
  <c r="K2034" i="43"/>
  <c r="G2067" i="43"/>
  <c r="K1714" i="43"/>
  <c r="G1747" i="43"/>
  <c r="K1970" i="43"/>
  <c r="G2003" i="43"/>
  <c r="G1843" i="43"/>
  <c r="K1810" i="43"/>
  <c r="N1810" i="43" s="1"/>
  <c r="D1810" i="18" s="1"/>
  <c r="N2098" i="43" l="1"/>
  <c r="D2098" i="18" s="1"/>
  <c r="K1747" i="43"/>
  <c r="N1747" i="43" s="1"/>
  <c r="D1747" i="18" s="1"/>
  <c r="G1780" i="43"/>
  <c r="M1319" i="43"/>
  <c r="N1319" i="43" s="1"/>
  <c r="D1319" i="18" s="1"/>
  <c r="F1385" i="43"/>
  <c r="F1515" i="43"/>
  <c r="M1449" i="43"/>
  <c r="N1449" i="43" s="1"/>
  <c r="D1449" i="18" s="1"/>
  <c r="M1514" i="43"/>
  <c r="N1514" i="43" s="1"/>
  <c r="D1514" i="18" s="1"/>
  <c r="F1580" i="43"/>
  <c r="K2035" i="43"/>
  <c r="G2068" i="43"/>
  <c r="F1255" i="43"/>
  <c r="M1189" i="43"/>
  <c r="N1189" i="43" s="1"/>
  <c r="D1189" i="18" s="1"/>
  <c r="G1716" i="43"/>
  <c r="K1683" i="43"/>
  <c r="N1683" i="43" s="1"/>
  <c r="D1683" i="18" s="1"/>
  <c r="M1579" i="43"/>
  <c r="N1579" i="43" s="1"/>
  <c r="D1579" i="18" s="1"/>
  <c r="F1645" i="43"/>
  <c r="F2035" i="43"/>
  <c r="M1969" i="43"/>
  <c r="N1969" i="43" s="1"/>
  <c r="D1969" i="18" s="1"/>
  <c r="F1970" i="43"/>
  <c r="M1904" i="43"/>
  <c r="N1904" i="43" s="1"/>
  <c r="D1904" i="18" s="1"/>
  <c r="F1320" i="43"/>
  <c r="M1254" i="43"/>
  <c r="N1254" i="43" s="1"/>
  <c r="D1254" i="18" s="1"/>
  <c r="F1775" i="43"/>
  <c r="M1709" i="43"/>
  <c r="N1709" i="43" s="1"/>
  <c r="D1709" i="18" s="1"/>
  <c r="F1450" i="43"/>
  <c r="M1384" i="43"/>
  <c r="N1384" i="43" s="1"/>
  <c r="D1384" i="18" s="1"/>
  <c r="G1844" i="43"/>
  <c r="K1811" i="43"/>
  <c r="N1811" i="43" s="1"/>
  <c r="D1811" i="18" s="1"/>
  <c r="G1908" i="43"/>
  <c r="K1875" i="43"/>
  <c r="N1875" i="43" s="1"/>
  <c r="D1875" i="18" s="1"/>
  <c r="F2100" i="43"/>
  <c r="M2034" i="43"/>
  <c r="N2034" i="43" s="1"/>
  <c r="D2034" i="18" s="1"/>
  <c r="F2165" i="43"/>
  <c r="M2165" i="43" s="1"/>
  <c r="M2099" i="43"/>
  <c r="K1907" i="43"/>
  <c r="G1940" i="43"/>
  <c r="F1905" i="43"/>
  <c r="M1839" i="43"/>
  <c r="N1839" i="43" s="1"/>
  <c r="D1839" i="18" s="1"/>
  <c r="G2004" i="43"/>
  <c r="K1971" i="43"/>
  <c r="G2100" i="43"/>
  <c r="K2067" i="43"/>
  <c r="N2067" i="43" s="1"/>
  <c r="D2067" i="18" s="1"/>
  <c r="K1939" i="43"/>
  <c r="N1939" i="43" s="1"/>
  <c r="D1939" i="18" s="1"/>
  <c r="G1972" i="43"/>
  <c r="G1684" i="43"/>
  <c r="K1651" i="43"/>
  <c r="G1812" i="43"/>
  <c r="K1779" i="43"/>
  <c r="M1644" i="43"/>
  <c r="N1644" i="43" s="1"/>
  <c r="D1644" i="18" s="1"/>
  <c r="F1710" i="43"/>
  <c r="K2099" i="43"/>
  <c r="G2132" i="43"/>
  <c r="K2131" i="43"/>
  <c r="N2131" i="43" s="1"/>
  <c r="D2131" i="18" s="1"/>
  <c r="G2164" i="43"/>
  <c r="K2164" i="43" s="1"/>
  <c r="N2164" i="43" s="1"/>
  <c r="D2164" i="18" s="1"/>
  <c r="F1840" i="43"/>
  <c r="M1774" i="43"/>
  <c r="N1774" i="43" s="1"/>
  <c r="D1774" i="18" s="1"/>
  <c r="K1843" i="43"/>
  <c r="G1876" i="43"/>
  <c r="K2003" i="43"/>
  <c r="N2003" i="43" s="1"/>
  <c r="D2003" i="18" s="1"/>
  <c r="G2036" i="43"/>
  <c r="G1748" i="43"/>
  <c r="K1715" i="43"/>
  <c r="K2004" i="43" l="1"/>
  <c r="N2004" i="43" s="1"/>
  <c r="D2004" i="18" s="1"/>
  <c r="G2037" i="43"/>
  <c r="M1905" i="43"/>
  <c r="N1905" i="43" s="1"/>
  <c r="D1905" i="18" s="1"/>
  <c r="F1971" i="43"/>
  <c r="F2101" i="43"/>
  <c r="M2035" i="43"/>
  <c r="N2035" i="43" s="1"/>
  <c r="D2035" i="18" s="1"/>
  <c r="G1973" i="43"/>
  <c r="K1940" i="43"/>
  <c r="N1940" i="43" s="1"/>
  <c r="D1940" i="18" s="1"/>
  <c r="G1909" i="43"/>
  <c r="K1876" i="43"/>
  <c r="N1876" i="43" s="1"/>
  <c r="D1876" i="18" s="1"/>
  <c r="K2068" i="43"/>
  <c r="N2068" i="43" s="1"/>
  <c r="D2068" i="18" s="1"/>
  <c r="G2101" i="43"/>
  <c r="F1646" i="43"/>
  <c r="M1580" i="43"/>
  <c r="N1580" i="43" s="1"/>
  <c r="D1580" i="18" s="1"/>
  <c r="M1970" i="43"/>
  <c r="N1970" i="43" s="1"/>
  <c r="D1970" i="18" s="1"/>
  <c r="F2036" i="43"/>
  <c r="F1711" i="43"/>
  <c r="M1645" i="43"/>
  <c r="N1645" i="43" s="1"/>
  <c r="D1645" i="18" s="1"/>
  <c r="M1840" i="43"/>
  <c r="N1840" i="43" s="1"/>
  <c r="D1840" i="18" s="1"/>
  <c r="F1906" i="43"/>
  <c r="M1255" i="43"/>
  <c r="N1255" i="43" s="1"/>
  <c r="D1255" i="18" s="1"/>
  <c r="F1321" i="43"/>
  <c r="N2099" i="43"/>
  <c r="D2099" i="18" s="1"/>
  <c r="F1776" i="43"/>
  <c r="M1710" i="43"/>
  <c r="N1710" i="43" s="1"/>
  <c r="D1710" i="18" s="1"/>
  <c r="G1749" i="43"/>
  <c r="K1716" i="43"/>
  <c r="M1385" i="43"/>
  <c r="N1385" i="43" s="1"/>
  <c r="D1385" i="18" s="1"/>
  <c r="F1451" i="43"/>
  <c r="G2069" i="43"/>
  <c r="K2036" i="43"/>
  <c r="K2100" i="43"/>
  <c r="G2133" i="43"/>
  <c r="F2166" i="43"/>
  <c r="M2166" i="43" s="1"/>
  <c r="M2100" i="43"/>
  <c r="G2165" i="43"/>
  <c r="K2165" i="43" s="1"/>
  <c r="N2165" i="43" s="1"/>
  <c r="D2165" i="18" s="1"/>
  <c r="K2132" i="43"/>
  <c r="N2132" i="43" s="1"/>
  <c r="D2132" i="18" s="1"/>
  <c r="K1908" i="43"/>
  <c r="G1941" i="43"/>
  <c r="K1748" i="43"/>
  <c r="N1748" i="43" s="1"/>
  <c r="D1748" i="18" s="1"/>
  <c r="G1781" i="43"/>
  <c r="M1515" i="43"/>
  <c r="N1515" i="43" s="1"/>
  <c r="D1515" i="18" s="1"/>
  <c r="F1581" i="43"/>
  <c r="K1812" i="43"/>
  <c r="N1812" i="43" s="1"/>
  <c r="D1812" i="18" s="1"/>
  <c r="G1845" i="43"/>
  <c r="F1516" i="43"/>
  <c r="M1450" i="43"/>
  <c r="N1450" i="43" s="1"/>
  <c r="D1450" i="18" s="1"/>
  <c r="K1684" i="43"/>
  <c r="N1684" i="43" s="1"/>
  <c r="D1684" i="18" s="1"/>
  <c r="G1717" i="43"/>
  <c r="F1841" i="43"/>
  <c r="M1775" i="43"/>
  <c r="N1775" i="43" s="1"/>
  <c r="D1775" i="18" s="1"/>
  <c r="K1844" i="43"/>
  <c r="G1877" i="43"/>
  <c r="K1972" i="43"/>
  <c r="G2005" i="43"/>
  <c r="G1813" i="43"/>
  <c r="K1780" i="43"/>
  <c r="F1386" i="43"/>
  <c r="M1320" i="43"/>
  <c r="N1320" i="43" s="1"/>
  <c r="D1320" i="18" s="1"/>
  <c r="K1781" i="43" l="1"/>
  <c r="G1814" i="43"/>
  <c r="F1647" i="43"/>
  <c r="M1581" i="43"/>
  <c r="N1581" i="43" s="1"/>
  <c r="D1581" i="18" s="1"/>
  <c r="M1711" i="43"/>
  <c r="N1711" i="43" s="1"/>
  <c r="D1711" i="18" s="1"/>
  <c r="F1777" i="43"/>
  <c r="M1321" i="43"/>
  <c r="N1321" i="43" s="1"/>
  <c r="D1321" i="18" s="1"/>
  <c r="F1387" i="43"/>
  <c r="M1906" i="43"/>
  <c r="N1906" i="43" s="1"/>
  <c r="D1906" i="18" s="1"/>
  <c r="F1972" i="43"/>
  <c r="G1974" i="43"/>
  <c r="K1941" i="43"/>
  <c r="N1941" i="43" s="1"/>
  <c r="D1941" i="18" s="1"/>
  <c r="M1386" i="43"/>
  <c r="N1386" i="43" s="1"/>
  <c r="D1386" i="18" s="1"/>
  <c r="F1452" i="43"/>
  <c r="F2102" i="43"/>
  <c r="M2036" i="43"/>
  <c r="N2036" i="43" s="1"/>
  <c r="D2036" i="18" s="1"/>
  <c r="G2134" i="43"/>
  <c r="K2101" i="43"/>
  <c r="G2166" i="43"/>
  <c r="K2166" i="43" s="1"/>
  <c r="N2166" i="43" s="1"/>
  <c r="D2166" i="18" s="1"/>
  <c r="K2133" i="43"/>
  <c r="N2133" i="43" s="1"/>
  <c r="D2133" i="18" s="1"/>
  <c r="G1942" i="43"/>
  <c r="K1909" i="43"/>
  <c r="F1517" i="43"/>
  <c r="M1451" i="43"/>
  <c r="N1451" i="43" s="1"/>
  <c r="D1451" i="18" s="1"/>
  <c r="K1973" i="43"/>
  <c r="G2006" i="43"/>
  <c r="G1750" i="43"/>
  <c r="K1717" i="43"/>
  <c r="F2167" i="43"/>
  <c r="M2167" i="43" s="1"/>
  <c r="M2101" i="43"/>
  <c r="G2038" i="43"/>
  <c r="K2005" i="43"/>
  <c r="N2005" i="43" s="1"/>
  <c r="D2005" i="18" s="1"/>
  <c r="F1712" i="43"/>
  <c r="M1646" i="43"/>
  <c r="N1646" i="43" s="1"/>
  <c r="D1646" i="18" s="1"/>
  <c r="F1582" i="43"/>
  <c r="M1516" i="43"/>
  <c r="N1516" i="43" s="1"/>
  <c r="D1516" i="18" s="1"/>
  <c r="G1782" i="43"/>
  <c r="K1749" i="43"/>
  <c r="N1749" i="43" s="1"/>
  <c r="D1749" i="18" s="1"/>
  <c r="F2037" i="43"/>
  <c r="M1971" i="43"/>
  <c r="N1971" i="43" s="1"/>
  <c r="D1971" i="18" s="1"/>
  <c r="K1813" i="43"/>
  <c r="N1813" i="43" s="1"/>
  <c r="D1813" i="18" s="1"/>
  <c r="G1846" i="43"/>
  <c r="G2070" i="43"/>
  <c r="K2037" i="43"/>
  <c r="G1910" i="43"/>
  <c r="K1877" i="43"/>
  <c r="N1877" i="43" s="1"/>
  <c r="D1877" i="18" s="1"/>
  <c r="N2100" i="43"/>
  <c r="D2100" i="18" s="1"/>
  <c r="F1907" i="43"/>
  <c r="M1841" i="43"/>
  <c r="N1841" i="43" s="1"/>
  <c r="D1841" i="18" s="1"/>
  <c r="K2069" i="43"/>
  <c r="N2069" i="43" s="1"/>
  <c r="D2069" i="18" s="1"/>
  <c r="G2102" i="43"/>
  <c r="G1878" i="43"/>
  <c r="K1845" i="43"/>
  <c r="M1776" i="43"/>
  <c r="N1776" i="43" s="1"/>
  <c r="D1776" i="18" s="1"/>
  <c r="F1842" i="43"/>
  <c r="N2101" i="43" l="1"/>
  <c r="D2101" i="18" s="1"/>
  <c r="K1846" i="43"/>
  <c r="G1879" i="43"/>
  <c r="K1942" i="43"/>
  <c r="N1942" i="43" s="1"/>
  <c r="D1942" i="18" s="1"/>
  <c r="G1975" i="43"/>
  <c r="K1782" i="43"/>
  <c r="G1815" i="43"/>
  <c r="M1582" i="43"/>
  <c r="N1582" i="43" s="1"/>
  <c r="D1582" i="18" s="1"/>
  <c r="F1648" i="43"/>
  <c r="F2103" i="43"/>
  <c r="M2037" i="43"/>
  <c r="N2037" i="43" s="1"/>
  <c r="D2037" i="18" s="1"/>
  <c r="F1518" i="43"/>
  <c r="M1452" i="43"/>
  <c r="N1452" i="43" s="1"/>
  <c r="D1452" i="18" s="1"/>
  <c r="G1911" i="43"/>
  <c r="K1878" i="43"/>
  <c r="N1878" i="43" s="1"/>
  <c r="D1878" i="18" s="1"/>
  <c r="F2038" i="43"/>
  <c r="M1972" i="43"/>
  <c r="N1972" i="43" s="1"/>
  <c r="D1972" i="18" s="1"/>
  <c r="G2135" i="43"/>
  <c r="K2102" i="43"/>
  <c r="F1453" i="43"/>
  <c r="M1387" i="43"/>
  <c r="N1387" i="43" s="1"/>
  <c r="D1387" i="18" s="1"/>
  <c r="G2007" i="43"/>
  <c r="K1974" i="43"/>
  <c r="K1750" i="43"/>
  <c r="N1750" i="43" s="1"/>
  <c r="D1750" i="18" s="1"/>
  <c r="G1783" i="43"/>
  <c r="F1973" i="43"/>
  <c r="M1907" i="43"/>
  <c r="N1907" i="43" s="1"/>
  <c r="D1907" i="18" s="1"/>
  <c r="F1843" i="43"/>
  <c r="M1777" i="43"/>
  <c r="N1777" i="43" s="1"/>
  <c r="D1777" i="18" s="1"/>
  <c r="K2038" i="43"/>
  <c r="G2071" i="43"/>
  <c r="K2134" i="43"/>
  <c r="N2134" i="43" s="1"/>
  <c r="D2134" i="18" s="1"/>
  <c r="G2167" i="43"/>
  <c r="K2167" i="43" s="1"/>
  <c r="N2167" i="43" s="1"/>
  <c r="D2167" i="18" s="1"/>
  <c r="F2168" i="43"/>
  <c r="M2168" i="43" s="1"/>
  <c r="M2102" i="43"/>
  <c r="M1712" i="43"/>
  <c r="N1712" i="43" s="1"/>
  <c r="D1712" i="18" s="1"/>
  <c r="F1778" i="43"/>
  <c r="F1908" i="43"/>
  <c r="M1842" i="43"/>
  <c r="N1842" i="43" s="1"/>
  <c r="D1842" i="18" s="1"/>
  <c r="M1647" i="43"/>
  <c r="N1647" i="43" s="1"/>
  <c r="D1647" i="18" s="1"/>
  <c r="F1713" i="43"/>
  <c r="F1583" i="43"/>
  <c r="M1517" i="43"/>
  <c r="N1517" i="43" s="1"/>
  <c r="D1517" i="18" s="1"/>
  <c r="G1847" i="43"/>
  <c r="K1814" i="43"/>
  <c r="N1814" i="43" s="1"/>
  <c r="D1814" i="18" s="1"/>
  <c r="G2039" i="43"/>
  <c r="K2006" i="43"/>
  <c r="N2006" i="43" s="1"/>
  <c r="D2006" i="18" s="1"/>
  <c r="G1943" i="43"/>
  <c r="K1910" i="43"/>
  <c r="G2103" i="43"/>
  <c r="K2070" i="43"/>
  <c r="N2070" i="43" s="1"/>
  <c r="D2070" i="18" s="1"/>
  <c r="N2102" i="43" l="1"/>
  <c r="D2102" i="18" s="1"/>
  <c r="G2072" i="43"/>
  <c r="K2039" i="43"/>
  <c r="F1649" i="43"/>
  <c r="M1583" i="43"/>
  <c r="N1583" i="43" s="1"/>
  <c r="D1583" i="18" s="1"/>
  <c r="G2168" i="43"/>
  <c r="K2168" i="43" s="1"/>
  <c r="N2168" i="43" s="1"/>
  <c r="D2168" i="18" s="1"/>
  <c r="K2135" i="43"/>
  <c r="N2135" i="43" s="1"/>
  <c r="D2135" i="18" s="1"/>
  <c r="F1714" i="43"/>
  <c r="M1648" i="43"/>
  <c r="N1648" i="43" s="1"/>
  <c r="D1648" i="18" s="1"/>
  <c r="K1847" i="43"/>
  <c r="G1880" i="43"/>
  <c r="K2007" i="43"/>
  <c r="N2007" i="43" s="1"/>
  <c r="D2007" i="18" s="1"/>
  <c r="G2040" i="43"/>
  <c r="F1974" i="43"/>
  <c r="M1908" i="43"/>
  <c r="N1908" i="43" s="1"/>
  <c r="D1908" i="18" s="1"/>
  <c r="K1815" i="43"/>
  <c r="N1815" i="43" s="1"/>
  <c r="D1815" i="18" s="1"/>
  <c r="G1848" i="43"/>
  <c r="F1779" i="43"/>
  <c r="M1713" i="43"/>
  <c r="N1713" i="43" s="1"/>
  <c r="D1713" i="18" s="1"/>
  <c r="F2104" i="43"/>
  <c r="M2038" i="43"/>
  <c r="N2038" i="43" s="1"/>
  <c r="D2038" i="18" s="1"/>
  <c r="F1844" i="43"/>
  <c r="M1778" i="43"/>
  <c r="N1778" i="43" s="1"/>
  <c r="D1778" i="18" s="1"/>
  <c r="K2103" i="43"/>
  <c r="G2136" i="43"/>
  <c r="F1909" i="43"/>
  <c r="M1843" i="43"/>
  <c r="N1843" i="43" s="1"/>
  <c r="D1843" i="18" s="1"/>
  <c r="G2008" i="43"/>
  <c r="K1975" i="43"/>
  <c r="M1518" i="43"/>
  <c r="N1518" i="43" s="1"/>
  <c r="D1518" i="18" s="1"/>
  <c r="F1584" i="43"/>
  <c r="F1519" i="43"/>
  <c r="M1453" i="43"/>
  <c r="N1453" i="43" s="1"/>
  <c r="D1453" i="18" s="1"/>
  <c r="F2169" i="43"/>
  <c r="M2169" i="43" s="1"/>
  <c r="M2103" i="43"/>
  <c r="G2104" i="43"/>
  <c r="K2071" i="43"/>
  <c r="N2071" i="43" s="1"/>
  <c r="D2071" i="18" s="1"/>
  <c r="G1976" i="43"/>
  <c r="K1943" i="43"/>
  <c r="N1943" i="43" s="1"/>
  <c r="D1943" i="18" s="1"/>
  <c r="F2039" i="43"/>
  <c r="M1973" i="43"/>
  <c r="N1973" i="43" s="1"/>
  <c r="D1973" i="18" s="1"/>
  <c r="G1816" i="43"/>
  <c r="K1783" i="43"/>
  <c r="G1912" i="43"/>
  <c r="K1879" i="43"/>
  <c r="N1879" i="43" s="1"/>
  <c r="D1879" i="18" s="1"/>
  <c r="K1911" i="43"/>
  <c r="G1944" i="43"/>
  <c r="F1910" i="43" l="1"/>
  <c r="M1844" i="43"/>
  <c r="N1844" i="43" s="1"/>
  <c r="D1844" i="18" s="1"/>
  <c r="G1945" i="43"/>
  <c r="K1912" i="43"/>
  <c r="K1816" i="43"/>
  <c r="N1816" i="43" s="1"/>
  <c r="D1816" i="18" s="1"/>
  <c r="G1849" i="43"/>
  <c r="M2104" i="43"/>
  <c r="F2170" i="43"/>
  <c r="M2170" i="43" s="1"/>
  <c r="M1779" i="43"/>
  <c r="N1779" i="43" s="1"/>
  <c r="D1779" i="18" s="1"/>
  <c r="F1845" i="43"/>
  <c r="G2041" i="43"/>
  <c r="K2008" i="43"/>
  <c r="N2008" i="43" s="1"/>
  <c r="D2008" i="18" s="1"/>
  <c r="F2105" i="43"/>
  <c r="M2039" i="43"/>
  <c r="N2039" i="43" s="1"/>
  <c r="D2039" i="18" s="1"/>
  <c r="K1976" i="43"/>
  <c r="G2009" i="43"/>
  <c r="G2137" i="43"/>
  <c r="K2104" i="43"/>
  <c r="G2073" i="43"/>
  <c r="K2040" i="43"/>
  <c r="G1913" i="43"/>
  <c r="K1880" i="43"/>
  <c r="N1880" i="43" s="1"/>
  <c r="D1880" i="18" s="1"/>
  <c r="F1650" i="43"/>
  <c r="M1584" i="43"/>
  <c r="N1584" i="43" s="1"/>
  <c r="D1584" i="18" s="1"/>
  <c r="F1780" i="43"/>
  <c r="M1714" i="43"/>
  <c r="N1714" i="43" s="1"/>
  <c r="D1714" i="18" s="1"/>
  <c r="G1881" i="43"/>
  <c r="K1848" i="43"/>
  <c r="F2040" i="43"/>
  <c r="M1974" i="43"/>
  <c r="N1974" i="43" s="1"/>
  <c r="D1974" i="18" s="1"/>
  <c r="M1909" i="43"/>
  <c r="N1909" i="43" s="1"/>
  <c r="D1909" i="18" s="1"/>
  <c r="F1975" i="43"/>
  <c r="F1715" i="43"/>
  <c r="M1649" i="43"/>
  <c r="N1649" i="43" s="1"/>
  <c r="D1649" i="18" s="1"/>
  <c r="G1977" i="43"/>
  <c r="K1944" i="43"/>
  <c r="N1944" i="43" s="1"/>
  <c r="D1944" i="18" s="1"/>
  <c r="G2169" i="43"/>
  <c r="K2169" i="43" s="1"/>
  <c r="N2169" i="43" s="1"/>
  <c r="D2169" i="18" s="1"/>
  <c r="K2136" i="43"/>
  <c r="N2136" i="43" s="1"/>
  <c r="D2136" i="18" s="1"/>
  <c r="M1519" i="43"/>
  <c r="N1519" i="43" s="1"/>
  <c r="D1519" i="18" s="1"/>
  <c r="F1585" i="43"/>
  <c r="N2103" i="43"/>
  <c r="D2103" i="18" s="1"/>
  <c r="K2072" i="43"/>
  <c r="N2072" i="43" s="1"/>
  <c r="D2072" i="18" s="1"/>
  <c r="G2105" i="43"/>
  <c r="N2104" i="43" l="1"/>
  <c r="D2104" i="18" s="1"/>
  <c r="G2138" i="43"/>
  <c r="K2105" i="43"/>
  <c r="G1946" i="43"/>
  <c r="K1913" i="43"/>
  <c r="F1651" i="43"/>
  <c r="M1585" i="43"/>
  <c r="N1585" i="43" s="1"/>
  <c r="D1585" i="18" s="1"/>
  <c r="K2073" i="43"/>
  <c r="N2073" i="43" s="1"/>
  <c r="D2073" i="18" s="1"/>
  <c r="G2106" i="43"/>
  <c r="F1781" i="43"/>
  <c r="M1715" i="43"/>
  <c r="N1715" i="43" s="1"/>
  <c r="D1715" i="18" s="1"/>
  <c r="G1914" i="43"/>
  <c r="K1881" i="43"/>
  <c r="N1881" i="43" s="1"/>
  <c r="D1881" i="18" s="1"/>
  <c r="K2041" i="43"/>
  <c r="G2074" i="43"/>
  <c r="F2041" i="43"/>
  <c r="M1975" i="43"/>
  <c r="N1975" i="43" s="1"/>
  <c r="D1975" i="18" s="1"/>
  <c r="F1911" i="43"/>
  <c r="M1845" i="43"/>
  <c r="N1845" i="43" s="1"/>
  <c r="D1845" i="18" s="1"/>
  <c r="G1882" i="43"/>
  <c r="K1849" i="43"/>
  <c r="G2042" i="43"/>
  <c r="K2009" i="43"/>
  <c r="N2009" i="43" s="1"/>
  <c r="D2009" i="18" s="1"/>
  <c r="K1977" i="43"/>
  <c r="G2010" i="43"/>
  <c r="M2105" i="43"/>
  <c r="F2171" i="43"/>
  <c r="M2171" i="43" s="1"/>
  <c r="M1780" i="43"/>
  <c r="N1780" i="43" s="1"/>
  <c r="D1780" i="18" s="1"/>
  <c r="F1846" i="43"/>
  <c r="K1945" i="43"/>
  <c r="N1945" i="43" s="1"/>
  <c r="D1945" i="18" s="1"/>
  <c r="G1978" i="43"/>
  <c r="F2106" i="43"/>
  <c r="M2040" i="43"/>
  <c r="N2040" i="43" s="1"/>
  <c r="D2040" i="18" s="1"/>
  <c r="K2137" i="43"/>
  <c r="N2137" i="43" s="1"/>
  <c r="D2137" i="18" s="1"/>
  <c r="G2170" i="43"/>
  <c r="K2170" i="43" s="1"/>
  <c r="N2170" i="43" s="1"/>
  <c r="D2170" i="18" s="1"/>
  <c r="F1716" i="43"/>
  <c r="M1650" i="43"/>
  <c r="N1650" i="43" s="1"/>
  <c r="D1650" i="18" s="1"/>
  <c r="F1976" i="43"/>
  <c r="M1910" i="43"/>
  <c r="N1910" i="43" s="1"/>
  <c r="D1910" i="18" s="1"/>
  <c r="G1915" i="43" l="1"/>
  <c r="K1882" i="43"/>
  <c r="N1882" i="43" s="1"/>
  <c r="D1882" i="18" s="1"/>
  <c r="F1977" i="43"/>
  <c r="M1911" i="43"/>
  <c r="N1911" i="43" s="1"/>
  <c r="D1911" i="18" s="1"/>
  <c r="F2107" i="43"/>
  <c r="M2041" i="43"/>
  <c r="N2041" i="43" s="1"/>
  <c r="D2041" i="18" s="1"/>
  <c r="G2107" i="43"/>
  <c r="K2074" i="43"/>
  <c r="N2074" i="43" s="1"/>
  <c r="D2074" i="18" s="1"/>
  <c r="F1782" i="43"/>
  <c r="M1716" i="43"/>
  <c r="N1716" i="43" s="1"/>
  <c r="D1716" i="18" s="1"/>
  <c r="K2042" i="43"/>
  <c r="G2075" i="43"/>
  <c r="K1914" i="43"/>
  <c r="G1947" i="43"/>
  <c r="F2172" i="43"/>
  <c r="M2172" i="43" s="1"/>
  <c r="M2106" i="43"/>
  <c r="F1847" i="43"/>
  <c r="M1781" i="43"/>
  <c r="N1781" i="43" s="1"/>
  <c r="D1781" i="18" s="1"/>
  <c r="K2106" i="43"/>
  <c r="G2139" i="43"/>
  <c r="M1651" i="43"/>
  <c r="N1651" i="43" s="1"/>
  <c r="D1651" i="18" s="1"/>
  <c r="F1717" i="43"/>
  <c r="G2011" i="43"/>
  <c r="K1978" i="43"/>
  <c r="K1946" i="43"/>
  <c r="N1946" i="43" s="1"/>
  <c r="D1946" i="18" s="1"/>
  <c r="G1979" i="43"/>
  <c r="K2010" i="43"/>
  <c r="N2010" i="43" s="1"/>
  <c r="D2010" i="18" s="1"/>
  <c r="G2043" i="43"/>
  <c r="F2042" i="43"/>
  <c r="M1976" i="43"/>
  <c r="N1976" i="43" s="1"/>
  <c r="D1976" i="18" s="1"/>
  <c r="F1912" i="43"/>
  <c r="M1846" i="43"/>
  <c r="N1846" i="43" s="1"/>
  <c r="D1846" i="18" s="1"/>
  <c r="N2105" i="43"/>
  <c r="D2105" i="18" s="1"/>
  <c r="K2138" i="43"/>
  <c r="N2138" i="43" s="1"/>
  <c r="D2138" i="18" s="1"/>
  <c r="G2171" i="43"/>
  <c r="K2171" i="43" s="1"/>
  <c r="N2171" i="43" s="1"/>
  <c r="D2171" i="18" s="1"/>
  <c r="M1717" i="43" l="1"/>
  <c r="N1717" i="43" s="1"/>
  <c r="D1717" i="18" s="1"/>
  <c r="F1783" i="43"/>
  <c r="N2106" i="43"/>
  <c r="D2106" i="18" s="1"/>
  <c r="M1847" i="43"/>
  <c r="N1847" i="43" s="1"/>
  <c r="D1847" i="18" s="1"/>
  <c r="F1913" i="43"/>
  <c r="G2172" i="43"/>
  <c r="K2172" i="43" s="1"/>
  <c r="N2172" i="43" s="1"/>
  <c r="D2172" i="18" s="1"/>
  <c r="K2139" i="43"/>
  <c r="N2139" i="43" s="1"/>
  <c r="D2139" i="18" s="1"/>
  <c r="F1848" i="43"/>
  <c r="M1782" i="43"/>
  <c r="N1782" i="43" s="1"/>
  <c r="D1782" i="18" s="1"/>
  <c r="M1912" i="43"/>
  <c r="N1912" i="43" s="1"/>
  <c r="D1912" i="18" s="1"/>
  <c r="F1978" i="43"/>
  <c r="G2076" i="43"/>
  <c r="K2043" i="43"/>
  <c r="K2075" i="43"/>
  <c r="N2075" i="43" s="1"/>
  <c r="D2075" i="18" s="1"/>
  <c r="G2108" i="43"/>
  <c r="G1980" i="43"/>
  <c r="K1947" i="43"/>
  <c r="N1947" i="43" s="1"/>
  <c r="D1947" i="18" s="1"/>
  <c r="K2107" i="43"/>
  <c r="G2140" i="43"/>
  <c r="M2042" i="43"/>
  <c r="N2042" i="43" s="1"/>
  <c r="D2042" i="18" s="1"/>
  <c r="F2108" i="43"/>
  <c r="F2173" i="43"/>
  <c r="M2173" i="43" s="1"/>
  <c r="M2107" i="43"/>
  <c r="K1979" i="43"/>
  <c r="G2012" i="43"/>
  <c r="M1977" i="43"/>
  <c r="N1977" i="43" s="1"/>
  <c r="D1977" i="18" s="1"/>
  <c r="F2043" i="43"/>
  <c r="K2011" i="43"/>
  <c r="N2011" i="43" s="1"/>
  <c r="D2011" i="18" s="1"/>
  <c r="G2044" i="43"/>
  <c r="K1915" i="43"/>
  <c r="G1948" i="43"/>
  <c r="F2174" i="43" l="1"/>
  <c r="M2174" i="43" s="1"/>
  <c r="M2108" i="43"/>
  <c r="K2076" i="43"/>
  <c r="N2076" i="43" s="1"/>
  <c r="D2076" i="18" s="1"/>
  <c r="G2109" i="43"/>
  <c r="K2044" i="43"/>
  <c r="G2077" i="43"/>
  <c r="M2043" i="43"/>
  <c r="N2043" i="43" s="1"/>
  <c r="D2043" i="18" s="1"/>
  <c r="F2109" i="43"/>
  <c r="M1913" i="43"/>
  <c r="N1913" i="43" s="1"/>
  <c r="D1913" i="18" s="1"/>
  <c r="F1979" i="43"/>
  <c r="K2140" i="43"/>
  <c r="N2140" i="43" s="1"/>
  <c r="D2140" i="18" s="1"/>
  <c r="G2173" i="43"/>
  <c r="K2173" i="43" s="1"/>
  <c r="N2173" i="43" s="1"/>
  <c r="D2173" i="18" s="1"/>
  <c r="N2107" i="43"/>
  <c r="D2107" i="18" s="1"/>
  <c r="F2044" i="43"/>
  <c r="M1978" i="43"/>
  <c r="N1978" i="43" s="1"/>
  <c r="D1978" i="18" s="1"/>
  <c r="K1948" i="43"/>
  <c r="N1948" i="43" s="1"/>
  <c r="D1948" i="18" s="1"/>
  <c r="G1981" i="43"/>
  <c r="F1914" i="43"/>
  <c r="M1848" i="43"/>
  <c r="N1848" i="43" s="1"/>
  <c r="D1848" i="18" s="1"/>
  <c r="K1980" i="43"/>
  <c r="G2013" i="43"/>
  <c r="G2141" i="43"/>
  <c r="K2108" i="43"/>
  <c r="G2045" i="43"/>
  <c r="K2012" i="43"/>
  <c r="N2012" i="43" s="1"/>
  <c r="D2012" i="18" s="1"/>
  <c r="F1849" i="43"/>
  <c r="M1783" i="43"/>
  <c r="N1783" i="43" s="1"/>
  <c r="D1783" i="18" s="1"/>
  <c r="G2014" i="43" l="1"/>
  <c r="K1981" i="43"/>
  <c r="F2175" i="43"/>
  <c r="M2175" i="43" s="1"/>
  <c r="M2109" i="43"/>
  <c r="F2045" i="43"/>
  <c r="M1979" i="43"/>
  <c r="N1979" i="43" s="1"/>
  <c r="D1979" i="18" s="1"/>
  <c r="G2110" i="43"/>
  <c r="K2077" i="43"/>
  <c r="N2077" i="43" s="1"/>
  <c r="D2077" i="18" s="1"/>
  <c r="F1915" i="43"/>
  <c r="M1849" i="43"/>
  <c r="N1849" i="43" s="1"/>
  <c r="D1849" i="18" s="1"/>
  <c r="K2141" i="43"/>
  <c r="N2141" i="43" s="1"/>
  <c r="D2141" i="18" s="1"/>
  <c r="G2174" i="43"/>
  <c r="K2174" i="43" s="1"/>
  <c r="N2174" i="43" s="1"/>
  <c r="D2174" i="18" s="1"/>
  <c r="G2046" i="43"/>
  <c r="K2013" i="43"/>
  <c r="N2013" i="43" s="1"/>
  <c r="D2013" i="18" s="1"/>
  <c r="F1980" i="43"/>
  <c r="M1914" i="43"/>
  <c r="N1914" i="43" s="1"/>
  <c r="D1914" i="18" s="1"/>
  <c r="G2142" i="43"/>
  <c r="K2109" i="43"/>
  <c r="K2045" i="43"/>
  <c r="G2078" i="43"/>
  <c r="F2110" i="43"/>
  <c r="M2044" i="43"/>
  <c r="N2044" i="43" s="1"/>
  <c r="D2044" i="18" s="1"/>
  <c r="N2108" i="43"/>
  <c r="D2108" i="18" s="1"/>
  <c r="N2109" i="43" l="1"/>
  <c r="D2109" i="18" s="1"/>
  <c r="G2175" i="43"/>
  <c r="K2175" i="43" s="1"/>
  <c r="N2175" i="43" s="1"/>
  <c r="D2175" i="18" s="1"/>
  <c r="K2142" i="43"/>
  <c r="N2142" i="43" s="1"/>
  <c r="D2142" i="18" s="1"/>
  <c r="F2176" i="43"/>
  <c r="M2176" i="43" s="1"/>
  <c r="M2110" i="43"/>
  <c r="G2111" i="43"/>
  <c r="K2078" i="43"/>
  <c r="N2078" i="43" s="1"/>
  <c r="D2078" i="18" s="1"/>
  <c r="F2046" i="43"/>
  <c r="M1980" i="43"/>
  <c r="N1980" i="43" s="1"/>
  <c r="D1980" i="18" s="1"/>
  <c r="G2079" i="43"/>
  <c r="K2046" i="43"/>
  <c r="F1981" i="43"/>
  <c r="M1915" i="43"/>
  <c r="N1915" i="43" s="1"/>
  <c r="D1915" i="18" s="1"/>
  <c r="K2110" i="43"/>
  <c r="G2143" i="43"/>
  <c r="F2111" i="43"/>
  <c r="M2045" i="43"/>
  <c r="N2045" i="43" s="1"/>
  <c r="D2045" i="18" s="1"/>
  <c r="K2014" i="43"/>
  <c r="N2014" i="43" s="1"/>
  <c r="D2014" i="18" s="1"/>
  <c r="G2047" i="43"/>
  <c r="N2110" i="43" l="1"/>
  <c r="D2110" i="18" s="1"/>
  <c r="G2080" i="43"/>
  <c r="K2047" i="43"/>
  <c r="F2177" i="43"/>
  <c r="M2177" i="43" s="1"/>
  <c r="M2111" i="43"/>
  <c r="G2176" i="43"/>
  <c r="K2176" i="43" s="1"/>
  <c r="N2176" i="43" s="1"/>
  <c r="D2176" i="18" s="1"/>
  <c r="K2143" i="43"/>
  <c r="N2143" i="43" s="1"/>
  <c r="D2143" i="18" s="1"/>
  <c r="F2047" i="43"/>
  <c r="M1981" i="43"/>
  <c r="N1981" i="43" s="1"/>
  <c r="D1981" i="18" s="1"/>
  <c r="K2079" i="43"/>
  <c r="N2079" i="43" s="1"/>
  <c r="D2079" i="18" s="1"/>
  <c r="G2112" i="43"/>
  <c r="G2144" i="43"/>
  <c r="K2111" i="43"/>
  <c r="M2046" i="43"/>
  <c r="N2046" i="43" s="1"/>
  <c r="D2046" i="18" s="1"/>
  <c r="F2112" i="43"/>
  <c r="N2111" i="43" l="1"/>
  <c r="D2111" i="18" s="1"/>
  <c r="K2144" i="43"/>
  <c r="N2144" i="43" s="1"/>
  <c r="D2144" i="18" s="1"/>
  <c r="G2177" i="43"/>
  <c r="K2177" i="43" s="1"/>
  <c r="N2177" i="43" s="1"/>
  <c r="D2177" i="18" s="1"/>
  <c r="G2145" i="43"/>
  <c r="K2112" i="43"/>
  <c r="F2113" i="43"/>
  <c r="M2047" i="43"/>
  <c r="N2047" i="43" s="1"/>
  <c r="D2047" i="18" s="1"/>
  <c r="F2178" i="43"/>
  <c r="M2178" i="43" s="1"/>
  <c r="M2112" i="43"/>
  <c r="G2113" i="43"/>
  <c r="K2080" i="43"/>
  <c r="N2080" i="43" s="1"/>
  <c r="D2080" i="18" s="1"/>
  <c r="F2179" i="43" l="1"/>
  <c r="M2179" i="43" s="1"/>
  <c r="M2113" i="43"/>
  <c r="K2113" i="43"/>
  <c r="G2146" i="43"/>
  <c r="N2112" i="43"/>
  <c r="D2112" i="18" s="1"/>
  <c r="K2145" i="43"/>
  <c r="N2145" i="43" s="1"/>
  <c r="D2145" i="18" s="1"/>
  <c r="G2178" i="43"/>
  <c r="K2178" i="43" s="1"/>
  <c r="N2178" i="43" s="1"/>
  <c r="D2178" i="18" s="1"/>
  <c r="G2179" i="43" l="1"/>
  <c r="K2179" i="43" s="1"/>
  <c r="N2179" i="43" s="1"/>
  <c r="D2179" i="18" s="1"/>
  <c r="K2146" i="43"/>
  <c r="N2146" i="43" s="1"/>
  <c r="D2146" i="18" s="1"/>
  <c r="N2113" i="43"/>
  <c r="D2113" i="18" s="1"/>
  <c r="Q2" i="43" l="1"/>
</calcChain>
</file>

<file path=xl/sharedStrings.xml><?xml version="1.0" encoding="utf-8"?>
<sst xmlns="http://schemas.openxmlformats.org/spreadsheetml/2006/main" count="30473" uniqueCount="53">
  <si>
    <t>Value</t>
  </si>
  <si>
    <t>COM</t>
  </si>
  <si>
    <t>SRC</t>
  </si>
  <si>
    <t>IND</t>
  </si>
  <si>
    <t>dom</t>
  </si>
  <si>
    <t>imp</t>
  </si>
  <si>
    <t>OCC</t>
  </si>
  <si>
    <t>AG</t>
  </si>
  <si>
    <t>MIN</t>
  </si>
  <si>
    <t>FBT</t>
  </si>
  <si>
    <t>TEX</t>
  </si>
  <si>
    <t>LEATHER</t>
  </si>
  <si>
    <t>WOOD</t>
  </si>
  <si>
    <t>PPP</t>
  </si>
  <si>
    <t>PC</t>
  </si>
  <si>
    <t>CHM</t>
  </si>
  <si>
    <t>RUBBER</t>
  </si>
  <si>
    <t>NMM</t>
  </si>
  <si>
    <t>METAL</t>
  </si>
  <si>
    <t>MACH</t>
  </si>
  <si>
    <t>ELEC</t>
  </si>
  <si>
    <t>TRNEQUIP</t>
  </si>
  <si>
    <t>ROMAN</t>
  </si>
  <si>
    <t>ELYGASWTR</t>
  </si>
  <si>
    <t>CNS</t>
  </si>
  <si>
    <t>TRD</t>
  </si>
  <si>
    <t>AFS</t>
  </si>
  <si>
    <t>OTP</t>
  </si>
  <si>
    <t>WTP</t>
  </si>
  <si>
    <t>ATP</t>
  </si>
  <si>
    <t>WHS</t>
  </si>
  <si>
    <t>CMN</t>
  </si>
  <si>
    <t>OFI</t>
  </si>
  <si>
    <t>RSA</t>
  </si>
  <si>
    <t>OBS</t>
  </si>
  <si>
    <t>GOV</t>
  </si>
  <si>
    <t>EDU</t>
  </si>
  <si>
    <t>HHT</t>
  </si>
  <si>
    <t>REC</t>
  </si>
  <si>
    <t>DWE</t>
  </si>
  <si>
    <t>EMIRATI</t>
  </si>
  <si>
    <t>COMMUTING</t>
  </si>
  <si>
    <t>investment</t>
  </si>
  <si>
    <t>v1cap</t>
  </si>
  <si>
    <t>Capital stock</t>
  </si>
  <si>
    <t>rorc</t>
  </si>
  <si>
    <t>Depreciation</t>
  </si>
  <si>
    <t>I want a long run growth of:</t>
  </si>
  <si>
    <t>Depreciation rate</t>
  </si>
  <si>
    <t>Gross</t>
  </si>
  <si>
    <t>MIGRANTHH</t>
  </si>
  <si>
    <t>MIGRANTCOMB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</si>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</sst>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2" borderId="2" applyNumberFormat="0" applyAlignment="0" applyProtection="0"/>
    <xf numFmtId="0" fontId="4" fillId="0" borderId="3" applyNumberFormat="0" applyFill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43" fontId="0" fillId="0" borderId="0" xfId="0" applyNumberFormat="1"/>
    <xf numFmtId="165" fontId="0" fillId="0" borderId="0" xfId="2" applyNumberFormat="1" applyFont="1"/>
    <xf numFmtId="9" fontId="0" fillId="0" borderId="0" xfId="2" applyFont="1"/>
    <xf numFmtId="0" fontId="3" fillId="2" borderId="2" xfId="3"/>
    <xf numFmtId="0" fontId="4" fillId="0" borderId="3" xfId="4"/>
  </cellXfs>
  <cellStyles count="5">
    <cellStyle name="Calculation" xfId="3" builtinId="22"/>
    <cellStyle name="Comma" xfId="1" builtinId="3"/>
    <cellStyle name="Linked Cell" xfId="4" builtinId="2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3DC6-1232-488E-BEBF-4EE7AC84344E}">
  <sheetPr codeName="Sheet1"/>
  <dimension ref="B3:F15"/>
  <sheetViews>
    <sheetView workbookViewId="0">
      <selection activeCell="I12" sqref="I12"/>
    </sheetView>
  </sheetViews>
  <sheetFormatPr defaultRowHeight="14.5" x14ac:dyDescent="0.35"/>
  <cols>
    <col min="2" max="2" width="24.1796875" bestFit="1" customWidth="1"/>
    <col min="3" max="3" width="12.54296875" bestFit="1" customWidth="1"/>
  </cols>
  <sheetData>
    <row r="3" spans="2:6" x14ac:dyDescent="0.35">
      <c r="B3" t="s">
        <v>42</v>
      </c>
      <c r="C3" s="2">
        <f>SUM('2BAS'!C:C)</f>
        <v>0</v>
      </c>
    </row>
    <row r="4" spans="2:6" x14ac:dyDescent="0.35">
      <c r="B4" t="s">
        <v>43</v>
      </c>
      <c r="C4" s="2">
        <f>SUM('1CAP'!B2:B34)</f>
        <v>204902.30630193101</v>
      </c>
    </row>
    <row r="6" spans="2:6" x14ac:dyDescent="0.35">
      <c r="B6" t="s">
        <v>44</v>
      </c>
      <c r="C6" s="3">
        <f>C4/F6</f>
        <v>1366015.3753462068</v>
      </c>
      <c r="E6" t="s">
        <v>49</v>
      </c>
      <c r="F6" s="4">
        <v>0.15</v>
      </c>
    </row>
    <row r="8" spans="2:6" x14ac:dyDescent="0.35">
      <c r="B8" t="s">
        <v>45</v>
      </c>
      <c r="C8">
        <f>(C4-C3)/C6</f>
        <v>0.15</v>
      </c>
    </row>
    <row r="10" spans="2:6" x14ac:dyDescent="0.35">
      <c r="B10" t="s">
        <v>46</v>
      </c>
    </row>
    <row r="11" spans="2:6" x14ac:dyDescent="0.35">
      <c r="B11" t="s">
        <v>47</v>
      </c>
      <c r="C11" s="4">
        <v>0.03</v>
      </c>
    </row>
    <row r="13" spans="2:6" x14ac:dyDescent="0.35">
      <c r="C13" s="5">
        <f>(C6+C3)-(C6*(1+C11))</f>
        <v>-40980.461260386277</v>
      </c>
    </row>
    <row r="15" spans="2:6" x14ac:dyDescent="0.35">
      <c r="B15" t="s">
        <v>48</v>
      </c>
      <c r="C15" s="6">
        <f>C13/C6</f>
        <v>-3.0000000000000054E-2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34"/>
  <sheetViews>
    <sheetView workbookViewId="0">
      <selection activeCell="A2" sqref="A2:A34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13</v>
      </c>
    </row>
    <row r="9" spans="1:1" x14ac:dyDescent="0.35">
      <c r="A9" t="s">
        <v>14</v>
      </c>
    </row>
    <row r="10" spans="1:1" x14ac:dyDescent="0.35">
      <c r="A10" t="s">
        <v>15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37</v>
      </c>
    </row>
    <row r="33" spans="1:1" x14ac:dyDescent="0.35">
      <c r="A33" t="s">
        <v>38</v>
      </c>
    </row>
    <row r="34" spans="1:1" x14ac:dyDescent="0.35">
      <c r="A34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34"/>
  <sheetViews>
    <sheetView workbookViewId="0">
      <selection activeCell="A2" sqref="A2:A34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13</v>
      </c>
    </row>
    <row r="9" spans="1:1" x14ac:dyDescent="0.35">
      <c r="A9" t="s">
        <v>14</v>
      </c>
    </row>
    <row r="10" spans="1:1" x14ac:dyDescent="0.35">
      <c r="A10" t="s">
        <v>15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37</v>
      </c>
    </row>
    <row r="33" spans="1:1" x14ac:dyDescent="0.35">
      <c r="A33" t="s">
        <v>38</v>
      </c>
    </row>
    <row r="34" spans="1:1" x14ac:dyDescent="0.35">
      <c r="A34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5"/>
  <sheetViews>
    <sheetView workbookViewId="0">
      <selection activeCell="E10" sqref="E10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40</v>
      </c>
    </row>
    <row r="3" spans="1:1" x14ac:dyDescent="0.35">
      <c r="A3" t="s">
        <v>50</v>
      </c>
    </row>
    <row r="4" spans="1:1" x14ac:dyDescent="0.35">
      <c r="A4" t="s">
        <v>51</v>
      </c>
    </row>
    <row r="5" spans="1:1" x14ac:dyDescent="0.35">
      <c r="A5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7D04-0829-4AE6-83D8-E5409982E9D7}">
  <sheetPr codeName="Sheet5"/>
  <dimension ref="A1:B5"/>
  <sheetViews>
    <sheetView workbookViewId="0">
      <selection activeCell="D9" sqref="D9"/>
    </sheetView>
  </sheetViews>
  <sheetFormatPr defaultRowHeight="14.5" x14ac:dyDescent="0.35"/>
  <sheetData>
    <row r="1" spans="1:2" x14ac:dyDescent="0.35">
      <c r="A1" s="1" t="s">
        <v>6</v>
      </c>
      <c r="B1" s="1" t="s">
        <v>0</v>
      </c>
    </row>
    <row r="2" spans="1:2" x14ac:dyDescent="0.35">
      <c r="A2" t="s">
        <v>40</v>
      </c>
      <c r="B2">
        <v>0.15</v>
      </c>
    </row>
    <row r="3" spans="1:2" x14ac:dyDescent="0.35">
      <c r="A3" t="s">
        <v>50</v>
      </c>
      <c r="B3">
        <v>0.3</v>
      </c>
    </row>
    <row r="4" spans="1:2" x14ac:dyDescent="0.35">
      <c r="A4" t="s">
        <v>51</v>
      </c>
      <c r="B4">
        <v>0.3</v>
      </c>
    </row>
    <row r="5" spans="1:2" x14ac:dyDescent="0.35">
      <c r="A5" t="s">
        <v>41</v>
      </c>
      <c r="B5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D2179"/>
  <sheetViews>
    <sheetView workbookViewId="0">
      <selection activeCell="D2" sqref="D2:D2179"/>
    </sheetView>
  </sheetViews>
  <sheetFormatPr defaultRowHeight="14.5" x14ac:dyDescent="0.35"/>
  <sheetData>
    <row r="1" spans="1:4" x14ac:dyDescent="0.3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5">
      <c r="A2" t="s">
        <v>7</v>
      </c>
      <c r="B2" t="s">
        <v>4</v>
      </c>
      <c r="C2" t="s">
        <v>7</v>
      </c>
      <c r="D2">
        <v>9.8941911968091762</v>
      </c>
    </row>
    <row r="3" spans="1:4" x14ac:dyDescent="0.35">
      <c r="A3" t="s">
        <v>8</v>
      </c>
      <c r="B3" t="s">
        <v>4</v>
      </c>
      <c r="C3" t="s">
        <v>7</v>
      </c>
      <c r="D3">
        <v>0</v>
      </c>
    </row>
    <row r="4" spans="1:4" x14ac:dyDescent="0.35">
      <c r="A4" t="s">
        <v>9</v>
      </c>
      <c r="B4" t="s">
        <v>4</v>
      </c>
      <c r="C4" t="s">
        <v>7</v>
      </c>
      <c r="D4">
        <v>157.79694347940449</v>
      </c>
    </row>
    <row r="5" spans="1:4" x14ac:dyDescent="0.35">
      <c r="A5" t="s">
        <v>10</v>
      </c>
      <c r="B5" t="s">
        <v>4</v>
      </c>
      <c r="C5" t="s">
        <v>7</v>
      </c>
      <c r="D5">
        <v>1.256590954720284</v>
      </c>
    </row>
    <row r="6" spans="1:4" x14ac:dyDescent="0.35">
      <c r="A6" t="s">
        <v>11</v>
      </c>
      <c r="B6" t="s">
        <v>4</v>
      </c>
      <c r="C6" t="s">
        <v>7</v>
      </c>
      <c r="D6">
        <v>0</v>
      </c>
    </row>
    <row r="7" spans="1:4" x14ac:dyDescent="0.35">
      <c r="A7" t="s">
        <v>12</v>
      </c>
      <c r="B7" t="s">
        <v>4</v>
      </c>
      <c r="C7" t="s">
        <v>7</v>
      </c>
      <c r="D7">
        <v>0</v>
      </c>
    </row>
    <row r="8" spans="1:4" x14ac:dyDescent="0.35">
      <c r="A8" t="s">
        <v>13</v>
      </c>
      <c r="B8" t="s">
        <v>4</v>
      </c>
      <c r="C8" t="s">
        <v>7</v>
      </c>
      <c r="D8">
        <v>0</v>
      </c>
    </row>
    <row r="9" spans="1:4" x14ac:dyDescent="0.35">
      <c r="A9" t="s">
        <v>14</v>
      </c>
      <c r="B9" t="s">
        <v>4</v>
      </c>
      <c r="C9" t="s">
        <v>7</v>
      </c>
      <c r="D9">
        <v>13.401128404298598</v>
      </c>
    </row>
    <row r="10" spans="1:4" x14ac:dyDescent="0.35">
      <c r="A10" t="s">
        <v>15</v>
      </c>
      <c r="B10" t="s">
        <v>4</v>
      </c>
      <c r="C10" t="s">
        <v>7</v>
      </c>
      <c r="D10">
        <v>1.3170773341879272</v>
      </c>
    </row>
    <row r="11" spans="1:4" x14ac:dyDescent="0.35">
      <c r="A11" t="s">
        <v>16</v>
      </c>
      <c r="B11" t="s">
        <v>4</v>
      </c>
      <c r="C11" t="s">
        <v>7</v>
      </c>
      <c r="D11">
        <v>0</v>
      </c>
    </row>
    <row r="12" spans="1:4" x14ac:dyDescent="0.35">
      <c r="A12" t="s">
        <v>17</v>
      </c>
      <c r="B12" t="s">
        <v>4</v>
      </c>
      <c r="C12" t="s">
        <v>7</v>
      </c>
      <c r="D12">
        <v>0</v>
      </c>
    </row>
    <row r="13" spans="1:4" x14ac:dyDescent="0.35">
      <c r="A13" t="s">
        <v>18</v>
      </c>
      <c r="B13" t="s">
        <v>4</v>
      </c>
      <c r="C13" t="s">
        <v>7</v>
      </c>
      <c r="D13">
        <v>0</v>
      </c>
    </row>
    <row r="14" spans="1:4" x14ac:dyDescent="0.35">
      <c r="A14" t="s">
        <v>19</v>
      </c>
      <c r="B14" t="s">
        <v>4</v>
      </c>
      <c r="C14" t="s">
        <v>7</v>
      </c>
      <c r="D14">
        <v>0</v>
      </c>
    </row>
    <row r="15" spans="1:4" x14ac:dyDescent="0.35">
      <c r="A15" t="s">
        <v>20</v>
      </c>
      <c r="B15" t="s">
        <v>4</v>
      </c>
      <c r="C15" t="s">
        <v>7</v>
      </c>
      <c r="D15">
        <v>0</v>
      </c>
    </row>
    <row r="16" spans="1:4" x14ac:dyDescent="0.35">
      <c r="A16" t="s">
        <v>21</v>
      </c>
      <c r="B16" t="s">
        <v>4</v>
      </c>
      <c r="C16" t="s">
        <v>7</v>
      </c>
      <c r="D16">
        <v>0</v>
      </c>
    </row>
    <row r="17" spans="1:4" x14ac:dyDescent="0.35">
      <c r="A17" t="s">
        <v>22</v>
      </c>
      <c r="B17" t="s">
        <v>4</v>
      </c>
      <c r="C17" t="s">
        <v>7</v>
      </c>
      <c r="D17">
        <v>0</v>
      </c>
    </row>
    <row r="18" spans="1:4" x14ac:dyDescent="0.35">
      <c r="A18" t="s">
        <v>23</v>
      </c>
      <c r="B18" t="s">
        <v>4</v>
      </c>
      <c r="C18" t="s">
        <v>7</v>
      </c>
      <c r="D18">
        <v>16.283438955322257</v>
      </c>
    </row>
    <row r="19" spans="1:4" x14ac:dyDescent="0.35">
      <c r="A19" t="s">
        <v>24</v>
      </c>
      <c r="B19" t="s">
        <v>4</v>
      </c>
      <c r="C19" t="s">
        <v>7</v>
      </c>
      <c r="D19">
        <v>0</v>
      </c>
    </row>
    <row r="20" spans="1:4" x14ac:dyDescent="0.35">
      <c r="A20" t="s">
        <v>25</v>
      </c>
      <c r="B20" t="s">
        <v>4</v>
      </c>
      <c r="C20" t="s">
        <v>7</v>
      </c>
      <c r="D20">
        <v>87.576305086710121</v>
      </c>
    </row>
    <row r="21" spans="1:4" x14ac:dyDescent="0.35">
      <c r="A21" t="s">
        <v>26</v>
      </c>
      <c r="B21" t="s">
        <v>4</v>
      </c>
      <c r="C21" t="s">
        <v>7</v>
      </c>
      <c r="D21">
        <v>0</v>
      </c>
    </row>
    <row r="22" spans="1:4" x14ac:dyDescent="0.35">
      <c r="A22" t="s">
        <v>27</v>
      </c>
      <c r="B22" t="s">
        <v>4</v>
      </c>
      <c r="C22" t="s">
        <v>7</v>
      </c>
      <c r="D22">
        <v>13.423351966047665</v>
      </c>
    </row>
    <row r="23" spans="1:4" x14ac:dyDescent="0.35">
      <c r="A23" t="s">
        <v>28</v>
      </c>
      <c r="B23" t="s">
        <v>4</v>
      </c>
      <c r="C23" t="s">
        <v>7</v>
      </c>
      <c r="D23">
        <v>0</v>
      </c>
    </row>
    <row r="24" spans="1:4" x14ac:dyDescent="0.35">
      <c r="A24" t="s">
        <v>29</v>
      </c>
      <c r="B24" t="s">
        <v>4</v>
      </c>
      <c r="C24" t="s">
        <v>7</v>
      </c>
      <c r="D24">
        <v>0</v>
      </c>
    </row>
    <row r="25" spans="1:4" x14ac:dyDescent="0.35">
      <c r="A25" t="s">
        <v>30</v>
      </c>
      <c r="B25" t="s">
        <v>4</v>
      </c>
      <c r="C25" t="s">
        <v>7</v>
      </c>
      <c r="D25">
        <v>0</v>
      </c>
    </row>
    <row r="26" spans="1:4" x14ac:dyDescent="0.35">
      <c r="A26" t="s">
        <v>31</v>
      </c>
      <c r="B26" t="s">
        <v>4</v>
      </c>
      <c r="C26" t="s">
        <v>7</v>
      </c>
      <c r="D26">
        <v>0.98745423891412742</v>
      </c>
    </row>
    <row r="27" spans="1:4" x14ac:dyDescent="0.35">
      <c r="A27" t="s">
        <v>32</v>
      </c>
      <c r="B27" t="s">
        <v>4</v>
      </c>
      <c r="C27" t="s">
        <v>7</v>
      </c>
      <c r="D27">
        <v>80.067345711866352</v>
      </c>
    </row>
    <row r="28" spans="1:4" x14ac:dyDescent="0.35">
      <c r="A28" t="s">
        <v>33</v>
      </c>
      <c r="B28" t="s">
        <v>4</v>
      </c>
      <c r="C28" t="s">
        <v>7</v>
      </c>
      <c r="D28">
        <v>0</v>
      </c>
    </row>
    <row r="29" spans="1:4" x14ac:dyDescent="0.35">
      <c r="A29" t="s">
        <v>34</v>
      </c>
      <c r="B29" t="s">
        <v>4</v>
      </c>
      <c r="C29" t="s">
        <v>7</v>
      </c>
      <c r="D29">
        <v>25.249166070502017</v>
      </c>
    </row>
    <row r="30" spans="1:4" x14ac:dyDescent="0.35">
      <c r="A30" t="s">
        <v>35</v>
      </c>
      <c r="B30" t="s">
        <v>4</v>
      </c>
      <c r="C30" t="s">
        <v>7</v>
      </c>
      <c r="D30">
        <v>0</v>
      </c>
    </row>
    <row r="31" spans="1:4" x14ac:dyDescent="0.35">
      <c r="A31" t="s">
        <v>36</v>
      </c>
      <c r="B31" t="s">
        <v>4</v>
      </c>
      <c r="C31" t="s">
        <v>7</v>
      </c>
      <c r="D31">
        <v>0</v>
      </c>
    </row>
    <row r="32" spans="1:4" x14ac:dyDescent="0.35">
      <c r="A32" t="s">
        <v>37</v>
      </c>
      <c r="B32" t="s">
        <v>4</v>
      </c>
      <c r="C32" t="s">
        <v>7</v>
      </c>
      <c r="D32">
        <v>0</v>
      </c>
    </row>
    <row r="33" spans="1:4" x14ac:dyDescent="0.35">
      <c r="A33" t="s">
        <v>38</v>
      </c>
      <c r="B33" t="s">
        <v>4</v>
      </c>
      <c r="C33" t="s">
        <v>7</v>
      </c>
      <c r="D33">
        <v>0</v>
      </c>
    </row>
    <row r="34" spans="1:4" x14ac:dyDescent="0.35">
      <c r="A34" t="s">
        <v>39</v>
      </c>
      <c r="B34" t="s">
        <v>4</v>
      </c>
      <c r="C34" t="s">
        <v>7</v>
      </c>
      <c r="D34">
        <v>0</v>
      </c>
    </row>
    <row r="35" spans="1:4" x14ac:dyDescent="0.35">
      <c r="A35" t="s">
        <v>7</v>
      </c>
      <c r="B35" t="s">
        <v>4</v>
      </c>
      <c r="C35" t="s">
        <v>8</v>
      </c>
      <c r="D35">
        <v>0</v>
      </c>
    </row>
    <row r="36" spans="1:4" x14ac:dyDescent="0.35">
      <c r="A36" t="s">
        <v>8</v>
      </c>
      <c r="B36" t="s">
        <v>4</v>
      </c>
      <c r="C36" t="s">
        <v>8</v>
      </c>
      <c r="D36">
        <v>49.580861241847956</v>
      </c>
    </row>
    <row r="37" spans="1:4" x14ac:dyDescent="0.35">
      <c r="A37" t="s">
        <v>9</v>
      </c>
      <c r="B37" t="s">
        <v>4</v>
      </c>
      <c r="C37" t="s">
        <v>8</v>
      </c>
      <c r="D37">
        <v>0</v>
      </c>
    </row>
    <row r="38" spans="1:4" x14ac:dyDescent="0.35">
      <c r="A38" t="s">
        <v>10</v>
      </c>
      <c r="B38" t="s">
        <v>4</v>
      </c>
      <c r="C38" t="s">
        <v>8</v>
      </c>
      <c r="D38">
        <v>0</v>
      </c>
    </row>
    <row r="39" spans="1:4" x14ac:dyDescent="0.35">
      <c r="A39" t="s">
        <v>11</v>
      </c>
      <c r="B39" t="s">
        <v>4</v>
      </c>
      <c r="C39" t="s">
        <v>8</v>
      </c>
      <c r="D39">
        <v>0</v>
      </c>
    </row>
    <row r="40" spans="1:4" x14ac:dyDescent="0.35">
      <c r="A40" t="s">
        <v>12</v>
      </c>
      <c r="B40" t="s">
        <v>4</v>
      </c>
      <c r="C40" t="s">
        <v>8</v>
      </c>
      <c r="D40">
        <v>0</v>
      </c>
    </row>
    <row r="41" spans="1:4" x14ac:dyDescent="0.35">
      <c r="A41" t="s">
        <v>13</v>
      </c>
      <c r="B41" t="s">
        <v>4</v>
      </c>
      <c r="C41" t="s">
        <v>8</v>
      </c>
      <c r="D41">
        <v>0</v>
      </c>
    </row>
    <row r="42" spans="1:4" x14ac:dyDescent="0.35">
      <c r="A42" t="s">
        <v>14</v>
      </c>
      <c r="B42" t="s">
        <v>4</v>
      </c>
      <c r="C42" t="s">
        <v>8</v>
      </c>
      <c r="D42">
        <v>181.03496130974764</v>
      </c>
    </row>
    <row r="43" spans="1:4" x14ac:dyDescent="0.35">
      <c r="A43" t="s">
        <v>15</v>
      </c>
      <c r="B43" t="s">
        <v>4</v>
      </c>
      <c r="C43" t="s">
        <v>8</v>
      </c>
      <c r="D43">
        <v>0</v>
      </c>
    </row>
    <row r="44" spans="1:4" x14ac:dyDescent="0.35">
      <c r="A44" t="s">
        <v>16</v>
      </c>
      <c r="B44" t="s">
        <v>4</v>
      </c>
      <c r="C44" t="s">
        <v>8</v>
      </c>
      <c r="D44">
        <v>0</v>
      </c>
    </row>
    <row r="45" spans="1:4" x14ac:dyDescent="0.35">
      <c r="A45" t="s">
        <v>17</v>
      </c>
      <c r="B45" t="s">
        <v>4</v>
      </c>
      <c r="C45" t="s">
        <v>8</v>
      </c>
      <c r="D45">
        <v>0</v>
      </c>
    </row>
    <row r="46" spans="1:4" x14ac:dyDescent="0.35">
      <c r="A46" t="s">
        <v>18</v>
      </c>
      <c r="B46" t="s">
        <v>4</v>
      </c>
      <c r="C46" t="s">
        <v>8</v>
      </c>
      <c r="D46">
        <v>0</v>
      </c>
    </row>
    <row r="47" spans="1:4" x14ac:dyDescent="0.35">
      <c r="A47" t="s">
        <v>19</v>
      </c>
      <c r="B47" t="s">
        <v>4</v>
      </c>
      <c r="C47" t="s">
        <v>8</v>
      </c>
      <c r="D47">
        <v>0</v>
      </c>
    </row>
    <row r="48" spans="1:4" x14ac:dyDescent="0.35">
      <c r="A48" t="s">
        <v>20</v>
      </c>
      <c r="B48" t="s">
        <v>4</v>
      </c>
      <c r="C48" t="s">
        <v>8</v>
      </c>
      <c r="D48">
        <v>0</v>
      </c>
    </row>
    <row r="49" spans="1:4" x14ac:dyDescent="0.35">
      <c r="A49" t="s">
        <v>21</v>
      </c>
      <c r="B49" t="s">
        <v>4</v>
      </c>
      <c r="C49" t="s">
        <v>8</v>
      </c>
      <c r="D49">
        <v>0</v>
      </c>
    </row>
    <row r="50" spans="1:4" x14ac:dyDescent="0.35">
      <c r="A50" t="s">
        <v>22</v>
      </c>
      <c r="B50" t="s">
        <v>4</v>
      </c>
      <c r="C50" t="s">
        <v>8</v>
      </c>
      <c r="D50">
        <v>9.9325250190935783</v>
      </c>
    </row>
    <row r="51" spans="1:4" x14ac:dyDescent="0.35">
      <c r="A51" t="s">
        <v>23</v>
      </c>
      <c r="B51" t="s">
        <v>4</v>
      </c>
      <c r="C51" t="s">
        <v>8</v>
      </c>
      <c r="D51">
        <v>155.85374831780305</v>
      </c>
    </row>
    <row r="52" spans="1:4" x14ac:dyDescent="0.35">
      <c r="A52" t="s">
        <v>24</v>
      </c>
      <c r="B52" t="s">
        <v>4</v>
      </c>
      <c r="C52" t="s">
        <v>8</v>
      </c>
      <c r="D52">
        <v>96.438633006605031</v>
      </c>
    </row>
    <row r="53" spans="1:4" x14ac:dyDescent="0.35">
      <c r="A53" t="s">
        <v>25</v>
      </c>
      <c r="B53" t="s">
        <v>4</v>
      </c>
      <c r="C53" t="s">
        <v>8</v>
      </c>
      <c r="D53">
        <v>257.18548878338493</v>
      </c>
    </row>
    <row r="54" spans="1:4" x14ac:dyDescent="0.35">
      <c r="A54" t="s">
        <v>26</v>
      </c>
      <c r="B54" t="s">
        <v>4</v>
      </c>
      <c r="C54" t="s">
        <v>8</v>
      </c>
      <c r="D54">
        <v>0</v>
      </c>
    </row>
    <row r="55" spans="1:4" x14ac:dyDescent="0.35">
      <c r="A55" t="s">
        <v>27</v>
      </c>
      <c r="B55" t="s">
        <v>4</v>
      </c>
      <c r="C55" t="s">
        <v>8</v>
      </c>
      <c r="D55">
        <v>2.8260058704709645</v>
      </c>
    </row>
    <row r="56" spans="1:4" x14ac:dyDescent="0.35">
      <c r="A56" t="s">
        <v>28</v>
      </c>
      <c r="B56" t="s">
        <v>4</v>
      </c>
      <c r="C56" t="s">
        <v>8</v>
      </c>
      <c r="D56">
        <v>0</v>
      </c>
    </row>
    <row r="57" spans="1:4" x14ac:dyDescent="0.35">
      <c r="A57" t="s">
        <v>29</v>
      </c>
      <c r="B57" t="s">
        <v>4</v>
      </c>
      <c r="C57" t="s">
        <v>8</v>
      </c>
      <c r="D57">
        <v>9.2280421779442889</v>
      </c>
    </row>
    <row r="58" spans="1:4" x14ac:dyDescent="0.35">
      <c r="A58" t="s">
        <v>30</v>
      </c>
      <c r="B58" t="s">
        <v>4</v>
      </c>
      <c r="C58" t="s">
        <v>8</v>
      </c>
      <c r="D58">
        <v>0</v>
      </c>
    </row>
    <row r="59" spans="1:4" x14ac:dyDescent="0.35">
      <c r="A59" t="s">
        <v>31</v>
      </c>
      <c r="B59" t="s">
        <v>4</v>
      </c>
      <c r="C59" t="s">
        <v>8</v>
      </c>
      <c r="D59">
        <v>27.413955989126368</v>
      </c>
    </row>
    <row r="60" spans="1:4" x14ac:dyDescent="0.35">
      <c r="A60" t="s">
        <v>32</v>
      </c>
      <c r="B60" t="s">
        <v>4</v>
      </c>
      <c r="C60" t="s">
        <v>8</v>
      </c>
      <c r="D60">
        <v>941.25299233376438</v>
      </c>
    </row>
    <row r="61" spans="1:4" x14ac:dyDescent="0.35">
      <c r="A61" t="s">
        <v>33</v>
      </c>
      <c r="B61" t="s">
        <v>4</v>
      </c>
      <c r="C61" t="s">
        <v>8</v>
      </c>
      <c r="D61">
        <v>0</v>
      </c>
    </row>
    <row r="62" spans="1:4" x14ac:dyDescent="0.35">
      <c r="A62" t="s">
        <v>34</v>
      </c>
      <c r="B62" t="s">
        <v>4</v>
      </c>
      <c r="C62" t="s">
        <v>8</v>
      </c>
      <c r="D62">
        <v>261.06346149912252</v>
      </c>
    </row>
    <row r="63" spans="1:4" x14ac:dyDescent="0.35">
      <c r="A63" t="s">
        <v>35</v>
      </c>
      <c r="B63" t="s">
        <v>4</v>
      </c>
      <c r="C63" t="s">
        <v>8</v>
      </c>
      <c r="D63">
        <v>15.916262731056126</v>
      </c>
    </row>
    <row r="64" spans="1:4" x14ac:dyDescent="0.35">
      <c r="A64" t="s">
        <v>36</v>
      </c>
      <c r="B64" t="s">
        <v>4</v>
      </c>
      <c r="C64" t="s">
        <v>8</v>
      </c>
      <c r="D64">
        <v>7.207341451165556</v>
      </c>
    </row>
    <row r="65" spans="1:4" x14ac:dyDescent="0.35">
      <c r="A65" t="s">
        <v>37</v>
      </c>
      <c r="B65" t="s">
        <v>4</v>
      </c>
      <c r="C65" t="s">
        <v>8</v>
      </c>
      <c r="D65">
        <v>0</v>
      </c>
    </row>
    <row r="66" spans="1:4" x14ac:dyDescent="0.35">
      <c r="A66" t="s">
        <v>38</v>
      </c>
      <c r="B66" t="s">
        <v>4</v>
      </c>
      <c r="C66" t="s">
        <v>8</v>
      </c>
      <c r="D66">
        <v>2.3155317310676544</v>
      </c>
    </row>
    <row r="67" spans="1:4" x14ac:dyDescent="0.35">
      <c r="A67" t="s">
        <v>39</v>
      </c>
      <c r="B67" t="s">
        <v>4</v>
      </c>
      <c r="C67" t="s">
        <v>8</v>
      </c>
      <c r="D67">
        <v>0</v>
      </c>
    </row>
    <row r="68" spans="1:4" x14ac:dyDescent="0.35">
      <c r="A68" t="s">
        <v>7</v>
      </c>
      <c r="B68" t="s">
        <v>4</v>
      </c>
      <c r="C68" t="s">
        <v>9</v>
      </c>
      <c r="D68">
        <v>203.88011096991946</v>
      </c>
    </row>
    <row r="69" spans="1:4" x14ac:dyDescent="0.35">
      <c r="A69" t="s">
        <v>8</v>
      </c>
      <c r="B69" t="s">
        <v>4</v>
      </c>
      <c r="C69" t="s">
        <v>9</v>
      </c>
      <c r="D69">
        <v>7.7002251883314567</v>
      </c>
    </row>
    <row r="70" spans="1:4" x14ac:dyDescent="0.35">
      <c r="A70" t="s">
        <v>9</v>
      </c>
      <c r="B70" t="s">
        <v>4</v>
      </c>
      <c r="C70" t="s">
        <v>9</v>
      </c>
      <c r="D70">
        <v>3134.564265737451</v>
      </c>
    </row>
    <row r="71" spans="1:4" x14ac:dyDescent="0.35">
      <c r="A71" t="s">
        <v>10</v>
      </c>
      <c r="B71" t="s">
        <v>4</v>
      </c>
      <c r="C71" t="s">
        <v>9</v>
      </c>
      <c r="D71">
        <v>5.2170991579200372</v>
      </c>
    </row>
    <row r="72" spans="1:4" x14ac:dyDescent="0.35">
      <c r="A72" t="s">
        <v>11</v>
      </c>
      <c r="B72" t="s">
        <v>4</v>
      </c>
      <c r="C72" t="s">
        <v>9</v>
      </c>
      <c r="D72">
        <v>0</v>
      </c>
    </row>
    <row r="73" spans="1:4" x14ac:dyDescent="0.35">
      <c r="A73" t="s">
        <v>12</v>
      </c>
      <c r="B73" t="s">
        <v>4</v>
      </c>
      <c r="C73" t="s">
        <v>9</v>
      </c>
      <c r="D73">
        <v>0</v>
      </c>
    </row>
    <row r="74" spans="1:4" x14ac:dyDescent="0.35">
      <c r="A74" t="s">
        <v>13</v>
      </c>
      <c r="B74" t="s">
        <v>4</v>
      </c>
      <c r="C74" t="s">
        <v>9</v>
      </c>
      <c r="D74">
        <v>113.43712975050853</v>
      </c>
    </row>
    <row r="75" spans="1:4" x14ac:dyDescent="0.35">
      <c r="A75" t="s">
        <v>14</v>
      </c>
      <c r="B75" t="s">
        <v>4</v>
      </c>
      <c r="C75" t="s">
        <v>9</v>
      </c>
      <c r="D75">
        <v>151.3628066684399</v>
      </c>
    </row>
    <row r="76" spans="1:4" x14ac:dyDescent="0.35">
      <c r="A76" t="s">
        <v>15</v>
      </c>
      <c r="B76" t="s">
        <v>4</v>
      </c>
      <c r="C76" t="s">
        <v>9</v>
      </c>
      <c r="D76">
        <v>20.027406135016037</v>
      </c>
    </row>
    <row r="77" spans="1:4" x14ac:dyDescent="0.35">
      <c r="A77" t="s">
        <v>16</v>
      </c>
      <c r="B77" t="s">
        <v>4</v>
      </c>
      <c r="C77" t="s">
        <v>9</v>
      </c>
      <c r="D77">
        <v>453.56767785436267</v>
      </c>
    </row>
    <row r="78" spans="1:4" x14ac:dyDescent="0.35">
      <c r="A78" t="s">
        <v>17</v>
      </c>
      <c r="B78" t="s">
        <v>4</v>
      </c>
      <c r="C78" t="s">
        <v>9</v>
      </c>
      <c r="D78">
        <v>2.0643591960190402</v>
      </c>
    </row>
    <row r="79" spans="1:4" x14ac:dyDescent="0.35">
      <c r="A79" t="s">
        <v>18</v>
      </c>
      <c r="B79" t="s">
        <v>4</v>
      </c>
      <c r="C79" t="s">
        <v>9</v>
      </c>
      <c r="D79">
        <v>3.5473463366358344</v>
      </c>
    </row>
    <row r="80" spans="1:4" x14ac:dyDescent="0.35">
      <c r="A80" t="s">
        <v>19</v>
      </c>
      <c r="B80" t="s">
        <v>4</v>
      </c>
      <c r="C80" t="s">
        <v>9</v>
      </c>
      <c r="D80">
        <v>12.969048978087113</v>
      </c>
    </row>
    <row r="81" spans="1:4" x14ac:dyDescent="0.35">
      <c r="A81" t="s">
        <v>20</v>
      </c>
      <c r="B81" t="s">
        <v>4</v>
      </c>
      <c r="C81" t="s">
        <v>9</v>
      </c>
      <c r="D81">
        <v>0</v>
      </c>
    </row>
    <row r="82" spans="1:4" x14ac:dyDescent="0.35">
      <c r="A82" t="s">
        <v>21</v>
      </c>
      <c r="B82" t="s">
        <v>4</v>
      </c>
      <c r="C82" t="s">
        <v>9</v>
      </c>
      <c r="D82">
        <v>4.2698441602905675</v>
      </c>
    </row>
    <row r="83" spans="1:4" x14ac:dyDescent="0.35">
      <c r="A83" t="s">
        <v>22</v>
      </c>
      <c r="B83" t="s">
        <v>4</v>
      </c>
      <c r="C83" t="s">
        <v>9</v>
      </c>
      <c r="D83">
        <v>19.114004890020063</v>
      </c>
    </row>
    <row r="84" spans="1:4" x14ac:dyDescent="0.35">
      <c r="A84" t="s">
        <v>23</v>
      </c>
      <c r="B84" t="s">
        <v>4</v>
      </c>
      <c r="C84" t="s">
        <v>9</v>
      </c>
      <c r="D84">
        <v>600.05514116911786</v>
      </c>
    </row>
    <row r="85" spans="1:4" x14ac:dyDescent="0.35">
      <c r="A85" t="s">
        <v>24</v>
      </c>
      <c r="B85" t="s">
        <v>4</v>
      </c>
      <c r="C85" t="s">
        <v>9</v>
      </c>
      <c r="D85">
        <v>82.585025391070886</v>
      </c>
    </row>
    <row r="86" spans="1:4" x14ac:dyDescent="0.35">
      <c r="A86" t="s">
        <v>25</v>
      </c>
      <c r="B86" t="s">
        <v>4</v>
      </c>
      <c r="C86" t="s">
        <v>9</v>
      </c>
      <c r="D86">
        <v>2995.3169519920771</v>
      </c>
    </row>
    <row r="87" spans="1:4" x14ac:dyDescent="0.35">
      <c r="A87" t="s">
        <v>26</v>
      </c>
      <c r="B87" t="s">
        <v>4</v>
      </c>
      <c r="C87" t="s">
        <v>9</v>
      </c>
      <c r="D87">
        <v>0</v>
      </c>
    </row>
    <row r="88" spans="1:4" x14ac:dyDescent="0.35">
      <c r="A88" t="s">
        <v>27</v>
      </c>
      <c r="B88" t="s">
        <v>4</v>
      </c>
      <c r="C88" t="s">
        <v>9</v>
      </c>
      <c r="D88">
        <v>60.979052987032652</v>
      </c>
    </row>
    <row r="89" spans="1:4" x14ac:dyDescent="0.35">
      <c r="A89" t="s">
        <v>28</v>
      </c>
      <c r="B89" t="s">
        <v>4</v>
      </c>
      <c r="C89" t="s">
        <v>9</v>
      </c>
      <c r="D89">
        <v>0</v>
      </c>
    </row>
    <row r="90" spans="1:4" x14ac:dyDescent="0.35">
      <c r="A90" t="s">
        <v>29</v>
      </c>
      <c r="B90" t="s">
        <v>4</v>
      </c>
      <c r="C90" t="s">
        <v>9</v>
      </c>
      <c r="D90">
        <v>126.27306880465663</v>
      </c>
    </row>
    <row r="91" spans="1:4" x14ac:dyDescent="0.35">
      <c r="A91" t="s">
        <v>30</v>
      </c>
      <c r="B91" t="s">
        <v>4</v>
      </c>
      <c r="C91" t="s">
        <v>9</v>
      </c>
      <c r="D91">
        <v>472.39781570998622</v>
      </c>
    </row>
    <row r="92" spans="1:4" x14ac:dyDescent="0.35">
      <c r="A92" t="s">
        <v>31</v>
      </c>
      <c r="B92" t="s">
        <v>4</v>
      </c>
      <c r="C92" t="s">
        <v>9</v>
      </c>
      <c r="D92">
        <v>22.769162439771819</v>
      </c>
    </row>
    <row r="93" spans="1:4" x14ac:dyDescent="0.35">
      <c r="A93" t="s">
        <v>32</v>
      </c>
      <c r="B93" t="s">
        <v>4</v>
      </c>
      <c r="C93" t="s">
        <v>9</v>
      </c>
      <c r="D93">
        <v>122.93039038933304</v>
      </c>
    </row>
    <row r="94" spans="1:4" x14ac:dyDescent="0.35">
      <c r="A94" t="s">
        <v>33</v>
      </c>
      <c r="B94" t="s">
        <v>4</v>
      </c>
      <c r="C94" t="s">
        <v>9</v>
      </c>
      <c r="D94">
        <v>100.00673408964514</v>
      </c>
    </row>
    <row r="95" spans="1:4" x14ac:dyDescent="0.35">
      <c r="A95" t="s">
        <v>34</v>
      </c>
      <c r="B95" t="s">
        <v>4</v>
      </c>
      <c r="C95" t="s">
        <v>9</v>
      </c>
      <c r="D95">
        <v>527.79091917054996</v>
      </c>
    </row>
    <row r="96" spans="1:4" x14ac:dyDescent="0.35">
      <c r="A96" t="s">
        <v>35</v>
      </c>
      <c r="B96" t="s">
        <v>4</v>
      </c>
      <c r="C96" t="s">
        <v>9</v>
      </c>
      <c r="D96">
        <v>28.874174032392425</v>
      </c>
    </row>
    <row r="97" spans="1:4" x14ac:dyDescent="0.35">
      <c r="A97" t="s">
        <v>36</v>
      </c>
      <c r="B97" t="s">
        <v>4</v>
      </c>
      <c r="C97" t="s">
        <v>9</v>
      </c>
      <c r="D97">
        <v>8.8308486573401428</v>
      </c>
    </row>
    <row r="98" spans="1:4" x14ac:dyDescent="0.35">
      <c r="A98" t="s">
        <v>37</v>
      </c>
      <c r="B98" t="s">
        <v>4</v>
      </c>
      <c r="C98" t="s">
        <v>9</v>
      </c>
      <c r="D98">
        <v>1.7047158862927305</v>
      </c>
    </row>
    <row r="99" spans="1:4" x14ac:dyDescent="0.35">
      <c r="A99" t="s">
        <v>38</v>
      </c>
      <c r="B99" t="s">
        <v>4</v>
      </c>
      <c r="C99" t="s">
        <v>9</v>
      </c>
      <c r="D99">
        <v>1.5262849125780151</v>
      </c>
    </row>
    <row r="100" spans="1:4" x14ac:dyDescent="0.35">
      <c r="A100" t="s">
        <v>39</v>
      </c>
      <c r="B100" t="s">
        <v>4</v>
      </c>
      <c r="C100" t="s">
        <v>9</v>
      </c>
      <c r="D100">
        <v>0</v>
      </c>
    </row>
    <row r="101" spans="1:4" x14ac:dyDescent="0.35">
      <c r="A101" t="s">
        <v>7</v>
      </c>
      <c r="B101" t="s">
        <v>4</v>
      </c>
      <c r="C101" t="s">
        <v>10</v>
      </c>
      <c r="D101">
        <v>5.5519873010710388E-2</v>
      </c>
    </row>
    <row r="102" spans="1:4" x14ac:dyDescent="0.35">
      <c r="A102" t="s">
        <v>8</v>
      </c>
      <c r="B102" t="s">
        <v>4</v>
      </c>
      <c r="C102" t="s">
        <v>10</v>
      </c>
      <c r="D102">
        <v>0</v>
      </c>
    </row>
    <row r="103" spans="1:4" x14ac:dyDescent="0.35">
      <c r="A103" t="s">
        <v>9</v>
      </c>
      <c r="B103" t="s">
        <v>4</v>
      </c>
      <c r="C103" t="s">
        <v>10</v>
      </c>
      <c r="D103">
        <v>0</v>
      </c>
    </row>
    <row r="104" spans="1:4" x14ac:dyDescent="0.35">
      <c r="A104" t="s">
        <v>10</v>
      </c>
      <c r="B104" t="s">
        <v>4</v>
      </c>
      <c r="C104" t="s">
        <v>10</v>
      </c>
      <c r="D104">
        <v>108.46761420879982</v>
      </c>
    </row>
    <row r="105" spans="1:4" x14ac:dyDescent="0.35">
      <c r="A105" t="s">
        <v>11</v>
      </c>
      <c r="B105" t="s">
        <v>4</v>
      </c>
      <c r="C105" t="s">
        <v>10</v>
      </c>
      <c r="D105">
        <v>9.3971170241898783E-5</v>
      </c>
    </row>
    <row r="106" spans="1:4" x14ac:dyDescent="0.35">
      <c r="A106" t="s">
        <v>12</v>
      </c>
      <c r="B106" t="s">
        <v>4</v>
      </c>
      <c r="C106" t="s">
        <v>10</v>
      </c>
      <c r="D106">
        <v>0</v>
      </c>
    </row>
    <row r="107" spans="1:4" x14ac:dyDescent="0.35">
      <c r="A107" t="s">
        <v>13</v>
      </c>
      <c r="B107" t="s">
        <v>4</v>
      </c>
      <c r="C107" t="s">
        <v>10</v>
      </c>
      <c r="D107">
        <v>2.7152884270485793</v>
      </c>
    </row>
    <row r="108" spans="1:4" x14ac:dyDescent="0.35">
      <c r="A108" t="s">
        <v>14</v>
      </c>
      <c r="B108" t="s">
        <v>4</v>
      </c>
      <c r="C108" t="s">
        <v>10</v>
      </c>
      <c r="D108">
        <v>2.7215181117778768</v>
      </c>
    </row>
    <row r="109" spans="1:4" x14ac:dyDescent="0.35">
      <c r="A109" t="s">
        <v>15</v>
      </c>
      <c r="B109" t="s">
        <v>4</v>
      </c>
      <c r="C109" t="s">
        <v>10</v>
      </c>
      <c r="D109">
        <v>0.40139675495769522</v>
      </c>
    </row>
    <row r="110" spans="1:4" x14ac:dyDescent="0.35">
      <c r="A110" t="s">
        <v>16</v>
      </c>
      <c r="B110" t="s">
        <v>4</v>
      </c>
      <c r="C110" t="s">
        <v>10</v>
      </c>
      <c r="D110">
        <v>11.056505917720328</v>
      </c>
    </row>
    <row r="111" spans="1:4" x14ac:dyDescent="0.35">
      <c r="A111" t="s">
        <v>17</v>
      </c>
      <c r="B111" t="s">
        <v>4</v>
      </c>
      <c r="C111" t="s">
        <v>10</v>
      </c>
      <c r="D111">
        <v>5.3084574297769178</v>
      </c>
    </row>
    <row r="112" spans="1:4" x14ac:dyDescent="0.35">
      <c r="A112" t="s">
        <v>18</v>
      </c>
      <c r="B112" t="s">
        <v>4</v>
      </c>
      <c r="C112" t="s">
        <v>10</v>
      </c>
      <c r="D112">
        <v>19.395605372128454</v>
      </c>
    </row>
    <row r="113" spans="1:4" x14ac:dyDescent="0.35">
      <c r="A113" t="s">
        <v>19</v>
      </c>
      <c r="B113" t="s">
        <v>4</v>
      </c>
      <c r="C113" t="s">
        <v>10</v>
      </c>
      <c r="D113">
        <v>0.20582255707424843</v>
      </c>
    </row>
    <row r="114" spans="1:4" x14ac:dyDescent="0.35">
      <c r="A114" t="s">
        <v>20</v>
      </c>
      <c r="B114" t="s">
        <v>4</v>
      </c>
      <c r="C114" t="s">
        <v>10</v>
      </c>
      <c r="D114">
        <v>0</v>
      </c>
    </row>
    <row r="115" spans="1:4" x14ac:dyDescent="0.35">
      <c r="A115" t="s">
        <v>21</v>
      </c>
      <c r="B115" t="s">
        <v>4</v>
      </c>
      <c r="C115" t="s">
        <v>10</v>
      </c>
      <c r="D115">
        <v>0.16771843589187466</v>
      </c>
    </row>
    <row r="116" spans="1:4" x14ac:dyDescent="0.35">
      <c r="A116" t="s">
        <v>22</v>
      </c>
      <c r="B116" t="s">
        <v>4</v>
      </c>
      <c r="C116" t="s">
        <v>10</v>
      </c>
      <c r="D116">
        <v>8.5275329175455816</v>
      </c>
    </row>
    <row r="117" spans="1:4" x14ac:dyDescent="0.35">
      <c r="A117" t="s">
        <v>23</v>
      </c>
      <c r="B117" t="s">
        <v>4</v>
      </c>
      <c r="C117" t="s">
        <v>10</v>
      </c>
      <c r="D117">
        <v>55.656449899139538</v>
      </c>
    </row>
    <row r="118" spans="1:4" x14ac:dyDescent="0.35">
      <c r="A118" t="s">
        <v>24</v>
      </c>
      <c r="B118" t="s">
        <v>4</v>
      </c>
      <c r="C118" t="s">
        <v>10</v>
      </c>
      <c r="D118">
        <v>51.437830825220132</v>
      </c>
    </row>
    <row r="119" spans="1:4" x14ac:dyDescent="0.35">
      <c r="A119" t="s">
        <v>25</v>
      </c>
      <c r="B119" t="s">
        <v>4</v>
      </c>
      <c r="C119" t="s">
        <v>10</v>
      </c>
      <c r="D119">
        <v>434.83851820210714</v>
      </c>
    </row>
    <row r="120" spans="1:4" x14ac:dyDescent="0.35">
      <c r="A120" t="s">
        <v>26</v>
      </c>
      <c r="B120" t="s">
        <v>4</v>
      </c>
      <c r="C120" t="s">
        <v>10</v>
      </c>
      <c r="D120">
        <v>0</v>
      </c>
    </row>
    <row r="121" spans="1:4" x14ac:dyDescent="0.35">
      <c r="A121" t="s">
        <v>27</v>
      </c>
      <c r="B121" t="s">
        <v>4</v>
      </c>
      <c r="C121" t="s">
        <v>10</v>
      </c>
      <c r="D121">
        <v>1.4701423968397795</v>
      </c>
    </row>
    <row r="122" spans="1:4" x14ac:dyDescent="0.35">
      <c r="A122" t="s">
        <v>28</v>
      </c>
      <c r="B122" t="s">
        <v>4</v>
      </c>
      <c r="C122" t="s">
        <v>10</v>
      </c>
      <c r="D122">
        <v>0</v>
      </c>
    </row>
    <row r="123" spans="1:4" x14ac:dyDescent="0.35">
      <c r="A123" t="s">
        <v>29</v>
      </c>
      <c r="B123" t="s">
        <v>4</v>
      </c>
      <c r="C123" t="s">
        <v>10</v>
      </c>
      <c r="D123">
        <v>21.842271007385378</v>
      </c>
    </row>
    <row r="124" spans="1:4" x14ac:dyDescent="0.35">
      <c r="A124" t="s">
        <v>30</v>
      </c>
      <c r="B124" t="s">
        <v>4</v>
      </c>
      <c r="C124" t="s">
        <v>10</v>
      </c>
      <c r="D124">
        <v>23.819576344275717</v>
      </c>
    </row>
    <row r="125" spans="1:4" x14ac:dyDescent="0.35">
      <c r="A125" t="s">
        <v>31</v>
      </c>
      <c r="B125" t="s">
        <v>4</v>
      </c>
      <c r="C125" t="s">
        <v>10</v>
      </c>
      <c r="D125">
        <v>4.701173397620475</v>
      </c>
    </row>
    <row r="126" spans="1:4" x14ac:dyDescent="0.35">
      <c r="A126" t="s">
        <v>32</v>
      </c>
      <c r="B126" t="s">
        <v>4</v>
      </c>
      <c r="C126" t="s">
        <v>10</v>
      </c>
      <c r="D126">
        <v>19.803900191873471</v>
      </c>
    </row>
    <row r="127" spans="1:4" x14ac:dyDescent="0.35">
      <c r="A127" t="s">
        <v>33</v>
      </c>
      <c r="B127" t="s">
        <v>4</v>
      </c>
      <c r="C127" t="s">
        <v>10</v>
      </c>
      <c r="D127">
        <v>62.288888876960051</v>
      </c>
    </row>
    <row r="128" spans="1:4" x14ac:dyDescent="0.35">
      <c r="A128" t="s">
        <v>34</v>
      </c>
      <c r="B128" t="s">
        <v>4</v>
      </c>
      <c r="C128" t="s">
        <v>10</v>
      </c>
      <c r="D128">
        <v>36.739821280391176</v>
      </c>
    </row>
    <row r="129" spans="1:4" x14ac:dyDescent="0.35">
      <c r="A129" t="s">
        <v>35</v>
      </c>
      <c r="B129" t="s">
        <v>4</v>
      </c>
      <c r="C129" t="s">
        <v>10</v>
      </c>
      <c r="D129">
        <v>16.678718732536076</v>
      </c>
    </row>
    <row r="130" spans="1:4" x14ac:dyDescent="0.35">
      <c r="A130" t="s">
        <v>36</v>
      </c>
      <c r="B130" t="s">
        <v>4</v>
      </c>
      <c r="C130" t="s">
        <v>10</v>
      </c>
      <c r="D130">
        <v>0</v>
      </c>
    </row>
    <row r="131" spans="1:4" x14ac:dyDescent="0.35">
      <c r="A131" t="s">
        <v>37</v>
      </c>
      <c r="B131" t="s">
        <v>4</v>
      </c>
      <c r="C131" t="s">
        <v>10</v>
      </c>
      <c r="D131">
        <v>0.12793460541314536</v>
      </c>
    </row>
    <row r="132" spans="1:4" x14ac:dyDescent="0.35">
      <c r="A132" t="s">
        <v>38</v>
      </c>
      <c r="B132" t="s">
        <v>4</v>
      </c>
      <c r="C132" t="s">
        <v>10</v>
      </c>
      <c r="D132">
        <v>0.80816304244951309</v>
      </c>
    </row>
    <row r="133" spans="1:4" x14ac:dyDescent="0.35">
      <c r="A133" t="s">
        <v>39</v>
      </c>
      <c r="B133" t="s">
        <v>4</v>
      </c>
      <c r="C133" t="s">
        <v>10</v>
      </c>
      <c r="D133">
        <v>0</v>
      </c>
    </row>
    <row r="134" spans="1:4" x14ac:dyDescent="0.35">
      <c r="A134" t="s">
        <v>7</v>
      </c>
      <c r="B134" t="s">
        <v>4</v>
      </c>
      <c r="C134" t="s">
        <v>11</v>
      </c>
      <c r="D134">
        <v>0</v>
      </c>
    </row>
    <row r="135" spans="1:4" x14ac:dyDescent="0.35">
      <c r="A135" t="s">
        <v>8</v>
      </c>
      <c r="B135" t="s">
        <v>4</v>
      </c>
      <c r="C135" t="s">
        <v>11</v>
      </c>
      <c r="D135">
        <v>0</v>
      </c>
    </row>
    <row r="136" spans="1:4" x14ac:dyDescent="0.35">
      <c r="A136" t="s">
        <v>9</v>
      </c>
      <c r="B136" t="s">
        <v>4</v>
      </c>
      <c r="C136" t="s">
        <v>11</v>
      </c>
      <c r="D136">
        <v>0</v>
      </c>
    </row>
    <row r="137" spans="1:4" x14ac:dyDescent="0.35">
      <c r="A137" t="s">
        <v>10</v>
      </c>
      <c r="B137" t="s">
        <v>4</v>
      </c>
      <c r="C137" t="s">
        <v>11</v>
      </c>
      <c r="D137">
        <v>0.34793832445302947</v>
      </c>
    </row>
    <row r="138" spans="1:4" x14ac:dyDescent="0.35">
      <c r="A138" t="s">
        <v>11</v>
      </c>
      <c r="B138" t="s">
        <v>4</v>
      </c>
      <c r="C138" t="s">
        <v>11</v>
      </c>
      <c r="D138">
        <v>9.2496089750234121E-3</v>
      </c>
    </row>
    <row r="139" spans="1:4" x14ac:dyDescent="0.35">
      <c r="A139" t="s">
        <v>12</v>
      </c>
      <c r="B139" t="s">
        <v>4</v>
      </c>
      <c r="C139" t="s">
        <v>11</v>
      </c>
      <c r="D139">
        <v>0</v>
      </c>
    </row>
    <row r="140" spans="1:4" x14ac:dyDescent="0.35">
      <c r="A140" t="s">
        <v>13</v>
      </c>
      <c r="B140" t="s">
        <v>4</v>
      </c>
      <c r="C140" t="s">
        <v>11</v>
      </c>
      <c r="D140">
        <v>0.15142241371853291</v>
      </c>
    </row>
    <row r="141" spans="1:4" x14ac:dyDescent="0.35">
      <c r="A141" t="s">
        <v>14</v>
      </c>
      <c r="B141" t="s">
        <v>4</v>
      </c>
      <c r="C141" t="s">
        <v>11</v>
      </c>
      <c r="D141">
        <v>4.4477575983238052E-2</v>
      </c>
    </row>
    <row r="142" spans="1:4" x14ac:dyDescent="0.35">
      <c r="A142" t="s">
        <v>15</v>
      </c>
      <c r="B142" t="s">
        <v>4</v>
      </c>
      <c r="C142" t="s">
        <v>11</v>
      </c>
      <c r="D142">
        <v>0.16353239577170353</v>
      </c>
    </row>
    <row r="143" spans="1:4" x14ac:dyDescent="0.35">
      <c r="A143" t="s">
        <v>16</v>
      </c>
      <c r="B143" t="s">
        <v>4</v>
      </c>
      <c r="C143" t="s">
        <v>11</v>
      </c>
      <c r="D143">
        <v>0.21141674031622468</v>
      </c>
    </row>
    <row r="144" spans="1:4" x14ac:dyDescent="0.35">
      <c r="A144" t="s">
        <v>17</v>
      </c>
      <c r="B144" t="s">
        <v>4</v>
      </c>
      <c r="C144" t="s">
        <v>11</v>
      </c>
      <c r="D144">
        <v>0.26455062544134639</v>
      </c>
    </row>
    <row r="145" spans="1:4" x14ac:dyDescent="0.35">
      <c r="A145" t="s">
        <v>18</v>
      </c>
      <c r="B145" t="s">
        <v>4</v>
      </c>
      <c r="C145" t="s">
        <v>11</v>
      </c>
      <c r="D145">
        <v>0</v>
      </c>
    </row>
    <row r="146" spans="1:4" x14ac:dyDescent="0.35">
      <c r="A146" t="s">
        <v>19</v>
      </c>
      <c r="B146" t="s">
        <v>4</v>
      </c>
      <c r="C146" t="s">
        <v>11</v>
      </c>
      <c r="D146">
        <v>2.1569218813426421E-3</v>
      </c>
    </row>
    <row r="147" spans="1:4" x14ac:dyDescent="0.35">
      <c r="A147" t="s">
        <v>20</v>
      </c>
      <c r="B147" t="s">
        <v>4</v>
      </c>
      <c r="C147" t="s">
        <v>11</v>
      </c>
      <c r="D147">
        <v>0</v>
      </c>
    </row>
    <row r="148" spans="1:4" x14ac:dyDescent="0.35">
      <c r="A148" t="s">
        <v>21</v>
      </c>
      <c r="B148" t="s">
        <v>4</v>
      </c>
      <c r="C148" t="s">
        <v>11</v>
      </c>
      <c r="D148">
        <v>8.6809977094548735E-4</v>
      </c>
    </row>
    <row r="149" spans="1:4" x14ac:dyDescent="0.35">
      <c r="A149" t="s">
        <v>22</v>
      </c>
      <c r="B149" t="s">
        <v>4</v>
      </c>
      <c r="C149" t="s">
        <v>11</v>
      </c>
      <c r="D149">
        <v>0.20415212981688347</v>
      </c>
    </row>
    <row r="150" spans="1:4" x14ac:dyDescent="0.35">
      <c r="A150" t="s">
        <v>23</v>
      </c>
      <c r="B150" t="s">
        <v>4</v>
      </c>
      <c r="C150" t="s">
        <v>11</v>
      </c>
      <c r="D150">
        <v>0.34181166073105679</v>
      </c>
    </row>
    <row r="151" spans="1:4" x14ac:dyDescent="0.35">
      <c r="A151" t="s">
        <v>24</v>
      </c>
      <c r="B151" t="s">
        <v>4</v>
      </c>
      <c r="C151" t="s">
        <v>11</v>
      </c>
      <c r="D151">
        <v>0.60707072014899655</v>
      </c>
    </row>
    <row r="152" spans="1:4" x14ac:dyDescent="0.35">
      <c r="A152" t="s">
        <v>25</v>
      </c>
      <c r="B152" t="s">
        <v>4</v>
      </c>
      <c r="C152" t="s">
        <v>11</v>
      </c>
      <c r="D152">
        <v>2.3009319134512958</v>
      </c>
    </row>
    <row r="153" spans="1:4" x14ac:dyDescent="0.35">
      <c r="A153" t="s">
        <v>26</v>
      </c>
      <c r="B153" t="s">
        <v>4</v>
      </c>
      <c r="C153" t="s">
        <v>11</v>
      </c>
      <c r="D153">
        <v>0</v>
      </c>
    </row>
    <row r="154" spans="1:4" x14ac:dyDescent="0.35">
      <c r="A154" t="s">
        <v>27</v>
      </c>
      <c r="B154" t="s">
        <v>4</v>
      </c>
      <c r="C154" t="s">
        <v>11</v>
      </c>
      <c r="D154">
        <v>0</v>
      </c>
    </row>
    <row r="155" spans="1:4" x14ac:dyDescent="0.35">
      <c r="A155" t="s">
        <v>28</v>
      </c>
      <c r="B155" t="s">
        <v>4</v>
      </c>
      <c r="C155" t="s">
        <v>11</v>
      </c>
      <c r="D155">
        <v>0</v>
      </c>
    </row>
    <row r="156" spans="1:4" x14ac:dyDescent="0.35">
      <c r="A156" t="s">
        <v>29</v>
      </c>
      <c r="B156" t="s">
        <v>4</v>
      </c>
      <c r="C156" t="s">
        <v>11</v>
      </c>
      <c r="D156">
        <v>0.20155624603082611</v>
      </c>
    </row>
    <row r="157" spans="1:4" x14ac:dyDescent="0.35">
      <c r="A157" t="s">
        <v>30</v>
      </c>
      <c r="B157" t="s">
        <v>4</v>
      </c>
      <c r="C157" t="s">
        <v>11</v>
      </c>
      <c r="D157">
        <v>1.6003193855052411</v>
      </c>
    </row>
    <row r="158" spans="1:4" x14ac:dyDescent="0.35">
      <c r="A158" t="s">
        <v>31</v>
      </c>
      <c r="B158" t="s">
        <v>4</v>
      </c>
      <c r="C158" t="s">
        <v>11</v>
      </c>
      <c r="D158">
        <v>0.13238955572146943</v>
      </c>
    </row>
    <row r="159" spans="1:4" x14ac:dyDescent="0.35">
      <c r="A159" t="s">
        <v>32</v>
      </c>
      <c r="B159" t="s">
        <v>4</v>
      </c>
      <c r="C159" t="s">
        <v>11</v>
      </c>
      <c r="D159">
        <v>0.26707047389542582</v>
      </c>
    </row>
    <row r="160" spans="1:4" x14ac:dyDescent="0.35">
      <c r="A160" t="s">
        <v>33</v>
      </c>
      <c r="B160" t="s">
        <v>4</v>
      </c>
      <c r="C160" t="s">
        <v>11</v>
      </c>
      <c r="D160">
        <v>0.73513521120887182</v>
      </c>
    </row>
    <row r="161" spans="1:4" x14ac:dyDescent="0.35">
      <c r="A161" t="s">
        <v>34</v>
      </c>
      <c r="B161" t="s">
        <v>4</v>
      </c>
      <c r="C161" t="s">
        <v>11</v>
      </c>
      <c r="D161">
        <v>1.3280576402779272</v>
      </c>
    </row>
    <row r="162" spans="1:4" x14ac:dyDescent="0.35">
      <c r="A162" t="s">
        <v>35</v>
      </c>
      <c r="B162" t="s">
        <v>4</v>
      </c>
      <c r="C162" t="s">
        <v>11</v>
      </c>
      <c r="D162">
        <v>9.579676109358079E-2</v>
      </c>
    </row>
    <row r="163" spans="1:4" x14ac:dyDescent="0.35">
      <c r="A163" t="s">
        <v>36</v>
      </c>
      <c r="B163" t="s">
        <v>4</v>
      </c>
      <c r="C163" t="s">
        <v>11</v>
      </c>
      <c r="D163">
        <v>0</v>
      </c>
    </row>
    <row r="164" spans="1:4" x14ac:dyDescent="0.35">
      <c r="A164" t="s">
        <v>37</v>
      </c>
      <c r="B164" t="s">
        <v>4</v>
      </c>
      <c r="C164" t="s">
        <v>11</v>
      </c>
      <c r="D164">
        <v>2.5216130167210027E-2</v>
      </c>
    </row>
    <row r="165" spans="1:4" x14ac:dyDescent="0.35">
      <c r="A165" t="s">
        <v>38</v>
      </c>
      <c r="B165" t="s">
        <v>4</v>
      </c>
      <c r="C165" t="s">
        <v>11</v>
      </c>
      <c r="D165">
        <v>0</v>
      </c>
    </row>
    <row r="166" spans="1:4" x14ac:dyDescent="0.35">
      <c r="A166" t="s">
        <v>39</v>
      </c>
      <c r="B166" t="s">
        <v>4</v>
      </c>
      <c r="C166" t="s">
        <v>11</v>
      </c>
      <c r="D166">
        <v>0</v>
      </c>
    </row>
    <row r="167" spans="1:4" x14ac:dyDescent="0.35">
      <c r="A167" t="s">
        <v>7</v>
      </c>
      <c r="B167" t="s">
        <v>4</v>
      </c>
      <c r="C167" t="s">
        <v>12</v>
      </c>
      <c r="D167">
        <v>3.270481838701198</v>
      </c>
    </row>
    <row r="168" spans="1:4" x14ac:dyDescent="0.35">
      <c r="A168" t="s">
        <v>8</v>
      </c>
      <c r="B168" t="s">
        <v>4</v>
      </c>
      <c r="C168" t="s">
        <v>12</v>
      </c>
      <c r="D168">
        <v>0.46458554042200828</v>
      </c>
    </row>
    <row r="169" spans="1:4" x14ac:dyDescent="0.35">
      <c r="A169" t="s">
        <v>9</v>
      </c>
      <c r="B169" t="s">
        <v>4</v>
      </c>
      <c r="C169" t="s">
        <v>12</v>
      </c>
      <c r="D169">
        <v>8.396355830879108E-3</v>
      </c>
    </row>
    <row r="170" spans="1:4" x14ac:dyDescent="0.35">
      <c r="A170" t="s">
        <v>10</v>
      </c>
      <c r="B170" t="s">
        <v>4</v>
      </c>
      <c r="C170" t="s">
        <v>12</v>
      </c>
      <c r="D170">
        <v>3.0966835207543792</v>
      </c>
    </row>
    <row r="171" spans="1:4" x14ac:dyDescent="0.35">
      <c r="A171" t="s">
        <v>11</v>
      </c>
      <c r="B171" t="s">
        <v>4</v>
      </c>
      <c r="C171" t="s">
        <v>12</v>
      </c>
      <c r="D171">
        <v>0</v>
      </c>
    </row>
    <row r="172" spans="1:4" x14ac:dyDescent="0.35">
      <c r="A172" t="s">
        <v>12</v>
      </c>
      <c r="B172" t="s">
        <v>4</v>
      </c>
      <c r="C172" t="s">
        <v>12</v>
      </c>
      <c r="D172">
        <v>180.23134289105207</v>
      </c>
    </row>
    <row r="173" spans="1:4" x14ac:dyDescent="0.35">
      <c r="A173" t="s">
        <v>13</v>
      </c>
      <c r="B173" t="s">
        <v>4</v>
      </c>
      <c r="C173" t="s">
        <v>12</v>
      </c>
      <c r="D173">
        <v>14.090261985877936</v>
      </c>
    </row>
    <row r="174" spans="1:4" x14ac:dyDescent="0.35">
      <c r="A174" t="s">
        <v>14</v>
      </c>
      <c r="B174" t="s">
        <v>4</v>
      </c>
      <c r="C174" t="s">
        <v>12</v>
      </c>
      <c r="D174">
        <v>3.4757295883756654</v>
      </c>
    </row>
    <row r="175" spans="1:4" x14ac:dyDescent="0.35">
      <c r="A175" t="s">
        <v>15</v>
      </c>
      <c r="B175" t="s">
        <v>4</v>
      </c>
      <c r="C175" t="s">
        <v>12</v>
      </c>
      <c r="D175">
        <v>80.62125796279966</v>
      </c>
    </row>
    <row r="176" spans="1:4" x14ac:dyDescent="0.35">
      <c r="A176" t="s">
        <v>16</v>
      </c>
      <c r="B176" t="s">
        <v>4</v>
      </c>
      <c r="C176" t="s">
        <v>12</v>
      </c>
      <c r="D176">
        <v>25.804817425511654</v>
      </c>
    </row>
    <row r="177" spans="1:4" x14ac:dyDescent="0.35">
      <c r="A177" t="s">
        <v>17</v>
      </c>
      <c r="B177" t="s">
        <v>4</v>
      </c>
      <c r="C177" t="s">
        <v>12</v>
      </c>
      <c r="D177">
        <v>17.793972047100972</v>
      </c>
    </row>
    <row r="178" spans="1:4" x14ac:dyDescent="0.35">
      <c r="A178" t="s">
        <v>18</v>
      </c>
      <c r="B178" t="s">
        <v>4</v>
      </c>
      <c r="C178" t="s">
        <v>12</v>
      </c>
      <c r="D178">
        <v>25.601936552693999</v>
      </c>
    </row>
    <row r="179" spans="1:4" x14ac:dyDescent="0.35">
      <c r="A179" t="s">
        <v>19</v>
      </c>
      <c r="B179" t="s">
        <v>4</v>
      </c>
      <c r="C179" t="s">
        <v>12</v>
      </c>
      <c r="D179">
        <v>1.2425661080451926</v>
      </c>
    </row>
    <row r="180" spans="1:4" x14ac:dyDescent="0.35">
      <c r="A180" t="s">
        <v>20</v>
      </c>
      <c r="B180" t="s">
        <v>4</v>
      </c>
      <c r="C180" t="s">
        <v>12</v>
      </c>
      <c r="D180">
        <v>0</v>
      </c>
    </row>
    <row r="181" spans="1:4" x14ac:dyDescent="0.35">
      <c r="A181" t="s">
        <v>21</v>
      </c>
      <c r="B181" t="s">
        <v>4</v>
      </c>
      <c r="C181" t="s">
        <v>12</v>
      </c>
      <c r="D181">
        <v>0.21064184658782584</v>
      </c>
    </row>
    <row r="182" spans="1:4" x14ac:dyDescent="0.35">
      <c r="A182" t="s">
        <v>22</v>
      </c>
      <c r="B182" t="s">
        <v>4</v>
      </c>
      <c r="C182" t="s">
        <v>12</v>
      </c>
      <c r="D182">
        <v>2.5854526164169371</v>
      </c>
    </row>
    <row r="183" spans="1:4" x14ac:dyDescent="0.35">
      <c r="A183" t="s">
        <v>23</v>
      </c>
      <c r="B183" t="s">
        <v>4</v>
      </c>
      <c r="C183" t="s">
        <v>12</v>
      </c>
      <c r="D183">
        <v>24.893120312977629</v>
      </c>
    </row>
    <row r="184" spans="1:4" x14ac:dyDescent="0.35">
      <c r="A184" t="s">
        <v>24</v>
      </c>
      <c r="B184" t="s">
        <v>4</v>
      </c>
      <c r="C184" t="s">
        <v>12</v>
      </c>
      <c r="D184">
        <v>4.6866468769988359</v>
      </c>
    </row>
    <row r="185" spans="1:4" x14ac:dyDescent="0.35">
      <c r="A185" t="s">
        <v>25</v>
      </c>
      <c r="B185" t="s">
        <v>4</v>
      </c>
      <c r="C185" t="s">
        <v>12</v>
      </c>
      <c r="D185">
        <v>322.42332629367405</v>
      </c>
    </row>
    <row r="186" spans="1:4" x14ac:dyDescent="0.35">
      <c r="A186" t="s">
        <v>26</v>
      </c>
      <c r="B186" t="s">
        <v>4</v>
      </c>
      <c r="C186" t="s">
        <v>12</v>
      </c>
      <c r="D186">
        <v>0</v>
      </c>
    </row>
    <row r="187" spans="1:4" x14ac:dyDescent="0.35">
      <c r="A187" t="s">
        <v>27</v>
      </c>
      <c r="B187" t="s">
        <v>4</v>
      </c>
      <c r="C187" t="s">
        <v>12</v>
      </c>
      <c r="D187">
        <v>14.156727935275102</v>
      </c>
    </row>
    <row r="188" spans="1:4" x14ac:dyDescent="0.35">
      <c r="A188" t="s">
        <v>28</v>
      </c>
      <c r="B188" t="s">
        <v>4</v>
      </c>
      <c r="C188" t="s">
        <v>12</v>
      </c>
      <c r="D188">
        <v>0</v>
      </c>
    </row>
    <row r="189" spans="1:4" x14ac:dyDescent="0.35">
      <c r="A189" t="s">
        <v>29</v>
      </c>
      <c r="B189" t="s">
        <v>4</v>
      </c>
      <c r="C189" t="s">
        <v>12</v>
      </c>
      <c r="D189">
        <v>9.1547647649705475</v>
      </c>
    </row>
    <row r="190" spans="1:4" x14ac:dyDescent="0.35">
      <c r="A190" t="s">
        <v>30</v>
      </c>
      <c r="B190" t="s">
        <v>4</v>
      </c>
      <c r="C190" t="s">
        <v>12</v>
      </c>
      <c r="D190">
        <v>19.27921864641003</v>
      </c>
    </row>
    <row r="191" spans="1:4" x14ac:dyDescent="0.35">
      <c r="A191" t="s">
        <v>31</v>
      </c>
      <c r="B191" t="s">
        <v>4</v>
      </c>
      <c r="C191" t="s">
        <v>12</v>
      </c>
      <c r="D191">
        <v>3.0623867326746406</v>
      </c>
    </row>
    <row r="192" spans="1:4" x14ac:dyDescent="0.35">
      <c r="A192" t="s">
        <v>32</v>
      </c>
      <c r="B192" t="s">
        <v>4</v>
      </c>
      <c r="C192" t="s">
        <v>12</v>
      </c>
      <c r="D192">
        <v>30.429338494299611</v>
      </c>
    </row>
    <row r="193" spans="1:4" x14ac:dyDescent="0.35">
      <c r="A193" t="s">
        <v>33</v>
      </c>
      <c r="B193" t="s">
        <v>4</v>
      </c>
      <c r="C193" t="s">
        <v>12</v>
      </c>
      <c r="D193">
        <v>64.000422494184662</v>
      </c>
    </row>
    <row r="194" spans="1:4" x14ac:dyDescent="0.35">
      <c r="A194" t="s">
        <v>34</v>
      </c>
      <c r="B194" t="s">
        <v>4</v>
      </c>
      <c r="C194" t="s">
        <v>12</v>
      </c>
      <c r="D194">
        <v>20.485426235646813</v>
      </c>
    </row>
    <row r="195" spans="1:4" x14ac:dyDescent="0.35">
      <c r="A195" t="s">
        <v>35</v>
      </c>
      <c r="B195" t="s">
        <v>4</v>
      </c>
      <c r="C195" t="s">
        <v>12</v>
      </c>
      <c r="D195">
        <v>25.167390732480683</v>
      </c>
    </row>
    <row r="196" spans="1:4" x14ac:dyDescent="0.35">
      <c r="A196" t="s">
        <v>36</v>
      </c>
      <c r="B196" t="s">
        <v>4</v>
      </c>
      <c r="C196" t="s">
        <v>12</v>
      </c>
      <c r="D196">
        <v>0.45358656105948308</v>
      </c>
    </row>
    <row r="197" spans="1:4" x14ac:dyDescent="0.35">
      <c r="A197" t="s">
        <v>37</v>
      </c>
      <c r="B197" t="s">
        <v>4</v>
      </c>
      <c r="C197" t="s">
        <v>12</v>
      </c>
      <c r="D197">
        <v>0.49998931072111297</v>
      </c>
    </row>
    <row r="198" spans="1:4" x14ac:dyDescent="0.35">
      <c r="A198" t="s">
        <v>38</v>
      </c>
      <c r="B198" t="s">
        <v>4</v>
      </c>
      <c r="C198" t="s">
        <v>12</v>
      </c>
      <c r="D198">
        <v>0</v>
      </c>
    </row>
    <row r="199" spans="1:4" x14ac:dyDescent="0.35">
      <c r="A199" t="s">
        <v>39</v>
      </c>
      <c r="B199" t="s">
        <v>4</v>
      </c>
      <c r="C199" t="s">
        <v>12</v>
      </c>
      <c r="D199">
        <v>0</v>
      </c>
    </row>
    <row r="200" spans="1:4" x14ac:dyDescent="0.35">
      <c r="A200" t="s">
        <v>7</v>
      </c>
      <c r="B200" t="s">
        <v>4</v>
      </c>
      <c r="C200" t="s">
        <v>13</v>
      </c>
      <c r="D200">
        <v>0</v>
      </c>
    </row>
    <row r="201" spans="1:4" x14ac:dyDescent="0.35">
      <c r="A201" t="s">
        <v>8</v>
      </c>
      <c r="B201" t="s">
        <v>4</v>
      </c>
      <c r="C201" t="s">
        <v>13</v>
      </c>
      <c r="D201">
        <v>0</v>
      </c>
    </row>
    <row r="202" spans="1:4" x14ac:dyDescent="0.35">
      <c r="A202" t="s">
        <v>9</v>
      </c>
      <c r="B202" t="s">
        <v>4</v>
      </c>
      <c r="C202" t="s">
        <v>13</v>
      </c>
      <c r="D202">
        <v>8.6612127087756327E-2</v>
      </c>
    </row>
    <row r="203" spans="1:4" x14ac:dyDescent="0.35">
      <c r="A203" t="s">
        <v>10</v>
      </c>
      <c r="B203" t="s">
        <v>4</v>
      </c>
      <c r="C203" t="s">
        <v>13</v>
      </c>
      <c r="D203">
        <v>1.8574440698590433</v>
      </c>
    </row>
    <row r="204" spans="1:4" x14ac:dyDescent="0.35">
      <c r="A204" t="s">
        <v>11</v>
      </c>
      <c r="B204" t="s">
        <v>4</v>
      </c>
      <c r="C204" t="s">
        <v>13</v>
      </c>
      <c r="D204">
        <v>8.5845877457821559E-2</v>
      </c>
    </row>
    <row r="205" spans="1:4" x14ac:dyDescent="0.35">
      <c r="A205" t="s">
        <v>12</v>
      </c>
      <c r="B205" t="s">
        <v>4</v>
      </c>
      <c r="C205" t="s">
        <v>13</v>
      </c>
      <c r="D205">
        <v>7.3140844446638527</v>
      </c>
    </row>
    <row r="206" spans="1:4" x14ac:dyDescent="0.35">
      <c r="A206" t="s">
        <v>13</v>
      </c>
      <c r="B206" t="s">
        <v>4</v>
      </c>
      <c r="C206" t="s">
        <v>13</v>
      </c>
      <c r="D206">
        <v>1149.5474917978024</v>
      </c>
    </row>
    <row r="207" spans="1:4" x14ac:dyDescent="0.35">
      <c r="A207" t="s">
        <v>14</v>
      </c>
      <c r="B207" t="s">
        <v>4</v>
      </c>
      <c r="C207" t="s">
        <v>13</v>
      </c>
      <c r="D207">
        <v>5.5437859147467066</v>
      </c>
    </row>
    <row r="208" spans="1:4" x14ac:dyDescent="0.35">
      <c r="A208" t="s">
        <v>15</v>
      </c>
      <c r="B208" t="s">
        <v>4</v>
      </c>
      <c r="C208" t="s">
        <v>13</v>
      </c>
      <c r="D208">
        <v>72.29049163186599</v>
      </c>
    </row>
    <row r="209" spans="1:4" x14ac:dyDescent="0.35">
      <c r="A209" t="s">
        <v>16</v>
      </c>
      <c r="B209" t="s">
        <v>4</v>
      </c>
      <c r="C209" t="s">
        <v>13</v>
      </c>
      <c r="D209">
        <v>55.927565756394664</v>
      </c>
    </row>
    <row r="210" spans="1:4" x14ac:dyDescent="0.35">
      <c r="A210" t="s">
        <v>17</v>
      </c>
      <c r="B210" t="s">
        <v>4</v>
      </c>
      <c r="C210" t="s">
        <v>13</v>
      </c>
      <c r="D210">
        <v>0</v>
      </c>
    </row>
    <row r="211" spans="1:4" x14ac:dyDescent="0.35">
      <c r="A211" t="s">
        <v>18</v>
      </c>
      <c r="B211" t="s">
        <v>4</v>
      </c>
      <c r="C211" t="s">
        <v>13</v>
      </c>
      <c r="D211">
        <v>7.3057808292288762</v>
      </c>
    </row>
    <row r="212" spans="1:4" x14ac:dyDescent="0.35">
      <c r="A212" t="s">
        <v>19</v>
      </c>
      <c r="B212" t="s">
        <v>4</v>
      </c>
      <c r="C212" t="s">
        <v>13</v>
      </c>
      <c r="D212">
        <v>3.3189704427093183</v>
      </c>
    </row>
    <row r="213" spans="1:4" x14ac:dyDescent="0.35">
      <c r="A213" t="s">
        <v>20</v>
      </c>
      <c r="B213" t="s">
        <v>4</v>
      </c>
      <c r="C213" t="s">
        <v>13</v>
      </c>
      <c r="D213">
        <v>5.7247783108834772E-4</v>
      </c>
    </row>
    <row r="214" spans="1:4" x14ac:dyDescent="0.35">
      <c r="A214" t="s">
        <v>21</v>
      </c>
      <c r="B214" t="s">
        <v>4</v>
      </c>
      <c r="C214" t="s">
        <v>13</v>
      </c>
      <c r="D214">
        <v>0.38344087523342746</v>
      </c>
    </row>
    <row r="215" spans="1:4" x14ac:dyDescent="0.35">
      <c r="A215" t="s">
        <v>22</v>
      </c>
      <c r="B215" t="s">
        <v>4</v>
      </c>
      <c r="C215" t="s">
        <v>13</v>
      </c>
      <c r="D215">
        <v>18.138943753248917</v>
      </c>
    </row>
    <row r="216" spans="1:4" x14ac:dyDescent="0.35">
      <c r="A216" t="s">
        <v>23</v>
      </c>
      <c r="B216" t="s">
        <v>4</v>
      </c>
      <c r="C216" t="s">
        <v>13</v>
      </c>
      <c r="D216">
        <v>190.86207707210679</v>
      </c>
    </row>
    <row r="217" spans="1:4" x14ac:dyDescent="0.35">
      <c r="A217" t="s">
        <v>24</v>
      </c>
      <c r="B217" t="s">
        <v>4</v>
      </c>
      <c r="C217" t="s">
        <v>13</v>
      </c>
      <c r="D217">
        <v>23.946596878460969</v>
      </c>
    </row>
    <row r="218" spans="1:4" x14ac:dyDescent="0.35">
      <c r="A218" t="s">
        <v>25</v>
      </c>
      <c r="B218" t="s">
        <v>4</v>
      </c>
      <c r="C218" t="s">
        <v>13</v>
      </c>
      <c r="D218">
        <v>1006.4604913588295</v>
      </c>
    </row>
    <row r="219" spans="1:4" x14ac:dyDescent="0.35">
      <c r="A219" t="s">
        <v>26</v>
      </c>
      <c r="B219" t="s">
        <v>4</v>
      </c>
      <c r="C219" t="s">
        <v>13</v>
      </c>
      <c r="D219">
        <v>0</v>
      </c>
    </row>
    <row r="220" spans="1:4" x14ac:dyDescent="0.35">
      <c r="A220" t="s">
        <v>27</v>
      </c>
      <c r="B220" t="s">
        <v>4</v>
      </c>
      <c r="C220" t="s">
        <v>13</v>
      </c>
      <c r="D220">
        <v>18.591396849172288</v>
      </c>
    </row>
    <row r="221" spans="1:4" x14ac:dyDescent="0.35">
      <c r="A221" t="s">
        <v>28</v>
      </c>
      <c r="B221" t="s">
        <v>4</v>
      </c>
      <c r="C221" t="s">
        <v>13</v>
      </c>
      <c r="D221">
        <v>0</v>
      </c>
    </row>
    <row r="222" spans="1:4" x14ac:dyDescent="0.35">
      <c r="A222" t="s">
        <v>29</v>
      </c>
      <c r="B222" t="s">
        <v>4</v>
      </c>
      <c r="C222" t="s">
        <v>13</v>
      </c>
      <c r="D222">
        <v>26.579551550966158</v>
      </c>
    </row>
    <row r="223" spans="1:4" x14ac:dyDescent="0.35">
      <c r="A223" t="s">
        <v>30</v>
      </c>
      <c r="B223" t="s">
        <v>4</v>
      </c>
      <c r="C223" t="s">
        <v>13</v>
      </c>
      <c r="D223">
        <v>99.407934739702043</v>
      </c>
    </row>
    <row r="224" spans="1:4" x14ac:dyDescent="0.35">
      <c r="A224" t="s">
        <v>31</v>
      </c>
      <c r="B224" t="s">
        <v>4</v>
      </c>
      <c r="C224" t="s">
        <v>13</v>
      </c>
      <c r="D224">
        <v>41.60193936057663</v>
      </c>
    </row>
    <row r="225" spans="1:4" x14ac:dyDescent="0.35">
      <c r="A225" t="s">
        <v>32</v>
      </c>
      <c r="B225" t="s">
        <v>4</v>
      </c>
      <c r="C225" t="s">
        <v>13</v>
      </c>
      <c r="D225">
        <v>64.151618901745351</v>
      </c>
    </row>
    <row r="226" spans="1:4" x14ac:dyDescent="0.35">
      <c r="A226" t="s">
        <v>33</v>
      </c>
      <c r="B226" t="s">
        <v>4</v>
      </c>
      <c r="C226" t="s">
        <v>13</v>
      </c>
      <c r="D226">
        <v>47.9806040008285</v>
      </c>
    </row>
    <row r="227" spans="1:4" x14ac:dyDescent="0.35">
      <c r="A227" t="s">
        <v>34</v>
      </c>
      <c r="B227" t="s">
        <v>4</v>
      </c>
      <c r="C227" t="s">
        <v>13</v>
      </c>
      <c r="D227">
        <v>236.02169365441011</v>
      </c>
    </row>
    <row r="228" spans="1:4" x14ac:dyDescent="0.35">
      <c r="A228" t="s">
        <v>35</v>
      </c>
      <c r="B228" t="s">
        <v>4</v>
      </c>
      <c r="C228" t="s">
        <v>13</v>
      </c>
      <c r="D228">
        <v>35.48137996962992</v>
      </c>
    </row>
    <row r="229" spans="1:4" x14ac:dyDescent="0.35">
      <c r="A229" t="s">
        <v>36</v>
      </c>
      <c r="B229" t="s">
        <v>4</v>
      </c>
      <c r="C229" t="s">
        <v>13</v>
      </c>
      <c r="D229">
        <v>3.5204164182273239</v>
      </c>
    </row>
    <row r="230" spans="1:4" x14ac:dyDescent="0.35">
      <c r="A230" t="s">
        <v>37</v>
      </c>
      <c r="B230" t="s">
        <v>4</v>
      </c>
      <c r="C230" t="s">
        <v>13</v>
      </c>
      <c r="D230">
        <v>0.8998008011865779</v>
      </c>
    </row>
    <row r="231" spans="1:4" x14ac:dyDescent="0.35">
      <c r="A231" t="s">
        <v>38</v>
      </c>
      <c r="B231" t="s">
        <v>4</v>
      </c>
      <c r="C231" t="s">
        <v>13</v>
      </c>
      <c r="D231">
        <v>1.9753447736347343</v>
      </c>
    </row>
    <row r="232" spans="1:4" x14ac:dyDescent="0.35">
      <c r="A232" t="s">
        <v>39</v>
      </c>
      <c r="B232" t="s">
        <v>4</v>
      </c>
      <c r="C232" t="s">
        <v>13</v>
      </c>
      <c r="D232">
        <v>0</v>
      </c>
    </row>
    <row r="233" spans="1:4" x14ac:dyDescent="0.35">
      <c r="A233" t="s">
        <v>7</v>
      </c>
      <c r="B233" t="s">
        <v>4</v>
      </c>
      <c r="C233" t="s">
        <v>14</v>
      </c>
      <c r="D233">
        <v>0</v>
      </c>
    </row>
    <row r="234" spans="1:4" x14ac:dyDescent="0.35">
      <c r="A234" t="s">
        <v>8</v>
      </c>
      <c r="B234" t="s">
        <v>4</v>
      </c>
      <c r="C234" t="s">
        <v>14</v>
      </c>
      <c r="D234">
        <v>1689.9274554313818</v>
      </c>
    </row>
    <row r="235" spans="1:4" x14ac:dyDescent="0.35">
      <c r="A235" t="s">
        <v>9</v>
      </c>
      <c r="B235" t="s">
        <v>4</v>
      </c>
      <c r="C235" t="s">
        <v>14</v>
      </c>
      <c r="D235">
        <v>0</v>
      </c>
    </row>
    <row r="236" spans="1:4" x14ac:dyDescent="0.35">
      <c r="A236" t="s">
        <v>10</v>
      </c>
      <c r="B236" t="s">
        <v>4</v>
      </c>
      <c r="C236" t="s">
        <v>14</v>
      </c>
      <c r="D236">
        <v>1.8355105919343025E-4</v>
      </c>
    </row>
    <row r="237" spans="1:4" x14ac:dyDescent="0.35">
      <c r="A237" t="s">
        <v>11</v>
      </c>
      <c r="B237" t="s">
        <v>4</v>
      </c>
      <c r="C237" t="s">
        <v>14</v>
      </c>
      <c r="D237">
        <v>0</v>
      </c>
    </row>
    <row r="238" spans="1:4" x14ac:dyDescent="0.35">
      <c r="A238" t="s">
        <v>12</v>
      </c>
      <c r="B238" t="s">
        <v>4</v>
      </c>
      <c r="C238" t="s">
        <v>14</v>
      </c>
      <c r="D238">
        <v>0</v>
      </c>
    </row>
    <row r="239" spans="1:4" x14ac:dyDescent="0.35">
      <c r="A239" t="s">
        <v>13</v>
      </c>
      <c r="B239" t="s">
        <v>4</v>
      </c>
      <c r="C239" t="s">
        <v>14</v>
      </c>
      <c r="D239">
        <v>8.2193456602527804E-2</v>
      </c>
    </row>
    <row r="240" spans="1:4" x14ac:dyDescent="0.35">
      <c r="A240" t="s">
        <v>14</v>
      </c>
      <c r="B240" t="s">
        <v>4</v>
      </c>
      <c r="C240" t="s">
        <v>14</v>
      </c>
      <c r="D240">
        <v>589.1929299994473</v>
      </c>
    </row>
    <row r="241" spans="1:4" x14ac:dyDescent="0.35">
      <c r="A241" t="s">
        <v>15</v>
      </c>
      <c r="B241" t="s">
        <v>4</v>
      </c>
      <c r="C241" t="s">
        <v>14</v>
      </c>
      <c r="D241">
        <v>141.37316882452495</v>
      </c>
    </row>
    <row r="242" spans="1:4" x14ac:dyDescent="0.35">
      <c r="A242" t="s">
        <v>16</v>
      </c>
      <c r="B242" t="s">
        <v>4</v>
      </c>
      <c r="C242" t="s">
        <v>14</v>
      </c>
      <c r="D242">
        <v>85.526548630421971</v>
      </c>
    </row>
    <row r="243" spans="1:4" x14ac:dyDescent="0.35">
      <c r="A243" t="s">
        <v>17</v>
      </c>
      <c r="B243" t="s">
        <v>4</v>
      </c>
      <c r="C243" t="s">
        <v>14</v>
      </c>
      <c r="D243">
        <v>0</v>
      </c>
    </row>
    <row r="244" spans="1:4" x14ac:dyDescent="0.35">
      <c r="A244" t="s">
        <v>18</v>
      </c>
      <c r="B244" t="s">
        <v>4</v>
      </c>
      <c r="C244" t="s">
        <v>14</v>
      </c>
      <c r="D244">
        <v>0</v>
      </c>
    </row>
    <row r="245" spans="1:4" x14ac:dyDescent="0.35">
      <c r="A245" t="s">
        <v>19</v>
      </c>
      <c r="B245" t="s">
        <v>4</v>
      </c>
      <c r="C245" t="s">
        <v>14</v>
      </c>
      <c r="D245">
        <v>0</v>
      </c>
    </row>
    <row r="246" spans="1:4" x14ac:dyDescent="0.35">
      <c r="A246" t="s">
        <v>20</v>
      </c>
      <c r="B246" t="s">
        <v>4</v>
      </c>
      <c r="C246" t="s">
        <v>14</v>
      </c>
      <c r="D246">
        <v>0</v>
      </c>
    </row>
    <row r="247" spans="1:4" x14ac:dyDescent="0.35">
      <c r="A247" t="s">
        <v>21</v>
      </c>
      <c r="B247" t="s">
        <v>4</v>
      </c>
      <c r="C247" t="s">
        <v>14</v>
      </c>
      <c r="D247">
        <v>1.9657952883784604</v>
      </c>
    </row>
    <row r="248" spans="1:4" x14ac:dyDescent="0.35">
      <c r="A248" t="s">
        <v>22</v>
      </c>
      <c r="B248" t="s">
        <v>4</v>
      </c>
      <c r="C248" t="s">
        <v>14</v>
      </c>
      <c r="D248">
        <v>10.816514799122242</v>
      </c>
    </row>
    <row r="249" spans="1:4" x14ac:dyDescent="0.35">
      <c r="A249" t="s">
        <v>23</v>
      </c>
      <c r="B249" t="s">
        <v>4</v>
      </c>
      <c r="C249" t="s">
        <v>14</v>
      </c>
      <c r="D249">
        <v>239.79460000344989</v>
      </c>
    </row>
    <row r="250" spans="1:4" x14ac:dyDescent="0.35">
      <c r="A250" t="s">
        <v>24</v>
      </c>
      <c r="B250" t="s">
        <v>4</v>
      </c>
      <c r="C250" t="s">
        <v>14</v>
      </c>
      <c r="D250">
        <v>1.5447207782876564E-3</v>
      </c>
    </row>
    <row r="251" spans="1:4" x14ac:dyDescent="0.35">
      <c r="A251" t="s">
        <v>25</v>
      </c>
      <c r="B251" t="s">
        <v>4</v>
      </c>
      <c r="C251" t="s">
        <v>14</v>
      </c>
      <c r="D251">
        <v>401.24084997797866</v>
      </c>
    </row>
    <row r="252" spans="1:4" x14ac:dyDescent="0.35">
      <c r="A252" t="s">
        <v>26</v>
      </c>
      <c r="B252" t="s">
        <v>4</v>
      </c>
      <c r="C252" t="s">
        <v>14</v>
      </c>
      <c r="D252">
        <v>0</v>
      </c>
    </row>
    <row r="253" spans="1:4" x14ac:dyDescent="0.35">
      <c r="A253" t="s">
        <v>27</v>
      </c>
      <c r="B253" t="s">
        <v>4</v>
      </c>
      <c r="C253" t="s">
        <v>14</v>
      </c>
      <c r="D253">
        <v>0</v>
      </c>
    </row>
    <row r="254" spans="1:4" x14ac:dyDescent="0.35">
      <c r="A254" t="s">
        <v>28</v>
      </c>
      <c r="B254" t="s">
        <v>4</v>
      </c>
      <c r="C254" t="s">
        <v>14</v>
      </c>
      <c r="D254">
        <v>0</v>
      </c>
    </row>
    <row r="255" spans="1:4" x14ac:dyDescent="0.35">
      <c r="A255" t="s">
        <v>29</v>
      </c>
      <c r="B255" t="s">
        <v>4</v>
      </c>
      <c r="C255" t="s">
        <v>14</v>
      </c>
      <c r="D255">
        <v>9.329941650531838</v>
      </c>
    </row>
    <row r="256" spans="1:4" x14ac:dyDescent="0.35">
      <c r="A256" t="s">
        <v>30</v>
      </c>
      <c r="B256" t="s">
        <v>4</v>
      </c>
      <c r="C256" t="s">
        <v>14</v>
      </c>
      <c r="D256">
        <v>8.8324040430159716</v>
      </c>
    </row>
    <row r="257" spans="1:4" x14ac:dyDescent="0.35">
      <c r="A257" t="s">
        <v>31</v>
      </c>
      <c r="B257" t="s">
        <v>4</v>
      </c>
      <c r="C257" t="s">
        <v>14</v>
      </c>
      <c r="D257">
        <v>0.48733805142516745</v>
      </c>
    </row>
    <row r="258" spans="1:4" x14ac:dyDescent="0.35">
      <c r="A258" t="s">
        <v>32</v>
      </c>
      <c r="B258" t="s">
        <v>4</v>
      </c>
      <c r="C258" t="s">
        <v>14</v>
      </c>
      <c r="D258">
        <v>619.05546295742511</v>
      </c>
    </row>
    <row r="259" spans="1:4" x14ac:dyDescent="0.35">
      <c r="A259" t="s">
        <v>33</v>
      </c>
      <c r="B259" t="s">
        <v>4</v>
      </c>
      <c r="C259" t="s">
        <v>14</v>
      </c>
      <c r="D259">
        <v>0.47834990227899471</v>
      </c>
    </row>
    <row r="260" spans="1:4" x14ac:dyDescent="0.35">
      <c r="A260" t="s">
        <v>34</v>
      </c>
      <c r="B260" t="s">
        <v>4</v>
      </c>
      <c r="C260" t="s">
        <v>14</v>
      </c>
      <c r="D260">
        <v>7.8792401422758083</v>
      </c>
    </row>
    <row r="261" spans="1:4" x14ac:dyDescent="0.35">
      <c r="A261" t="s">
        <v>35</v>
      </c>
      <c r="B261" t="s">
        <v>4</v>
      </c>
      <c r="C261" t="s">
        <v>14</v>
      </c>
      <c r="D261">
        <v>4.1808493579873414</v>
      </c>
    </row>
    <row r="262" spans="1:4" x14ac:dyDescent="0.35">
      <c r="A262" t="s">
        <v>36</v>
      </c>
      <c r="B262" t="s">
        <v>4</v>
      </c>
      <c r="C262" t="s">
        <v>14</v>
      </c>
      <c r="D262">
        <v>2.6227906381585595</v>
      </c>
    </row>
    <row r="263" spans="1:4" x14ac:dyDescent="0.35">
      <c r="A263" t="s">
        <v>37</v>
      </c>
      <c r="B263" t="s">
        <v>4</v>
      </c>
      <c r="C263" t="s">
        <v>14</v>
      </c>
      <c r="D263">
        <v>5.0300540209382703E-2</v>
      </c>
    </row>
    <row r="264" spans="1:4" x14ac:dyDescent="0.35">
      <c r="A264" t="s">
        <v>38</v>
      </c>
      <c r="B264" t="s">
        <v>4</v>
      </c>
      <c r="C264" t="s">
        <v>14</v>
      </c>
      <c r="D264">
        <v>0.36390919804457528</v>
      </c>
    </row>
    <row r="265" spans="1:4" x14ac:dyDescent="0.35">
      <c r="A265" t="s">
        <v>39</v>
      </c>
      <c r="B265" t="s">
        <v>4</v>
      </c>
      <c r="C265" t="s">
        <v>14</v>
      </c>
      <c r="D265">
        <v>0</v>
      </c>
    </row>
    <row r="266" spans="1:4" x14ac:dyDescent="0.35">
      <c r="A266" t="s">
        <v>7</v>
      </c>
      <c r="B266" t="s">
        <v>4</v>
      </c>
      <c r="C266" t="s">
        <v>15</v>
      </c>
      <c r="D266">
        <v>0</v>
      </c>
    </row>
    <row r="267" spans="1:4" x14ac:dyDescent="0.35">
      <c r="A267" t="s">
        <v>8</v>
      </c>
      <c r="B267" t="s">
        <v>4</v>
      </c>
      <c r="C267" t="s">
        <v>15</v>
      </c>
      <c r="D267">
        <v>1.7069987628474328</v>
      </c>
    </row>
    <row r="268" spans="1:4" x14ac:dyDescent="0.35">
      <c r="A268" t="s">
        <v>9</v>
      </c>
      <c r="B268" t="s">
        <v>4</v>
      </c>
      <c r="C268" t="s">
        <v>15</v>
      </c>
      <c r="D268">
        <v>16.134010472460822</v>
      </c>
    </row>
    <row r="269" spans="1:4" x14ac:dyDescent="0.35">
      <c r="A269" t="s">
        <v>10</v>
      </c>
      <c r="B269" t="s">
        <v>4</v>
      </c>
      <c r="C269" t="s">
        <v>15</v>
      </c>
      <c r="D269">
        <v>0.5046553685080285</v>
      </c>
    </row>
    <row r="270" spans="1:4" x14ac:dyDescent="0.35">
      <c r="A270" t="s">
        <v>11</v>
      </c>
      <c r="B270" t="s">
        <v>4</v>
      </c>
      <c r="C270" t="s">
        <v>15</v>
      </c>
      <c r="D270">
        <v>0</v>
      </c>
    </row>
    <row r="271" spans="1:4" x14ac:dyDescent="0.35">
      <c r="A271" t="s">
        <v>12</v>
      </c>
      <c r="B271" t="s">
        <v>4</v>
      </c>
      <c r="C271" t="s">
        <v>15</v>
      </c>
      <c r="D271">
        <v>0</v>
      </c>
    </row>
    <row r="272" spans="1:4" x14ac:dyDescent="0.35">
      <c r="A272" t="s">
        <v>13</v>
      </c>
      <c r="B272" t="s">
        <v>4</v>
      </c>
      <c r="C272" t="s">
        <v>15</v>
      </c>
      <c r="D272">
        <v>16.423800391936087</v>
      </c>
    </row>
    <row r="273" spans="1:4" x14ac:dyDescent="0.35">
      <c r="A273" t="s">
        <v>14</v>
      </c>
      <c r="B273" t="s">
        <v>4</v>
      </c>
      <c r="C273" t="s">
        <v>15</v>
      </c>
      <c r="D273">
        <v>50.54150007340818</v>
      </c>
    </row>
    <row r="274" spans="1:4" x14ac:dyDescent="0.35">
      <c r="A274" t="s">
        <v>15</v>
      </c>
      <c r="B274" t="s">
        <v>4</v>
      </c>
      <c r="C274" t="s">
        <v>15</v>
      </c>
      <c r="D274">
        <v>1044.8336112302179</v>
      </c>
    </row>
    <row r="275" spans="1:4" x14ac:dyDescent="0.35">
      <c r="A275" t="s">
        <v>16</v>
      </c>
      <c r="B275" t="s">
        <v>4</v>
      </c>
      <c r="C275" t="s">
        <v>15</v>
      </c>
      <c r="D275">
        <v>199.56734628641695</v>
      </c>
    </row>
    <row r="276" spans="1:4" x14ac:dyDescent="0.35">
      <c r="A276" t="s">
        <v>17</v>
      </c>
      <c r="B276" t="s">
        <v>4</v>
      </c>
      <c r="C276" t="s">
        <v>15</v>
      </c>
      <c r="D276">
        <v>128.43425872485579</v>
      </c>
    </row>
    <row r="277" spans="1:4" x14ac:dyDescent="0.35">
      <c r="A277" t="s">
        <v>18</v>
      </c>
      <c r="B277" t="s">
        <v>4</v>
      </c>
      <c r="C277" t="s">
        <v>15</v>
      </c>
      <c r="D277">
        <v>0.41783803984392515</v>
      </c>
    </row>
    <row r="278" spans="1:4" x14ac:dyDescent="0.35">
      <c r="A278" t="s">
        <v>19</v>
      </c>
      <c r="B278" t="s">
        <v>4</v>
      </c>
      <c r="C278" t="s">
        <v>15</v>
      </c>
      <c r="D278">
        <v>3.6788912248950005</v>
      </c>
    </row>
    <row r="279" spans="1:4" x14ac:dyDescent="0.35">
      <c r="A279" t="s">
        <v>20</v>
      </c>
      <c r="B279" t="s">
        <v>4</v>
      </c>
      <c r="C279" t="s">
        <v>15</v>
      </c>
      <c r="D279">
        <v>7.332186930871577E-3</v>
      </c>
    </row>
    <row r="280" spans="1:4" x14ac:dyDescent="0.35">
      <c r="A280" t="s">
        <v>21</v>
      </c>
      <c r="B280" t="s">
        <v>4</v>
      </c>
      <c r="C280" t="s">
        <v>15</v>
      </c>
      <c r="D280">
        <v>2.2267600980573459</v>
      </c>
    </row>
    <row r="281" spans="1:4" x14ac:dyDescent="0.35">
      <c r="A281" t="s">
        <v>22</v>
      </c>
      <c r="B281" t="s">
        <v>4</v>
      </c>
      <c r="C281" t="s">
        <v>15</v>
      </c>
      <c r="D281">
        <v>12.042110725591355</v>
      </c>
    </row>
    <row r="282" spans="1:4" x14ac:dyDescent="0.35">
      <c r="A282" t="s">
        <v>23</v>
      </c>
      <c r="B282" t="s">
        <v>4</v>
      </c>
      <c r="C282" t="s">
        <v>15</v>
      </c>
      <c r="D282">
        <v>146.83498709363462</v>
      </c>
    </row>
    <row r="283" spans="1:4" x14ac:dyDescent="0.35">
      <c r="A283" t="s">
        <v>24</v>
      </c>
      <c r="B283" t="s">
        <v>4</v>
      </c>
      <c r="C283" t="s">
        <v>15</v>
      </c>
      <c r="D283">
        <v>14.546218281887088</v>
      </c>
    </row>
    <row r="284" spans="1:4" x14ac:dyDescent="0.35">
      <c r="A284" t="s">
        <v>25</v>
      </c>
      <c r="B284" t="s">
        <v>4</v>
      </c>
      <c r="C284" t="s">
        <v>15</v>
      </c>
      <c r="D284">
        <v>1058.8715395160298</v>
      </c>
    </row>
    <row r="285" spans="1:4" x14ac:dyDescent="0.35">
      <c r="A285" t="s">
        <v>26</v>
      </c>
      <c r="B285" t="s">
        <v>4</v>
      </c>
      <c r="C285" t="s">
        <v>15</v>
      </c>
      <c r="D285">
        <v>0</v>
      </c>
    </row>
    <row r="286" spans="1:4" x14ac:dyDescent="0.35">
      <c r="A286" t="s">
        <v>27</v>
      </c>
      <c r="B286" t="s">
        <v>4</v>
      </c>
      <c r="C286" t="s">
        <v>15</v>
      </c>
      <c r="D286">
        <v>17.972220763276219</v>
      </c>
    </row>
    <row r="287" spans="1:4" x14ac:dyDescent="0.35">
      <c r="A287" t="s">
        <v>28</v>
      </c>
      <c r="B287" t="s">
        <v>4</v>
      </c>
      <c r="C287" t="s">
        <v>15</v>
      </c>
      <c r="D287">
        <v>0</v>
      </c>
    </row>
    <row r="288" spans="1:4" x14ac:dyDescent="0.35">
      <c r="A288" t="s">
        <v>29</v>
      </c>
      <c r="B288" t="s">
        <v>4</v>
      </c>
      <c r="C288" t="s">
        <v>15</v>
      </c>
      <c r="D288">
        <v>780.02254996214253</v>
      </c>
    </row>
    <row r="289" spans="1:4" x14ac:dyDescent="0.35">
      <c r="A289" t="s">
        <v>30</v>
      </c>
      <c r="B289" t="s">
        <v>4</v>
      </c>
      <c r="C289" t="s">
        <v>15</v>
      </c>
      <c r="D289">
        <v>279.5100080494218</v>
      </c>
    </row>
    <row r="290" spans="1:4" x14ac:dyDescent="0.35">
      <c r="A290" t="s">
        <v>31</v>
      </c>
      <c r="B290" t="s">
        <v>4</v>
      </c>
      <c r="C290" t="s">
        <v>15</v>
      </c>
      <c r="D290">
        <v>25.603997991822101</v>
      </c>
    </row>
    <row r="291" spans="1:4" x14ac:dyDescent="0.35">
      <c r="A291" t="s">
        <v>32</v>
      </c>
      <c r="B291" t="s">
        <v>4</v>
      </c>
      <c r="C291" t="s">
        <v>15</v>
      </c>
      <c r="D291">
        <v>54.28647810560912</v>
      </c>
    </row>
    <row r="292" spans="1:4" x14ac:dyDescent="0.35">
      <c r="A292" t="s">
        <v>33</v>
      </c>
      <c r="B292" t="s">
        <v>4</v>
      </c>
      <c r="C292" t="s">
        <v>15</v>
      </c>
      <c r="D292">
        <v>16.966534084478635</v>
      </c>
    </row>
    <row r="293" spans="1:4" x14ac:dyDescent="0.35">
      <c r="A293" t="s">
        <v>34</v>
      </c>
      <c r="B293" t="s">
        <v>4</v>
      </c>
      <c r="C293" t="s">
        <v>15</v>
      </c>
      <c r="D293">
        <v>478.5328689519622</v>
      </c>
    </row>
    <row r="294" spans="1:4" x14ac:dyDescent="0.35">
      <c r="A294" t="s">
        <v>35</v>
      </c>
      <c r="B294" t="s">
        <v>4</v>
      </c>
      <c r="C294" t="s">
        <v>15</v>
      </c>
      <c r="D294">
        <v>13.738197006236355</v>
      </c>
    </row>
    <row r="295" spans="1:4" x14ac:dyDescent="0.35">
      <c r="A295" t="s">
        <v>36</v>
      </c>
      <c r="B295" t="s">
        <v>4</v>
      </c>
      <c r="C295" t="s">
        <v>15</v>
      </c>
      <c r="D295">
        <v>5.1112929973177899</v>
      </c>
    </row>
    <row r="296" spans="1:4" x14ac:dyDescent="0.35">
      <c r="A296" t="s">
        <v>37</v>
      </c>
      <c r="B296" t="s">
        <v>4</v>
      </c>
      <c r="C296" t="s">
        <v>15</v>
      </c>
      <c r="D296">
        <v>0.20809290115443574</v>
      </c>
    </row>
    <row r="297" spans="1:4" x14ac:dyDescent="0.35">
      <c r="A297" t="s">
        <v>38</v>
      </c>
      <c r="B297" t="s">
        <v>4</v>
      </c>
      <c r="C297" t="s">
        <v>15</v>
      </c>
      <c r="D297">
        <v>12.49115772054161</v>
      </c>
    </row>
    <row r="298" spans="1:4" x14ac:dyDescent="0.35">
      <c r="A298" t="s">
        <v>39</v>
      </c>
      <c r="B298" t="s">
        <v>4</v>
      </c>
      <c r="C298" t="s">
        <v>15</v>
      </c>
      <c r="D298">
        <v>0</v>
      </c>
    </row>
    <row r="299" spans="1:4" x14ac:dyDescent="0.35">
      <c r="A299" t="s">
        <v>7</v>
      </c>
      <c r="B299" t="s">
        <v>4</v>
      </c>
      <c r="C299" t="s">
        <v>16</v>
      </c>
      <c r="D299">
        <v>0.366363146904509</v>
      </c>
    </row>
    <row r="300" spans="1:4" x14ac:dyDescent="0.35">
      <c r="A300" t="s">
        <v>8</v>
      </c>
      <c r="B300" t="s">
        <v>4</v>
      </c>
      <c r="C300" t="s">
        <v>16</v>
      </c>
      <c r="D300">
        <v>0</v>
      </c>
    </row>
    <row r="301" spans="1:4" x14ac:dyDescent="0.35">
      <c r="A301" t="s">
        <v>9</v>
      </c>
      <c r="B301" t="s">
        <v>4</v>
      </c>
      <c r="C301" t="s">
        <v>16</v>
      </c>
      <c r="D301">
        <v>0</v>
      </c>
    </row>
    <row r="302" spans="1:4" x14ac:dyDescent="0.35">
      <c r="A302" t="s">
        <v>10</v>
      </c>
      <c r="B302" t="s">
        <v>4</v>
      </c>
      <c r="C302" t="s">
        <v>16</v>
      </c>
      <c r="D302">
        <v>3.5470201311209308E-2</v>
      </c>
    </row>
    <row r="303" spans="1:4" x14ac:dyDescent="0.35">
      <c r="A303" t="s">
        <v>11</v>
      </c>
      <c r="B303" t="s">
        <v>4</v>
      </c>
      <c r="C303" t="s">
        <v>16</v>
      </c>
      <c r="D303">
        <v>0</v>
      </c>
    </row>
    <row r="304" spans="1:4" x14ac:dyDescent="0.35">
      <c r="A304" t="s">
        <v>12</v>
      </c>
      <c r="B304" t="s">
        <v>4</v>
      </c>
      <c r="C304" t="s">
        <v>16</v>
      </c>
      <c r="D304">
        <v>0</v>
      </c>
    </row>
    <row r="305" spans="1:4" x14ac:dyDescent="0.35">
      <c r="A305" t="s">
        <v>13</v>
      </c>
      <c r="B305" t="s">
        <v>4</v>
      </c>
      <c r="C305" t="s">
        <v>16</v>
      </c>
      <c r="D305">
        <v>9.2622785625432602</v>
      </c>
    </row>
    <row r="306" spans="1:4" x14ac:dyDescent="0.35">
      <c r="A306" t="s">
        <v>14</v>
      </c>
      <c r="B306" t="s">
        <v>4</v>
      </c>
      <c r="C306" t="s">
        <v>16</v>
      </c>
      <c r="D306">
        <v>3.8478238888704848</v>
      </c>
    </row>
    <row r="307" spans="1:4" x14ac:dyDescent="0.35">
      <c r="A307" t="s">
        <v>15</v>
      </c>
      <c r="B307" t="s">
        <v>4</v>
      </c>
      <c r="C307" t="s">
        <v>16</v>
      </c>
      <c r="D307">
        <v>433.92019217986405</v>
      </c>
    </row>
    <row r="308" spans="1:4" x14ac:dyDescent="0.35">
      <c r="A308" t="s">
        <v>16</v>
      </c>
      <c r="B308" t="s">
        <v>4</v>
      </c>
      <c r="C308" t="s">
        <v>16</v>
      </c>
      <c r="D308">
        <v>247.25835573583674</v>
      </c>
    </row>
    <row r="309" spans="1:4" x14ac:dyDescent="0.35">
      <c r="A309" t="s">
        <v>17</v>
      </c>
      <c r="B309" t="s">
        <v>4</v>
      </c>
      <c r="C309" t="s">
        <v>16</v>
      </c>
      <c r="D309">
        <v>2.8757847006064603</v>
      </c>
    </row>
    <row r="310" spans="1:4" x14ac:dyDescent="0.35">
      <c r="A310" t="s">
        <v>18</v>
      </c>
      <c r="B310" t="s">
        <v>4</v>
      </c>
      <c r="C310" t="s">
        <v>16</v>
      </c>
      <c r="D310">
        <v>89.986801360336202</v>
      </c>
    </row>
    <row r="311" spans="1:4" x14ac:dyDescent="0.35">
      <c r="A311" t="s">
        <v>19</v>
      </c>
      <c r="B311" t="s">
        <v>4</v>
      </c>
      <c r="C311" t="s">
        <v>16</v>
      </c>
      <c r="D311">
        <v>1.5274469298048898</v>
      </c>
    </row>
    <row r="312" spans="1:4" x14ac:dyDescent="0.35">
      <c r="A312" t="s">
        <v>20</v>
      </c>
      <c r="B312" t="s">
        <v>4</v>
      </c>
      <c r="C312" t="s">
        <v>16</v>
      </c>
      <c r="D312">
        <v>0.65787088385646719</v>
      </c>
    </row>
    <row r="313" spans="1:4" x14ac:dyDescent="0.35">
      <c r="A313" t="s">
        <v>21</v>
      </c>
      <c r="B313" t="s">
        <v>4</v>
      </c>
      <c r="C313" t="s">
        <v>16</v>
      </c>
      <c r="D313">
        <v>0.85711844691327554</v>
      </c>
    </row>
    <row r="314" spans="1:4" x14ac:dyDescent="0.35">
      <c r="A314" t="s">
        <v>22</v>
      </c>
      <c r="B314" t="s">
        <v>4</v>
      </c>
      <c r="C314" t="s">
        <v>16</v>
      </c>
      <c r="D314">
        <v>4.5316916094835769</v>
      </c>
    </row>
    <row r="315" spans="1:4" x14ac:dyDescent="0.35">
      <c r="A315" t="s">
        <v>23</v>
      </c>
      <c r="B315" t="s">
        <v>4</v>
      </c>
      <c r="C315" t="s">
        <v>16</v>
      </c>
      <c r="D315">
        <v>175.24724383925829</v>
      </c>
    </row>
    <row r="316" spans="1:4" x14ac:dyDescent="0.35">
      <c r="A316" t="s">
        <v>24</v>
      </c>
      <c r="B316" t="s">
        <v>4</v>
      </c>
      <c r="C316" t="s">
        <v>16</v>
      </c>
      <c r="D316">
        <v>15.295369527568679</v>
      </c>
    </row>
    <row r="317" spans="1:4" x14ac:dyDescent="0.35">
      <c r="A317" t="s">
        <v>25</v>
      </c>
      <c r="B317" t="s">
        <v>4</v>
      </c>
      <c r="C317" t="s">
        <v>16</v>
      </c>
      <c r="D317">
        <v>583.50624458104778</v>
      </c>
    </row>
    <row r="318" spans="1:4" x14ac:dyDescent="0.35">
      <c r="A318" t="s">
        <v>26</v>
      </c>
      <c r="B318" t="s">
        <v>4</v>
      </c>
      <c r="C318" t="s">
        <v>16</v>
      </c>
      <c r="D318">
        <v>0</v>
      </c>
    </row>
    <row r="319" spans="1:4" x14ac:dyDescent="0.35">
      <c r="A319" t="s">
        <v>27</v>
      </c>
      <c r="B319" t="s">
        <v>4</v>
      </c>
      <c r="C319" t="s">
        <v>16</v>
      </c>
      <c r="D319">
        <v>20.884968537437157</v>
      </c>
    </row>
    <row r="320" spans="1:4" x14ac:dyDescent="0.35">
      <c r="A320" t="s">
        <v>28</v>
      </c>
      <c r="B320" t="s">
        <v>4</v>
      </c>
      <c r="C320" t="s">
        <v>16</v>
      </c>
      <c r="D320">
        <v>0</v>
      </c>
    </row>
    <row r="321" spans="1:4" x14ac:dyDescent="0.35">
      <c r="A321" t="s">
        <v>29</v>
      </c>
      <c r="B321" t="s">
        <v>4</v>
      </c>
      <c r="C321" t="s">
        <v>16</v>
      </c>
      <c r="D321">
        <v>22.086298413555042</v>
      </c>
    </row>
    <row r="322" spans="1:4" x14ac:dyDescent="0.35">
      <c r="A322" t="s">
        <v>30</v>
      </c>
      <c r="B322" t="s">
        <v>4</v>
      </c>
      <c r="C322" t="s">
        <v>16</v>
      </c>
      <c r="D322">
        <v>139.86740639418809</v>
      </c>
    </row>
    <row r="323" spans="1:4" x14ac:dyDescent="0.35">
      <c r="A323" t="s">
        <v>31</v>
      </c>
      <c r="B323" t="s">
        <v>4</v>
      </c>
      <c r="C323" t="s">
        <v>16</v>
      </c>
      <c r="D323">
        <v>4.6718355742161712</v>
      </c>
    </row>
    <row r="324" spans="1:4" x14ac:dyDescent="0.35">
      <c r="A324" t="s">
        <v>32</v>
      </c>
      <c r="B324" t="s">
        <v>4</v>
      </c>
      <c r="C324" t="s">
        <v>16</v>
      </c>
      <c r="D324">
        <v>151.73777990264176</v>
      </c>
    </row>
    <row r="325" spans="1:4" x14ac:dyDescent="0.35">
      <c r="A325" t="s">
        <v>33</v>
      </c>
      <c r="B325" t="s">
        <v>4</v>
      </c>
      <c r="C325" t="s">
        <v>16</v>
      </c>
      <c r="D325">
        <v>18.522001366504877</v>
      </c>
    </row>
    <row r="326" spans="1:4" x14ac:dyDescent="0.35">
      <c r="A326" t="s">
        <v>34</v>
      </c>
      <c r="B326" t="s">
        <v>4</v>
      </c>
      <c r="C326" t="s">
        <v>16</v>
      </c>
      <c r="D326">
        <v>55.136238305655411</v>
      </c>
    </row>
    <row r="327" spans="1:4" x14ac:dyDescent="0.35">
      <c r="A327" t="s">
        <v>35</v>
      </c>
      <c r="B327" t="s">
        <v>4</v>
      </c>
      <c r="C327" t="s">
        <v>16</v>
      </c>
      <c r="D327">
        <v>9.6067227879227577</v>
      </c>
    </row>
    <row r="328" spans="1:4" x14ac:dyDescent="0.35">
      <c r="A328" t="s">
        <v>36</v>
      </c>
      <c r="B328" t="s">
        <v>4</v>
      </c>
      <c r="C328" t="s">
        <v>16</v>
      </c>
      <c r="D328">
        <v>1.1961160351025029</v>
      </c>
    </row>
    <row r="329" spans="1:4" x14ac:dyDescent="0.35">
      <c r="A329" t="s">
        <v>37</v>
      </c>
      <c r="B329" t="s">
        <v>4</v>
      </c>
      <c r="C329" t="s">
        <v>16</v>
      </c>
      <c r="D329">
        <v>0.39779083504627477</v>
      </c>
    </row>
    <row r="330" spans="1:4" x14ac:dyDescent="0.35">
      <c r="A330" t="s">
        <v>38</v>
      </c>
      <c r="B330" t="s">
        <v>4</v>
      </c>
      <c r="C330" t="s">
        <v>16</v>
      </c>
      <c r="D330">
        <v>0.69065425862288166</v>
      </c>
    </row>
    <row r="331" spans="1:4" x14ac:dyDescent="0.35">
      <c r="A331" t="s">
        <v>39</v>
      </c>
      <c r="B331" t="s">
        <v>4</v>
      </c>
      <c r="C331" t="s">
        <v>16</v>
      </c>
      <c r="D331">
        <v>0</v>
      </c>
    </row>
    <row r="332" spans="1:4" x14ac:dyDescent="0.35">
      <c r="A332" t="s">
        <v>7</v>
      </c>
      <c r="B332" t="s">
        <v>4</v>
      </c>
      <c r="C332" t="s">
        <v>17</v>
      </c>
      <c r="D332">
        <v>0</v>
      </c>
    </row>
    <row r="333" spans="1:4" x14ac:dyDescent="0.35">
      <c r="A333" t="s">
        <v>8</v>
      </c>
      <c r="B333" t="s">
        <v>4</v>
      </c>
      <c r="C333" t="s">
        <v>17</v>
      </c>
      <c r="D333">
        <v>22.600087863728543</v>
      </c>
    </row>
    <row r="334" spans="1:4" x14ac:dyDescent="0.35">
      <c r="A334" t="s">
        <v>9</v>
      </c>
      <c r="B334" t="s">
        <v>4</v>
      </c>
      <c r="C334" t="s">
        <v>17</v>
      </c>
      <c r="D334">
        <v>0</v>
      </c>
    </row>
    <row r="335" spans="1:4" x14ac:dyDescent="0.35">
      <c r="A335" t="s">
        <v>10</v>
      </c>
      <c r="B335" t="s">
        <v>4</v>
      </c>
      <c r="C335" t="s">
        <v>17</v>
      </c>
      <c r="D335">
        <v>0.40844009571049322</v>
      </c>
    </row>
    <row r="336" spans="1:4" x14ac:dyDescent="0.35">
      <c r="A336" t="s">
        <v>11</v>
      </c>
      <c r="B336" t="s">
        <v>4</v>
      </c>
      <c r="C336" t="s">
        <v>17</v>
      </c>
      <c r="D336">
        <v>0</v>
      </c>
    </row>
    <row r="337" spans="1:4" x14ac:dyDescent="0.35">
      <c r="A337" t="s">
        <v>12</v>
      </c>
      <c r="B337" t="s">
        <v>4</v>
      </c>
      <c r="C337" t="s">
        <v>17</v>
      </c>
      <c r="D337">
        <v>1.0440543167083551</v>
      </c>
    </row>
    <row r="338" spans="1:4" x14ac:dyDescent="0.35">
      <c r="A338" t="s">
        <v>13</v>
      </c>
      <c r="B338" t="s">
        <v>4</v>
      </c>
      <c r="C338" t="s">
        <v>17</v>
      </c>
      <c r="D338">
        <v>11.721893808456555</v>
      </c>
    </row>
    <row r="339" spans="1:4" x14ac:dyDescent="0.35">
      <c r="A339" t="s">
        <v>14</v>
      </c>
      <c r="B339" t="s">
        <v>4</v>
      </c>
      <c r="C339" t="s">
        <v>17</v>
      </c>
      <c r="D339">
        <v>163.18147517178807</v>
      </c>
    </row>
    <row r="340" spans="1:4" x14ac:dyDescent="0.35">
      <c r="A340" t="s">
        <v>15</v>
      </c>
      <c r="B340" t="s">
        <v>4</v>
      </c>
      <c r="C340" t="s">
        <v>17</v>
      </c>
      <c r="D340">
        <v>58.378708261018701</v>
      </c>
    </row>
    <row r="341" spans="1:4" x14ac:dyDescent="0.35">
      <c r="A341" t="s">
        <v>16</v>
      </c>
      <c r="B341" t="s">
        <v>4</v>
      </c>
      <c r="C341" t="s">
        <v>17</v>
      </c>
      <c r="D341">
        <v>50.172962020851571</v>
      </c>
    </row>
    <row r="342" spans="1:4" x14ac:dyDescent="0.35">
      <c r="A342" t="s">
        <v>17</v>
      </c>
      <c r="B342" t="s">
        <v>4</v>
      </c>
      <c r="C342" t="s">
        <v>17</v>
      </c>
      <c r="D342">
        <v>775.64257739101186</v>
      </c>
    </row>
    <row r="343" spans="1:4" x14ac:dyDescent="0.35">
      <c r="A343" t="s">
        <v>18</v>
      </c>
      <c r="B343" t="s">
        <v>4</v>
      </c>
      <c r="C343" t="s">
        <v>17</v>
      </c>
      <c r="D343">
        <v>31.08314900920211</v>
      </c>
    </row>
    <row r="344" spans="1:4" x14ac:dyDescent="0.35">
      <c r="A344" t="s">
        <v>19</v>
      </c>
      <c r="B344" t="s">
        <v>4</v>
      </c>
      <c r="C344" t="s">
        <v>17</v>
      </c>
      <c r="D344">
        <v>29.718469567687809</v>
      </c>
    </row>
    <row r="345" spans="1:4" x14ac:dyDescent="0.35">
      <c r="A345" t="s">
        <v>20</v>
      </c>
      <c r="B345" t="s">
        <v>4</v>
      </c>
      <c r="C345" t="s">
        <v>17</v>
      </c>
      <c r="D345">
        <v>0</v>
      </c>
    </row>
    <row r="346" spans="1:4" x14ac:dyDescent="0.35">
      <c r="A346" t="s">
        <v>21</v>
      </c>
      <c r="B346" t="s">
        <v>4</v>
      </c>
      <c r="C346" t="s">
        <v>17</v>
      </c>
      <c r="D346">
        <v>4.0317270639913412</v>
      </c>
    </row>
    <row r="347" spans="1:4" x14ac:dyDescent="0.35">
      <c r="A347" t="s">
        <v>22</v>
      </c>
      <c r="B347" t="s">
        <v>4</v>
      </c>
      <c r="C347" t="s">
        <v>17</v>
      </c>
      <c r="D347">
        <v>16.51288998923906</v>
      </c>
    </row>
    <row r="348" spans="1:4" x14ac:dyDescent="0.35">
      <c r="A348" t="s">
        <v>23</v>
      </c>
      <c r="B348" t="s">
        <v>4</v>
      </c>
      <c r="C348" t="s">
        <v>17</v>
      </c>
      <c r="D348">
        <v>286.80116114095387</v>
      </c>
    </row>
    <row r="349" spans="1:4" x14ac:dyDescent="0.35">
      <c r="A349" t="s">
        <v>24</v>
      </c>
      <c r="B349" t="s">
        <v>4</v>
      </c>
      <c r="C349" t="s">
        <v>17</v>
      </c>
      <c r="D349">
        <v>33.062712086931114</v>
      </c>
    </row>
    <row r="350" spans="1:4" x14ac:dyDescent="0.35">
      <c r="A350" t="s">
        <v>25</v>
      </c>
      <c r="B350" t="s">
        <v>4</v>
      </c>
      <c r="C350" t="s">
        <v>17</v>
      </c>
      <c r="D350">
        <v>913.54556838980591</v>
      </c>
    </row>
    <row r="351" spans="1:4" x14ac:dyDescent="0.35">
      <c r="A351" t="s">
        <v>26</v>
      </c>
      <c r="B351" t="s">
        <v>4</v>
      </c>
      <c r="C351" t="s">
        <v>17</v>
      </c>
      <c r="D351">
        <v>0</v>
      </c>
    </row>
    <row r="352" spans="1:4" x14ac:dyDescent="0.35">
      <c r="A352" t="s">
        <v>27</v>
      </c>
      <c r="B352" t="s">
        <v>4</v>
      </c>
      <c r="C352" t="s">
        <v>17</v>
      </c>
      <c r="D352">
        <v>57.477766850240307</v>
      </c>
    </row>
    <row r="353" spans="1:4" x14ac:dyDescent="0.35">
      <c r="A353" t="s">
        <v>28</v>
      </c>
      <c r="B353" t="s">
        <v>4</v>
      </c>
      <c r="C353" t="s">
        <v>17</v>
      </c>
      <c r="D353">
        <v>0</v>
      </c>
    </row>
    <row r="354" spans="1:4" x14ac:dyDescent="0.35">
      <c r="A354" t="s">
        <v>29</v>
      </c>
      <c r="B354" t="s">
        <v>4</v>
      </c>
      <c r="C354" t="s">
        <v>17</v>
      </c>
      <c r="D354">
        <v>235.53984941630512</v>
      </c>
    </row>
    <row r="355" spans="1:4" x14ac:dyDescent="0.35">
      <c r="A355" t="s">
        <v>30</v>
      </c>
      <c r="B355" t="s">
        <v>4</v>
      </c>
      <c r="C355" t="s">
        <v>17</v>
      </c>
      <c r="D355">
        <v>214.58978599680825</v>
      </c>
    </row>
    <row r="356" spans="1:4" x14ac:dyDescent="0.35">
      <c r="A356" t="s">
        <v>31</v>
      </c>
      <c r="B356" t="s">
        <v>4</v>
      </c>
      <c r="C356" t="s">
        <v>17</v>
      </c>
      <c r="D356">
        <v>9.8462248384764468</v>
      </c>
    </row>
    <row r="357" spans="1:4" x14ac:dyDescent="0.35">
      <c r="A357" t="s">
        <v>32</v>
      </c>
      <c r="B357" t="s">
        <v>4</v>
      </c>
      <c r="C357" t="s">
        <v>17</v>
      </c>
      <c r="D357">
        <v>438.88864306550261</v>
      </c>
    </row>
    <row r="358" spans="1:4" x14ac:dyDescent="0.35">
      <c r="A358" t="s">
        <v>33</v>
      </c>
      <c r="B358" t="s">
        <v>4</v>
      </c>
      <c r="C358" t="s">
        <v>17</v>
      </c>
      <c r="D358">
        <v>40.037450376782502</v>
      </c>
    </row>
    <row r="359" spans="1:4" x14ac:dyDescent="0.35">
      <c r="A359" t="s">
        <v>34</v>
      </c>
      <c r="B359" t="s">
        <v>4</v>
      </c>
      <c r="C359" t="s">
        <v>17</v>
      </c>
      <c r="D359">
        <v>153.60758063131499</v>
      </c>
    </row>
    <row r="360" spans="1:4" x14ac:dyDescent="0.35">
      <c r="A360" t="s">
        <v>35</v>
      </c>
      <c r="B360" t="s">
        <v>4</v>
      </c>
      <c r="C360" t="s">
        <v>17</v>
      </c>
      <c r="D360">
        <v>25.976036467921631</v>
      </c>
    </row>
    <row r="361" spans="1:4" x14ac:dyDescent="0.35">
      <c r="A361" t="s">
        <v>36</v>
      </c>
      <c r="B361" t="s">
        <v>4</v>
      </c>
      <c r="C361" t="s">
        <v>17</v>
      </c>
      <c r="D361">
        <v>3.0860476681652944</v>
      </c>
    </row>
    <row r="362" spans="1:4" x14ac:dyDescent="0.35">
      <c r="A362" t="s">
        <v>37</v>
      </c>
      <c r="B362" t="s">
        <v>4</v>
      </c>
      <c r="C362" t="s">
        <v>17</v>
      </c>
      <c r="D362">
        <v>1.4193488250860975</v>
      </c>
    </row>
    <row r="363" spans="1:4" x14ac:dyDescent="0.35">
      <c r="A363" t="s">
        <v>38</v>
      </c>
      <c r="B363" t="s">
        <v>4</v>
      </c>
      <c r="C363" t="s">
        <v>17</v>
      </c>
      <c r="D363">
        <v>0</v>
      </c>
    </row>
    <row r="364" spans="1:4" x14ac:dyDescent="0.35">
      <c r="A364" t="s">
        <v>39</v>
      </c>
      <c r="B364" t="s">
        <v>4</v>
      </c>
      <c r="C364" t="s">
        <v>17</v>
      </c>
      <c r="D364">
        <v>0</v>
      </c>
    </row>
    <row r="365" spans="1:4" x14ac:dyDescent="0.35">
      <c r="A365" t="s">
        <v>7</v>
      </c>
      <c r="B365" t="s">
        <v>4</v>
      </c>
      <c r="C365" t="s">
        <v>18</v>
      </c>
      <c r="D365">
        <v>0</v>
      </c>
    </row>
    <row r="366" spans="1:4" x14ac:dyDescent="0.35">
      <c r="A366" t="s">
        <v>8</v>
      </c>
      <c r="B366" t="s">
        <v>4</v>
      </c>
      <c r="C366" t="s">
        <v>18</v>
      </c>
      <c r="D366">
        <v>1.7999297191470909</v>
      </c>
    </row>
    <row r="367" spans="1:4" x14ac:dyDescent="0.35">
      <c r="A367" t="s">
        <v>9</v>
      </c>
      <c r="B367" t="s">
        <v>4</v>
      </c>
      <c r="C367" t="s">
        <v>18</v>
      </c>
      <c r="D367">
        <v>1.4711402236091544</v>
      </c>
    </row>
    <row r="368" spans="1:4" x14ac:dyDescent="0.35">
      <c r="A368" t="s">
        <v>10</v>
      </c>
      <c r="B368" t="s">
        <v>4</v>
      </c>
      <c r="C368" t="s">
        <v>18</v>
      </c>
      <c r="D368">
        <v>1.9469237676207662</v>
      </c>
    </row>
    <row r="369" spans="1:4" x14ac:dyDescent="0.35">
      <c r="A369" t="s">
        <v>11</v>
      </c>
      <c r="B369" t="s">
        <v>4</v>
      </c>
      <c r="C369" t="s">
        <v>18</v>
      </c>
      <c r="D369">
        <v>0</v>
      </c>
    </row>
    <row r="370" spans="1:4" x14ac:dyDescent="0.35">
      <c r="A370" t="s">
        <v>12</v>
      </c>
      <c r="B370" t="s">
        <v>4</v>
      </c>
      <c r="C370" t="s">
        <v>18</v>
      </c>
      <c r="D370">
        <v>48.964462793923651</v>
      </c>
    </row>
    <row r="371" spans="1:4" x14ac:dyDescent="0.35">
      <c r="A371" t="s">
        <v>13</v>
      </c>
      <c r="B371" t="s">
        <v>4</v>
      </c>
      <c r="C371" t="s">
        <v>18</v>
      </c>
      <c r="D371">
        <v>93.834876888676533</v>
      </c>
    </row>
    <row r="372" spans="1:4" x14ac:dyDescent="0.35">
      <c r="A372" t="s">
        <v>14</v>
      </c>
      <c r="B372" t="s">
        <v>4</v>
      </c>
      <c r="C372" t="s">
        <v>18</v>
      </c>
      <c r="D372">
        <v>105.61770561317843</v>
      </c>
    </row>
    <row r="373" spans="1:4" x14ac:dyDescent="0.35">
      <c r="A373" t="s">
        <v>15</v>
      </c>
      <c r="B373" t="s">
        <v>4</v>
      </c>
      <c r="C373" t="s">
        <v>18</v>
      </c>
      <c r="D373">
        <v>249.90836356486312</v>
      </c>
    </row>
    <row r="374" spans="1:4" x14ac:dyDescent="0.35">
      <c r="A374" t="s">
        <v>16</v>
      </c>
      <c r="B374" t="s">
        <v>4</v>
      </c>
      <c r="C374" t="s">
        <v>18</v>
      </c>
      <c r="D374">
        <v>96.026453944533259</v>
      </c>
    </row>
    <row r="375" spans="1:4" x14ac:dyDescent="0.35">
      <c r="A375" t="s">
        <v>17</v>
      </c>
      <c r="B375" t="s">
        <v>4</v>
      </c>
      <c r="C375" t="s">
        <v>18</v>
      </c>
      <c r="D375">
        <v>144.34272910423346</v>
      </c>
    </row>
    <row r="376" spans="1:4" x14ac:dyDescent="0.35">
      <c r="A376" t="s">
        <v>18</v>
      </c>
      <c r="B376" t="s">
        <v>4</v>
      </c>
      <c r="C376" t="s">
        <v>18</v>
      </c>
      <c r="D376">
        <v>3469.6226990400055</v>
      </c>
    </row>
    <row r="377" spans="1:4" x14ac:dyDescent="0.35">
      <c r="A377" t="s">
        <v>19</v>
      </c>
      <c r="B377" t="s">
        <v>4</v>
      </c>
      <c r="C377" t="s">
        <v>18</v>
      </c>
      <c r="D377">
        <v>69.291077138381468</v>
      </c>
    </row>
    <row r="378" spans="1:4" x14ac:dyDescent="0.35">
      <c r="A378" t="s">
        <v>20</v>
      </c>
      <c r="B378" t="s">
        <v>4</v>
      </c>
      <c r="C378" t="s">
        <v>18</v>
      </c>
      <c r="D378">
        <v>6.3773668117921373E-2</v>
      </c>
    </row>
    <row r="379" spans="1:4" x14ac:dyDescent="0.35">
      <c r="A379" t="s">
        <v>21</v>
      </c>
      <c r="B379" t="s">
        <v>4</v>
      </c>
      <c r="C379" t="s">
        <v>18</v>
      </c>
      <c r="D379">
        <v>11.372238890986596</v>
      </c>
    </row>
    <row r="380" spans="1:4" x14ac:dyDescent="0.35">
      <c r="A380" t="s">
        <v>22</v>
      </c>
      <c r="B380" t="s">
        <v>4</v>
      </c>
      <c r="C380" t="s">
        <v>18</v>
      </c>
      <c r="D380">
        <v>100.24473050040865</v>
      </c>
    </row>
    <row r="381" spans="1:4" x14ac:dyDescent="0.35">
      <c r="A381" t="s">
        <v>23</v>
      </c>
      <c r="B381" t="s">
        <v>4</v>
      </c>
      <c r="C381" t="s">
        <v>18</v>
      </c>
      <c r="D381">
        <v>2352.8191087344808</v>
      </c>
    </row>
    <row r="382" spans="1:4" x14ac:dyDescent="0.35">
      <c r="A382" t="s">
        <v>24</v>
      </c>
      <c r="B382" t="s">
        <v>4</v>
      </c>
      <c r="C382" t="s">
        <v>18</v>
      </c>
      <c r="D382">
        <v>153.14066033208459</v>
      </c>
    </row>
    <row r="383" spans="1:4" x14ac:dyDescent="0.35">
      <c r="A383" t="s">
        <v>25</v>
      </c>
      <c r="B383" t="s">
        <v>4</v>
      </c>
      <c r="C383" t="s">
        <v>18</v>
      </c>
      <c r="D383">
        <v>3492.8198558270237</v>
      </c>
    </row>
    <row r="384" spans="1:4" x14ac:dyDescent="0.35">
      <c r="A384" t="s">
        <v>26</v>
      </c>
      <c r="B384" t="s">
        <v>4</v>
      </c>
      <c r="C384" t="s">
        <v>18</v>
      </c>
      <c r="D384">
        <v>0</v>
      </c>
    </row>
    <row r="385" spans="1:4" x14ac:dyDescent="0.35">
      <c r="A385" t="s">
        <v>27</v>
      </c>
      <c r="B385" t="s">
        <v>4</v>
      </c>
      <c r="C385" t="s">
        <v>18</v>
      </c>
      <c r="D385">
        <v>98.766832940691813</v>
      </c>
    </row>
    <row r="386" spans="1:4" x14ac:dyDescent="0.35">
      <c r="A386" t="s">
        <v>28</v>
      </c>
      <c r="B386" t="s">
        <v>4</v>
      </c>
      <c r="C386" t="s">
        <v>18</v>
      </c>
      <c r="D386">
        <v>0</v>
      </c>
    </row>
    <row r="387" spans="1:4" x14ac:dyDescent="0.35">
      <c r="A387" t="s">
        <v>29</v>
      </c>
      <c r="B387" t="s">
        <v>4</v>
      </c>
      <c r="C387" t="s">
        <v>18</v>
      </c>
      <c r="D387">
        <v>660.61267144451688</v>
      </c>
    </row>
    <row r="388" spans="1:4" x14ac:dyDescent="0.35">
      <c r="A388" t="s">
        <v>30</v>
      </c>
      <c r="B388" t="s">
        <v>4</v>
      </c>
      <c r="C388" t="s">
        <v>18</v>
      </c>
      <c r="D388">
        <v>410.47094306175262</v>
      </c>
    </row>
    <row r="389" spans="1:4" x14ac:dyDescent="0.35">
      <c r="A389" t="s">
        <v>31</v>
      </c>
      <c r="B389" t="s">
        <v>4</v>
      </c>
      <c r="C389" t="s">
        <v>18</v>
      </c>
      <c r="D389">
        <v>46.326582738165563</v>
      </c>
    </row>
    <row r="390" spans="1:4" x14ac:dyDescent="0.35">
      <c r="A390" t="s">
        <v>32</v>
      </c>
      <c r="B390" t="s">
        <v>4</v>
      </c>
      <c r="C390" t="s">
        <v>18</v>
      </c>
      <c r="D390">
        <v>501.03336390205055</v>
      </c>
    </row>
    <row r="391" spans="1:4" x14ac:dyDescent="0.35">
      <c r="A391" t="s">
        <v>33</v>
      </c>
      <c r="B391" t="s">
        <v>4</v>
      </c>
      <c r="C391" t="s">
        <v>18</v>
      </c>
      <c r="D391">
        <v>185.44641990021549</v>
      </c>
    </row>
    <row r="392" spans="1:4" x14ac:dyDescent="0.35">
      <c r="A392" t="s">
        <v>34</v>
      </c>
      <c r="B392" t="s">
        <v>4</v>
      </c>
      <c r="C392" t="s">
        <v>18</v>
      </c>
      <c r="D392">
        <v>730.54701490823038</v>
      </c>
    </row>
    <row r="393" spans="1:4" x14ac:dyDescent="0.35">
      <c r="A393" t="s">
        <v>35</v>
      </c>
      <c r="B393" t="s">
        <v>4</v>
      </c>
      <c r="C393" t="s">
        <v>18</v>
      </c>
      <c r="D393">
        <v>10.335139866966351</v>
      </c>
    </row>
    <row r="394" spans="1:4" x14ac:dyDescent="0.35">
      <c r="A394" t="s">
        <v>36</v>
      </c>
      <c r="B394" t="s">
        <v>4</v>
      </c>
      <c r="C394" t="s">
        <v>18</v>
      </c>
      <c r="D394">
        <v>44.441761918549865</v>
      </c>
    </row>
    <row r="395" spans="1:4" x14ac:dyDescent="0.35">
      <c r="A395" t="s">
        <v>37</v>
      </c>
      <c r="B395" t="s">
        <v>4</v>
      </c>
      <c r="C395" t="s">
        <v>18</v>
      </c>
      <c r="D395">
        <v>9.1584782542646774</v>
      </c>
    </row>
    <row r="396" spans="1:4" x14ac:dyDescent="0.35">
      <c r="A396" t="s">
        <v>38</v>
      </c>
      <c r="B396" t="s">
        <v>4</v>
      </c>
      <c r="C396" t="s">
        <v>18</v>
      </c>
      <c r="D396">
        <v>6.8003841576440518</v>
      </c>
    </row>
    <row r="397" spans="1:4" x14ac:dyDescent="0.35">
      <c r="A397" t="s">
        <v>39</v>
      </c>
      <c r="B397" t="s">
        <v>4</v>
      </c>
      <c r="C397" t="s">
        <v>18</v>
      </c>
      <c r="D397">
        <v>0</v>
      </c>
    </row>
    <row r="398" spans="1:4" x14ac:dyDescent="0.35">
      <c r="A398" t="s">
        <v>7</v>
      </c>
      <c r="B398" t="s">
        <v>4</v>
      </c>
      <c r="C398" t="s">
        <v>19</v>
      </c>
      <c r="D398">
        <v>0</v>
      </c>
    </row>
    <row r="399" spans="1:4" x14ac:dyDescent="0.35">
      <c r="A399" t="s">
        <v>8</v>
      </c>
      <c r="B399" t="s">
        <v>4</v>
      </c>
      <c r="C399" t="s">
        <v>19</v>
      </c>
      <c r="D399">
        <v>1.8463467200331225E-3</v>
      </c>
    </row>
    <row r="400" spans="1:4" x14ac:dyDescent="0.35">
      <c r="A400" t="s">
        <v>9</v>
      </c>
      <c r="B400" t="s">
        <v>4</v>
      </c>
      <c r="C400" t="s">
        <v>19</v>
      </c>
      <c r="D400">
        <v>0</v>
      </c>
    </row>
    <row r="401" spans="1:4" x14ac:dyDescent="0.35">
      <c r="A401" t="s">
        <v>10</v>
      </c>
      <c r="B401" t="s">
        <v>4</v>
      </c>
      <c r="C401" t="s">
        <v>19</v>
      </c>
      <c r="D401">
        <v>0.57251630062591308</v>
      </c>
    </row>
    <row r="402" spans="1:4" x14ac:dyDescent="0.35">
      <c r="A402" t="s">
        <v>11</v>
      </c>
      <c r="B402" t="s">
        <v>4</v>
      </c>
      <c r="C402" t="s">
        <v>19</v>
      </c>
      <c r="D402">
        <v>0</v>
      </c>
    </row>
    <row r="403" spans="1:4" x14ac:dyDescent="0.35">
      <c r="A403" t="s">
        <v>12</v>
      </c>
      <c r="B403" t="s">
        <v>4</v>
      </c>
      <c r="C403" t="s">
        <v>19</v>
      </c>
      <c r="D403">
        <v>0</v>
      </c>
    </row>
    <row r="404" spans="1:4" x14ac:dyDescent="0.35">
      <c r="A404" t="s">
        <v>13</v>
      </c>
      <c r="B404" t="s">
        <v>4</v>
      </c>
      <c r="C404" t="s">
        <v>19</v>
      </c>
      <c r="D404">
        <v>3.1826923246673657</v>
      </c>
    </row>
    <row r="405" spans="1:4" x14ac:dyDescent="0.35">
      <c r="A405" t="s">
        <v>14</v>
      </c>
      <c r="B405" t="s">
        <v>4</v>
      </c>
      <c r="C405" t="s">
        <v>19</v>
      </c>
      <c r="D405">
        <v>21.423116288661074</v>
      </c>
    </row>
    <row r="406" spans="1:4" x14ac:dyDescent="0.35">
      <c r="A406" t="s">
        <v>15</v>
      </c>
      <c r="B406" t="s">
        <v>4</v>
      </c>
      <c r="C406" t="s">
        <v>19</v>
      </c>
      <c r="D406">
        <v>0.96226369966145242</v>
      </c>
    </row>
    <row r="407" spans="1:4" x14ac:dyDescent="0.35">
      <c r="A407" t="s">
        <v>16</v>
      </c>
      <c r="B407" t="s">
        <v>4</v>
      </c>
      <c r="C407" t="s">
        <v>19</v>
      </c>
      <c r="D407">
        <v>5.6159875563006363</v>
      </c>
    </row>
    <row r="408" spans="1:4" x14ac:dyDescent="0.35">
      <c r="A408" t="s">
        <v>17</v>
      </c>
      <c r="B408" t="s">
        <v>4</v>
      </c>
      <c r="C408" t="s">
        <v>19</v>
      </c>
      <c r="D408">
        <v>0</v>
      </c>
    </row>
    <row r="409" spans="1:4" x14ac:dyDescent="0.35">
      <c r="A409" t="s">
        <v>18</v>
      </c>
      <c r="B409" t="s">
        <v>4</v>
      </c>
      <c r="C409" t="s">
        <v>19</v>
      </c>
      <c r="D409">
        <v>433.54255192412842</v>
      </c>
    </row>
    <row r="410" spans="1:4" x14ac:dyDescent="0.35">
      <c r="A410" t="s">
        <v>19</v>
      </c>
      <c r="B410" t="s">
        <v>4</v>
      </c>
      <c r="C410" t="s">
        <v>19</v>
      </c>
      <c r="D410">
        <v>97.648198610804229</v>
      </c>
    </row>
    <row r="411" spans="1:4" x14ac:dyDescent="0.35">
      <c r="A411" t="s">
        <v>20</v>
      </c>
      <c r="B411" t="s">
        <v>4</v>
      </c>
      <c r="C411" t="s">
        <v>19</v>
      </c>
      <c r="D411">
        <v>20.176969776835616</v>
      </c>
    </row>
    <row r="412" spans="1:4" x14ac:dyDescent="0.35">
      <c r="A412" t="s">
        <v>21</v>
      </c>
      <c r="B412" t="s">
        <v>4</v>
      </c>
      <c r="C412" t="s">
        <v>19</v>
      </c>
      <c r="D412">
        <v>2.5086925312765596</v>
      </c>
    </row>
    <row r="413" spans="1:4" x14ac:dyDescent="0.35">
      <c r="A413" t="s">
        <v>22</v>
      </c>
      <c r="B413" t="s">
        <v>4</v>
      </c>
      <c r="C413" t="s">
        <v>19</v>
      </c>
      <c r="D413">
        <v>2.8784873483904336</v>
      </c>
    </row>
    <row r="414" spans="1:4" x14ac:dyDescent="0.35">
      <c r="A414" t="s">
        <v>23</v>
      </c>
      <c r="B414" t="s">
        <v>4</v>
      </c>
      <c r="C414" t="s">
        <v>19</v>
      </c>
      <c r="D414">
        <v>49.496130589681265</v>
      </c>
    </row>
    <row r="415" spans="1:4" x14ac:dyDescent="0.35">
      <c r="A415" t="s">
        <v>24</v>
      </c>
      <c r="B415" t="s">
        <v>4</v>
      </c>
      <c r="C415" t="s">
        <v>19</v>
      </c>
      <c r="D415">
        <v>0</v>
      </c>
    </row>
    <row r="416" spans="1:4" x14ac:dyDescent="0.35">
      <c r="A416" t="s">
        <v>25</v>
      </c>
      <c r="B416" t="s">
        <v>4</v>
      </c>
      <c r="C416" t="s">
        <v>19</v>
      </c>
      <c r="D416">
        <v>579.62447978176397</v>
      </c>
    </row>
    <row r="417" spans="1:4" x14ac:dyDescent="0.35">
      <c r="A417" t="s">
        <v>26</v>
      </c>
      <c r="B417" t="s">
        <v>4</v>
      </c>
      <c r="C417" t="s">
        <v>19</v>
      </c>
      <c r="D417">
        <v>0</v>
      </c>
    </row>
    <row r="418" spans="1:4" x14ac:dyDescent="0.35">
      <c r="A418" t="s">
        <v>27</v>
      </c>
      <c r="B418" t="s">
        <v>4</v>
      </c>
      <c r="C418" t="s">
        <v>19</v>
      </c>
      <c r="D418">
        <v>25.908300090386469</v>
      </c>
    </row>
    <row r="419" spans="1:4" x14ac:dyDescent="0.35">
      <c r="A419" t="s">
        <v>28</v>
      </c>
      <c r="B419" t="s">
        <v>4</v>
      </c>
      <c r="C419" t="s">
        <v>19</v>
      </c>
      <c r="D419">
        <v>0</v>
      </c>
    </row>
    <row r="420" spans="1:4" x14ac:dyDescent="0.35">
      <c r="A420" t="s">
        <v>29</v>
      </c>
      <c r="B420" t="s">
        <v>4</v>
      </c>
      <c r="C420" t="s">
        <v>19</v>
      </c>
      <c r="D420">
        <v>176.73323705642593</v>
      </c>
    </row>
    <row r="421" spans="1:4" x14ac:dyDescent="0.35">
      <c r="A421" t="s">
        <v>30</v>
      </c>
      <c r="B421" t="s">
        <v>4</v>
      </c>
      <c r="C421" t="s">
        <v>19</v>
      </c>
      <c r="D421">
        <v>134.5781800122223</v>
      </c>
    </row>
    <row r="422" spans="1:4" x14ac:dyDescent="0.35">
      <c r="A422" t="s">
        <v>31</v>
      </c>
      <c r="B422" t="s">
        <v>4</v>
      </c>
      <c r="C422" t="s">
        <v>19</v>
      </c>
      <c r="D422">
        <v>14.251038705505948</v>
      </c>
    </row>
    <row r="423" spans="1:4" x14ac:dyDescent="0.35">
      <c r="A423" t="s">
        <v>32</v>
      </c>
      <c r="B423" t="s">
        <v>4</v>
      </c>
      <c r="C423" t="s">
        <v>19</v>
      </c>
      <c r="D423">
        <v>83.034239645840913</v>
      </c>
    </row>
    <row r="424" spans="1:4" x14ac:dyDescent="0.35">
      <c r="A424" t="s">
        <v>33</v>
      </c>
      <c r="B424" t="s">
        <v>4</v>
      </c>
      <c r="C424" t="s">
        <v>19</v>
      </c>
      <c r="D424">
        <v>27.627509253872788</v>
      </c>
    </row>
    <row r="425" spans="1:4" x14ac:dyDescent="0.35">
      <c r="A425" t="s">
        <v>34</v>
      </c>
      <c r="B425" t="s">
        <v>4</v>
      </c>
      <c r="C425" t="s">
        <v>19</v>
      </c>
      <c r="D425">
        <v>206.93615559878364</v>
      </c>
    </row>
    <row r="426" spans="1:4" x14ac:dyDescent="0.35">
      <c r="A426" t="s">
        <v>35</v>
      </c>
      <c r="B426" t="s">
        <v>4</v>
      </c>
      <c r="C426" t="s">
        <v>19</v>
      </c>
      <c r="D426">
        <v>34.251604761308698</v>
      </c>
    </row>
    <row r="427" spans="1:4" x14ac:dyDescent="0.35">
      <c r="A427" t="s">
        <v>36</v>
      </c>
      <c r="B427" t="s">
        <v>4</v>
      </c>
      <c r="C427" t="s">
        <v>19</v>
      </c>
      <c r="D427">
        <v>31.999548298973949</v>
      </c>
    </row>
    <row r="428" spans="1:4" x14ac:dyDescent="0.35">
      <c r="A428" t="s">
        <v>37</v>
      </c>
      <c r="B428" t="s">
        <v>4</v>
      </c>
      <c r="C428" t="s">
        <v>19</v>
      </c>
      <c r="D428">
        <v>0.78913533904664357</v>
      </c>
    </row>
    <row r="429" spans="1:4" x14ac:dyDescent="0.35">
      <c r="A429" t="s">
        <v>38</v>
      </c>
      <c r="B429" t="s">
        <v>4</v>
      </c>
      <c r="C429" t="s">
        <v>19</v>
      </c>
      <c r="D429">
        <v>1.4065246037845633</v>
      </c>
    </row>
    <row r="430" spans="1:4" x14ac:dyDescent="0.35">
      <c r="A430" t="s">
        <v>39</v>
      </c>
      <c r="B430" t="s">
        <v>4</v>
      </c>
      <c r="C430" t="s">
        <v>19</v>
      </c>
      <c r="D430">
        <v>0</v>
      </c>
    </row>
    <row r="431" spans="1:4" x14ac:dyDescent="0.35">
      <c r="A431" t="s">
        <v>7</v>
      </c>
      <c r="B431" t="s">
        <v>4</v>
      </c>
      <c r="C431" t="s">
        <v>20</v>
      </c>
      <c r="D431">
        <v>0</v>
      </c>
    </row>
    <row r="432" spans="1:4" x14ac:dyDescent="0.35">
      <c r="A432" t="s">
        <v>8</v>
      </c>
      <c r="B432" t="s">
        <v>4</v>
      </c>
      <c r="C432" t="s">
        <v>20</v>
      </c>
      <c r="D432">
        <v>0</v>
      </c>
    </row>
    <row r="433" spans="1:4" x14ac:dyDescent="0.35">
      <c r="A433" t="s">
        <v>9</v>
      </c>
      <c r="B433" t="s">
        <v>4</v>
      </c>
      <c r="C433" t="s">
        <v>20</v>
      </c>
      <c r="D433">
        <v>0.13316657659239461</v>
      </c>
    </row>
    <row r="434" spans="1:4" x14ac:dyDescent="0.35">
      <c r="A434" t="s">
        <v>10</v>
      </c>
      <c r="B434" t="s">
        <v>4</v>
      </c>
      <c r="C434" t="s">
        <v>20</v>
      </c>
      <c r="D434">
        <v>0.34117488056362383</v>
      </c>
    </row>
    <row r="435" spans="1:4" x14ac:dyDescent="0.35">
      <c r="A435" t="s">
        <v>11</v>
      </c>
      <c r="B435" t="s">
        <v>4</v>
      </c>
      <c r="C435" t="s">
        <v>20</v>
      </c>
      <c r="D435">
        <v>1.4574980937573597E-3</v>
      </c>
    </row>
    <row r="436" spans="1:4" x14ac:dyDescent="0.35">
      <c r="A436" t="s">
        <v>12</v>
      </c>
      <c r="B436" t="s">
        <v>4</v>
      </c>
      <c r="C436" t="s">
        <v>20</v>
      </c>
      <c r="D436">
        <v>5.4573453564772727</v>
      </c>
    </row>
    <row r="437" spans="1:4" x14ac:dyDescent="0.35">
      <c r="A437" t="s">
        <v>13</v>
      </c>
      <c r="B437" t="s">
        <v>4</v>
      </c>
      <c r="C437" t="s">
        <v>20</v>
      </c>
      <c r="D437">
        <v>4.0234219698693465</v>
      </c>
    </row>
    <row r="438" spans="1:4" x14ac:dyDescent="0.35">
      <c r="A438" t="s">
        <v>14</v>
      </c>
      <c r="B438" t="s">
        <v>4</v>
      </c>
      <c r="C438" t="s">
        <v>20</v>
      </c>
      <c r="D438">
        <v>8.5847305754813164</v>
      </c>
    </row>
    <row r="439" spans="1:4" x14ac:dyDescent="0.35">
      <c r="A439" t="s">
        <v>15</v>
      </c>
      <c r="B439" t="s">
        <v>4</v>
      </c>
      <c r="C439" t="s">
        <v>20</v>
      </c>
      <c r="D439">
        <v>70.884214162768487</v>
      </c>
    </row>
    <row r="440" spans="1:4" x14ac:dyDescent="0.35">
      <c r="A440" t="s">
        <v>16</v>
      </c>
      <c r="B440" t="s">
        <v>4</v>
      </c>
      <c r="C440" t="s">
        <v>20</v>
      </c>
      <c r="D440">
        <v>68.662877489348759</v>
      </c>
    </row>
    <row r="441" spans="1:4" x14ac:dyDescent="0.35">
      <c r="A441" t="s">
        <v>17</v>
      </c>
      <c r="B441" t="s">
        <v>4</v>
      </c>
      <c r="C441" t="s">
        <v>20</v>
      </c>
      <c r="D441">
        <v>0</v>
      </c>
    </row>
    <row r="442" spans="1:4" x14ac:dyDescent="0.35">
      <c r="A442" t="s">
        <v>18</v>
      </c>
      <c r="B442" t="s">
        <v>4</v>
      </c>
      <c r="C442" t="s">
        <v>20</v>
      </c>
      <c r="D442">
        <v>627.28536208729213</v>
      </c>
    </row>
    <row r="443" spans="1:4" x14ac:dyDescent="0.35">
      <c r="A443" t="s">
        <v>19</v>
      </c>
      <c r="B443" t="s">
        <v>4</v>
      </c>
      <c r="C443" t="s">
        <v>20</v>
      </c>
      <c r="D443">
        <v>14.406750085737896</v>
      </c>
    </row>
    <row r="444" spans="1:4" x14ac:dyDescent="0.35">
      <c r="A444" t="s">
        <v>20</v>
      </c>
      <c r="B444" t="s">
        <v>4</v>
      </c>
      <c r="C444" t="s">
        <v>20</v>
      </c>
      <c r="D444">
        <v>12.267401681272538</v>
      </c>
    </row>
    <row r="445" spans="1:4" x14ac:dyDescent="0.35">
      <c r="A445" t="s">
        <v>21</v>
      </c>
      <c r="B445" t="s">
        <v>4</v>
      </c>
      <c r="C445" t="s">
        <v>20</v>
      </c>
      <c r="D445">
        <v>4.2288751290126925</v>
      </c>
    </row>
    <row r="446" spans="1:4" x14ac:dyDescent="0.35">
      <c r="A446" t="s">
        <v>22</v>
      </c>
      <c r="B446" t="s">
        <v>4</v>
      </c>
      <c r="C446" t="s">
        <v>20</v>
      </c>
      <c r="D446">
        <v>4.6152453776592335</v>
      </c>
    </row>
    <row r="447" spans="1:4" x14ac:dyDescent="0.35">
      <c r="A447" t="s">
        <v>23</v>
      </c>
      <c r="B447" t="s">
        <v>4</v>
      </c>
      <c r="C447" t="s">
        <v>20</v>
      </c>
      <c r="D447">
        <v>41.596772317939958</v>
      </c>
    </row>
    <row r="448" spans="1:4" x14ac:dyDescent="0.35">
      <c r="A448" t="s">
        <v>24</v>
      </c>
      <c r="B448" t="s">
        <v>4</v>
      </c>
      <c r="C448" t="s">
        <v>20</v>
      </c>
      <c r="D448">
        <v>10.610085211773335</v>
      </c>
    </row>
    <row r="449" spans="1:4" x14ac:dyDescent="0.35">
      <c r="A449" t="s">
        <v>25</v>
      </c>
      <c r="B449" t="s">
        <v>4</v>
      </c>
      <c r="C449" t="s">
        <v>20</v>
      </c>
      <c r="D449">
        <v>571.06367722571997</v>
      </c>
    </row>
    <row r="450" spans="1:4" x14ac:dyDescent="0.35">
      <c r="A450" t="s">
        <v>26</v>
      </c>
      <c r="B450" t="s">
        <v>4</v>
      </c>
      <c r="C450" t="s">
        <v>20</v>
      </c>
      <c r="D450">
        <v>0</v>
      </c>
    </row>
    <row r="451" spans="1:4" x14ac:dyDescent="0.35">
      <c r="A451" t="s">
        <v>27</v>
      </c>
      <c r="B451" t="s">
        <v>4</v>
      </c>
      <c r="C451" t="s">
        <v>20</v>
      </c>
      <c r="D451">
        <v>20.916226514591596</v>
      </c>
    </row>
    <row r="452" spans="1:4" x14ac:dyDescent="0.35">
      <c r="A452" t="s">
        <v>28</v>
      </c>
      <c r="B452" t="s">
        <v>4</v>
      </c>
      <c r="C452" t="s">
        <v>20</v>
      </c>
      <c r="D452">
        <v>0</v>
      </c>
    </row>
    <row r="453" spans="1:4" x14ac:dyDescent="0.35">
      <c r="A453" t="s">
        <v>29</v>
      </c>
      <c r="B453" t="s">
        <v>4</v>
      </c>
      <c r="C453" t="s">
        <v>20</v>
      </c>
      <c r="D453">
        <v>112.80743022729608</v>
      </c>
    </row>
    <row r="454" spans="1:4" x14ac:dyDescent="0.35">
      <c r="A454" t="s">
        <v>30</v>
      </c>
      <c r="B454" t="s">
        <v>4</v>
      </c>
      <c r="C454" t="s">
        <v>20</v>
      </c>
      <c r="D454">
        <v>39.757572728048132</v>
      </c>
    </row>
    <row r="455" spans="1:4" x14ac:dyDescent="0.35">
      <c r="A455" t="s">
        <v>31</v>
      </c>
      <c r="B455" t="s">
        <v>4</v>
      </c>
      <c r="C455" t="s">
        <v>20</v>
      </c>
      <c r="D455">
        <v>11.630460677962629</v>
      </c>
    </row>
    <row r="456" spans="1:4" x14ac:dyDescent="0.35">
      <c r="A456" t="s">
        <v>32</v>
      </c>
      <c r="B456" t="s">
        <v>4</v>
      </c>
      <c r="C456" t="s">
        <v>20</v>
      </c>
      <c r="D456">
        <v>53.343296095546997</v>
      </c>
    </row>
    <row r="457" spans="1:4" x14ac:dyDescent="0.35">
      <c r="A457" t="s">
        <v>33</v>
      </c>
      <c r="B457" t="s">
        <v>4</v>
      </c>
      <c r="C457" t="s">
        <v>20</v>
      </c>
      <c r="D457">
        <v>27.1535741001892</v>
      </c>
    </row>
    <row r="458" spans="1:4" x14ac:dyDescent="0.35">
      <c r="A458" t="s">
        <v>34</v>
      </c>
      <c r="B458" t="s">
        <v>4</v>
      </c>
      <c r="C458" t="s">
        <v>20</v>
      </c>
      <c r="D458">
        <v>58.767466851571278</v>
      </c>
    </row>
    <row r="459" spans="1:4" x14ac:dyDescent="0.35">
      <c r="A459" t="s">
        <v>35</v>
      </c>
      <c r="B459" t="s">
        <v>4</v>
      </c>
      <c r="C459" t="s">
        <v>20</v>
      </c>
      <c r="D459">
        <v>24.079210831720108</v>
      </c>
    </row>
    <row r="460" spans="1:4" x14ac:dyDescent="0.35">
      <c r="A460" t="s">
        <v>36</v>
      </c>
      <c r="B460" t="s">
        <v>4</v>
      </c>
      <c r="C460" t="s">
        <v>20</v>
      </c>
      <c r="D460">
        <v>7.6589754952430189</v>
      </c>
    </row>
    <row r="461" spans="1:4" x14ac:dyDescent="0.35">
      <c r="A461" t="s">
        <v>37</v>
      </c>
      <c r="B461" t="s">
        <v>4</v>
      </c>
      <c r="C461" t="s">
        <v>20</v>
      </c>
      <c r="D461">
        <v>0.21547016897713195</v>
      </c>
    </row>
    <row r="462" spans="1:4" x14ac:dyDescent="0.35">
      <c r="A462" t="s">
        <v>38</v>
      </c>
      <c r="B462" t="s">
        <v>4</v>
      </c>
      <c r="C462" t="s">
        <v>20</v>
      </c>
      <c r="D462">
        <v>2.8690413087160218</v>
      </c>
    </row>
    <row r="463" spans="1:4" x14ac:dyDescent="0.35">
      <c r="A463" t="s">
        <v>39</v>
      </c>
      <c r="B463" t="s">
        <v>4</v>
      </c>
      <c r="C463" t="s">
        <v>20</v>
      </c>
      <c r="D463">
        <v>0</v>
      </c>
    </row>
    <row r="464" spans="1:4" x14ac:dyDescent="0.35">
      <c r="A464" t="s">
        <v>7</v>
      </c>
      <c r="B464" t="s">
        <v>4</v>
      </c>
      <c r="C464" t="s">
        <v>21</v>
      </c>
      <c r="D464">
        <v>0</v>
      </c>
    </row>
    <row r="465" spans="1:4" x14ac:dyDescent="0.35">
      <c r="A465" t="s">
        <v>8</v>
      </c>
      <c r="B465" t="s">
        <v>4</v>
      </c>
      <c r="C465" t="s">
        <v>21</v>
      </c>
      <c r="D465">
        <v>0</v>
      </c>
    </row>
    <row r="466" spans="1:4" x14ac:dyDescent="0.35">
      <c r="A466" t="s">
        <v>9</v>
      </c>
      <c r="B466" t="s">
        <v>4</v>
      </c>
      <c r="C466" t="s">
        <v>21</v>
      </c>
      <c r="D466">
        <v>3.0853717936900803E-2</v>
      </c>
    </row>
    <row r="467" spans="1:4" x14ac:dyDescent="0.35">
      <c r="A467" t="s">
        <v>10</v>
      </c>
      <c r="B467" t="s">
        <v>4</v>
      </c>
      <c r="C467" t="s">
        <v>21</v>
      </c>
      <c r="D467">
        <v>8.9180304325700916</v>
      </c>
    </row>
    <row r="468" spans="1:4" x14ac:dyDescent="0.35">
      <c r="A468" t="s">
        <v>11</v>
      </c>
      <c r="B468" t="s">
        <v>4</v>
      </c>
      <c r="C468" t="s">
        <v>21</v>
      </c>
      <c r="D468">
        <v>0</v>
      </c>
    </row>
    <row r="469" spans="1:4" x14ac:dyDescent="0.35">
      <c r="A469" t="s">
        <v>12</v>
      </c>
      <c r="B469" t="s">
        <v>4</v>
      </c>
      <c r="C469" t="s">
        <v>21</v>
      </c>
      <c r="D469">
        <v>0.2054002221853613</v>
      </c>
    </row>
    <row r="470" spans="1:4" x14ac:dyDescent="0.35">
      <c r="A470" t="s">
        <v>13</v>
      </c>
      <c r="B470" t="s">
        <v>4</v>
      </c>
      <c r="C470" t="s">
        <v>21</v>
      </c>
      <c r="D470">
        <v>0.19794599106979155</v>
      </c>
    </row>
    <row r="471" spans="1:4" x14ac:dyDescent="0.35">
      <c r="A471" t="s">
        <v>14</v>
      </c>
      <c r="B471" t="s">
        <v>4</v>
      </c>
      <c r="C471" t="s">
        <v>21</v>
      </c>
      <c r="D471">
        <v>3.3364280835165721</v>
      </c>
    </row>
    <row r="472" spans="1:4" x14ac:dyDescent="0.35">
      <c r="A472" t="s">
        <v>15</v>
      </c>
      <c r="B472" t="s">
        <v>4</v>
      </c>
      <c r="C472" t="s">
        <v>21</v>
      </c>
      <c r="D472">
        <v>16.957950220970147</v>
      </c>
    </row>
    <row r="473" spans="1:4" x14ac:dyDescent="0.35">
      <c r="A473" t="s">
        <v>16</v>
      </c>
      <c r="B473" t="s">
        <v>4</v>
      </c>
      <c r="C473" t="s">
        <v>21</v>
      </c>
      <c r="D473">
        <v>12.329137031079913</v>
      </c>
    </row>
    <row r="474" spans="1:4" x14ac:dyDescent="0.35">
      <c r="A474" t="s">
        <v>17</v>
      </c>
      <c r="B474" t="s">
        <v>4</v>
      </c>
      <c r="C474" t="s">
        <v>21</v>
      </c>
      <c r="D474">
        <v>2.29531687944647</v>
      </c>
    </row>
    <row r="475" spans="1:4" x14ac:dyDescent="0.35">
      <c r="A475" t="s">
        <v>18</v>
      </c>
      <c r="B475" t="s">
        <v>4</v>
      </c>
      <c r="C475" t="s">
        <v>21</v>
      </c>
      <c r="D475">
        <v>54.755719220533393</v>
      </c>
    </row>
    <row r="476" spans="1:4" x14ac:dyDescent="0.35">
      <c r="A476" t="s">
        <v>19</v>
      </c>
      <c r="B476" t="s">
        <v>4</v>
      </c>
      <c r="C476" t="s">
        <v>21</v>
      </c>
      <c r="D476">
        <v>4.4350398844273728</v>
      </c>
    </row>
    <row r="477" spans="1:4" x14ac:dyDescent="0.35">
      <c r="A477" t="s">
        <v>20</v>
      </c>
      <c r="B477" t="s">
        <v>4</v>
      </c>
      <c r="C477" t="s">
        <v>21</v>
      </c>
      <c r="D477">
        <v>9.3739964300109531</v>
      </c>
    </row>
    <row r="478" spans="1:4" x14ac:dyDescent="0.35">
      <c r="A478" t="s">
        <v>21</v>
      </c>
      <c r="B478" t="s">
        <v>4</v>
      </c>
      <c r="C478" t="s">
        <v>21</v>
      </c>
      <c r="D478">
        <v>2.9953213306634709</v>
      </c>
    </row>
    <row r="479" spans="1:4" x14ac:dyDescent="0.35">
      <c r="A479" t="s">
        <v>22</v>
      </c>
      <c r="B479" t="s">
        <v>4</v>
      </c>
      <c r="C479" t="s">
        <v>21</v>
      </c>
      <c r="D479">
        <v>3.8128925975673984</v>
      </c>
    </row>
    <row r="480" spans="1:4" x14ac:dyDescent="0.35">
      <c r="A480" t="s">
        <v>23</v>
      </c>
      <c r="B480" t="s">
        <v>4</v>
      </c>
      <c r="C480" t="s">
        <v>21</v>
      </c>
      <c r="D480">
        <v>10.216768738657388</v>
      </c>
    </row>
    <row r="481" spans="1:4" x14ac:dyDescent="0.35">
      <c r="A481" t="s">
        <v>24</v>
      </c>
      <c r="B481" t="s">
        <v>4</v>
      </c>
      <c r="C481" t="s">
        <v>21</v>
      </c>
      <c r="D481">
        <v>0</v>
      </c>
    </row>
    <row r="482" spans="1:4" x14ac:dyDescent="0.35">
      <c r="A482" t="s">
        <v>25</v>
      </c>
      <c r="B482" t="s">
        <v>4</v>
      </c>
      <c r="C482" t="s">
        <v>21</v>
      </c>
      <c r="D482">
        <v>134.63156437986655</v>
      </c>
    </row>
    <row r="483" spans="1:4" x14ac:dyDescent="0.35">
      <c r="A483" t="s">
        <v>26</v>
      </c>
      <c r="B483" t="s">
        <v>4</v>
      </c>
      <c r="C483" t="s">
        <v>21</v>
      </c>
      <c r="D483">
        <v>0</v>
      </c>
    </row>
    <row r="484" spans="1:4" x14ac:dyDescent="0.35">
      <c r="A484" t="s">
        <v>27</v>
      </c>
      <c r="B484" t="s">
        <v>4</v>
      </c>
      <c r="C484" t="s">
        <v>21</v>
      </c>
      <c r="D484">
        <v>1.1368307308866734</v>
      </c>
    </row>
    <row r="485" spans="1:4" x14ac:dyDescent="0.35">
      <c r="A485" t="s">
        <v>28</v>
      </c>
      <c r="B485" t="s">
        <v>4</v>
      </c>
      <c r="C485" t="s">
        <v>21</v>
      </c>
      <c r="D485">
        <v>0</v>
      </c>
    </row>
    <row r="486" spans="1:4" x14ac:dyDescent="0.35">
      <c r="A486" t="s">
        <v>29</v>
      </c>
      <c r="B486" t="s">
        <v>4</v>
      </c>
      <c r="C486" t="s">
        <v>21</v>
      </c>
      <c r="D486">
        <v>39.473443195820245</v>
      </c>
    </row>
    <row r="487" spans="1:4" x14ac:dyDescent="0.35">
      <c r="A487" t="s">
        <v>30</v>
      </c>
      <c r="B487" t="s">
        <v>4</v>
      </c>
      <c r="C487" t="s">
        <v>21</v>
      </c>
      <c r="D487">
        <v>14.685629486522696</v>
      </c>
    </row>
    <row r="488" spans="1:4" x14ac:dyDescent="0.35">
      <c r="A488" t="s">
        <v>31</v>
      </c>
      <c r="B488" t="s">
        <v>4</v>
      </c>
      <c r="C488" t="s">
        <v>21</v>
      </c>
      <c r="D488">
        <v>1.3936849595355951</v>
      </c>
    </row>
    <row r="489" spans="1:4" x14ac:dyDescent="0.35">
      <c r="A489" t="s">
        <v>32</v>
      </c>
      <c r="B489" t="s">
        <v>4</v>
      </c>
      <c r="C489" t="s">
        <v>21</v>
      </c>
      <c r="D489">
        <v>9.7694082253073127</v>
      </c>
    </row>
    <row r="490" spans="1:4" x14ac:dyDescent="0.35">
      <c r="A490" t="s">
        <v>33</v>
      </c>
      <c r="B490" t="s">
        <v>4</v>
      </c>
      <c r="C490" t="s">
        <v>21</v>
      </c>
      <c r="D490">
        <v>28.173242567779059</v>
      </c>
    </row>
    <row r="491" spans="1:4" x14ac:dyDescent="0.35">
      <c r="A491" t="s">
        <v>34</v>
      </c>
      <c r="B491" t="s">
        <v>4</v>
      </c>
      <c r="C491" t="s">
        <v>21</v>
      </c>
      <c r="D491">
        <v>56.286859589971321</v>
      </c>
    </row>
    <row r="492" spans="1:4" x14ac:dyDescent="0.35">
      <c r="A492" t="s">
        <v>35</v>
      </c>
      <c r="B492" t="s">
        <v>4</v>
      </c>
      <c r="C492" t="s">
        <v>21</v>
      </c>
      <c r="D492">
        <v>11.078786299707243</v>
      </c>
    </row>
    <row r="493" spans="1:4" x14ac:dyDescent="0.35">
      <c r="A493" t="s">
        <v>36</v>
      </c>
      <c r="B493" t="s">
        <v>4</v>
      </c>
      <c r="C493" t="s">
        <v>21</v>
      </c>
      <c r="D493">
        <v>0.20590724784025952</v>
      </c>
    </row>
    <row r="494" spans="1:4" x14ac:dyDescent="0.35">
      <c r="A494" t="s">
        <v>37</v>
      </c>
      <c r="B494" t="s">
        <v>4</v>
      </c>
      <c r="C494" t="s">
        <v>21</v>
      </c>
      <c r="D494">
        <v>1.4054004039262111</v>
      </c>
    </row>
    <row r="495" spans="1:4" x14ac:dyDescent="0.35">
      <c r="A495" t="s">
        <v>38</v>
      </c>
      <c r="B495" t="s">
        <v>4</v>
      </c>
      <c r="C495" t="s">
        <v>21</v>
      </c>
      <c r="D495">
        <v>0.2900960811659285</v>
      </c>
    </row>
    <row r="496" spans="1:4" x14ac:dyDescent="0.35">
      <c r="A496" t="s">
        <v>39</v>
      </c>
      <c r="B496" t="s">
        <v>4</v>
      </c>
      <c r="C496" t="s">
        <v>21</v>
      </c>
      <c r="D496">
        <v>0</v>
      </c>
    </row>
    <row r="497" spans="1:4" x14ac:dyDescent="0.35">
      <c r="A497" t="s">
        <v>7</v>
      </c>
      <c r="B497" t="s">
        <v>4</v>
      </c>
      <c r="C497" t="s">
        <v>22</v>
      </c>
      <c r="D497">
        <v>0</v>
      </c>
    </row>
    <row r="498" spans="1:4" x14ac:dyDescent="0.35">
      <c r="A498" t="s">
        <v>8</v>
      </c>
      <c r="B498" t="s">
        <v>4</v>
      </c>
      <c r="C498" t="s">
        <v>22</v>
      </c>
      <c r="D498">
        <v>26.566723382358564</v>
      </c>
    </row>
    <row r="499" spans="1:4" x14ac:dyDescent="0.35">
      <c r="A499" t="s">
        <v>9</v>
      </c>
      <c r="B499" t="s">
        <v>4</v>
      </c>
      <c r="C499" t="s">
        <v>22</v>
      </c>
      <c r="D499">
        <v>8.210050580803506E-2</v>
      </c>
    </row>
    <row r="500" spans="1:4" x14ac:dyDescent="0.35">
      <c r="A500" t="s">
        <v>10</v>
      </c>
      <c r="B500" t="s">
        <v>4</v>
      </c>
      <c r="C500" t="s">
        <v>22</v>
      </c>
      <c r="D500">
        <v>9.5418348288530908</v>
      </c>
    </row>
    <row r="501" spans="1:4" x14ac:dyDescent="0.35">
      <c r="A501" t="s">
        <v>11</v>
      </c>
      <c r="B501" t="s">
        <v>4</v>
      </c>
      <c r="C501" t="s">
        <v>22</v>
      </c>
      <c r="D501">
        <v>8.971298034741444E-4</v>
      </c>
    </row>
    <row r="502" spans="1:4" x14ac:dyDescent="0.35">
      <c r="A502" t="s">
        <v>12</v>
      </c>
      <c r="B502" t="s">
        <v>4</v>
      </c>
      <c r="C502" t="s">
        <v>22</v>
      </c>
      <c r="D502">
        <v>344.33120716568584</v>
      </c>
    </row>
    <row r="503" spans="1:4" x14ac:dyDescent="0.35">
      <c r="A503" t="s">
        <v>13</v>
      </c>
      <c r="B503" t="s">
        <v>4</v>
      </c>
      <c r="C503" t="s">
        <v>22</v>
      </c>
      <c r="D503">
        <v>7.1002728605131056</v>
      </c>
    </row>
    <row r="504" spans="1:4" x14ac:dyDescent="0.35">
      <c r="A504" t="s">
        <v>14</v>
      </c>
      <c r="B504" t="s">
        <v>4</v>
      </c>
      <c r="C504" t="s">
        <v>22</v>
      </c>
      <c r="D504">
        <v>78.08558917184736</v>
      </c>
    </row>
    <row r="505" spans="1:4" x14ac:dyDescent="0.35">
      <c r="A505" t="s">
        <v>15</v>
      </c>
      <c r="B505" t="s">
        <v>4</v>
      </c>
      <c r="C505" t="s">
        <v>22</v>
      </c>
      <c r="D505">
        <v>10.569975030130122</v>
      </c>
    </row>
    <row r="506" spans="1:4" x14ac:dyDescent="0.35">
      <c r="A506" t="s">
        <v>16</v>
      </c>
      <c r="B506" t="s">
        <v>4</v>
      </c>
      <c r="C506" t="s">
        <v>22</v>
      </c>
      <c r="D506">
        <v>19.042817706218418</v>
      </c>
    </row>
    <row r="507" spans="1:4" x14ac:dyDescent="0.35">
      <c r="A507" t="s">
        <v>17</v>
      </c>
      <c r="B507" t="s">
        <v>4</v>
      </c>
      <c r="C507" t="s">
        <v>22</v>
      </c>
      <c r="D507">
        <v>198.3679948711418</v>
      </c>
    </row>
    <row r="508" spans="1:4" x14ac:dyDescent="0.35">
      <c r="A508" t="s">
        <v>18</v>
      </c>
      <c r="B508" t="s">
        <v>4</v>
      </c>
      <c r="C508" t="s">
        <v>22</v>
      </c>
      <c r="D508">
        <v>548.73199141361999</v>
      </c>
    </row>
    <row r="509" spans="1:4" x14ac:dyDescent="0.35">
      <c r="A509" t="s">
        <v>19</v>
      </c>
      <c r="B509" t="s">
        <v>4</v>
      </c>
      <c r="C509" t="s">
        <v>22</v>
      </c>
      <c r="D509">
        <v>24.985078294150863</v>
      </c>
    </row>
    <row r="510" spans="1:4" x14ac:dyDescent="0.35">
      <c r="A510" t="s">
        <v>20</v>
      </c>
      <c r="B510" t="s">
        <v>4</v>
      </c>
      <c r="C510" t="s">
        <v>22</v>
      </c>
      <c r="D510">
        <v>0.11485123299919255</v>
      </c>
    </row>
    <row r="511" spans="1:4" x14ac:dyDescent="0.35">
      <c r="A511" t="s">
        <v>21</v>
      </c>
      <c r="B511" t="s">
        <v>4</v>
      </c>
      <c r="C511" t="s">
        <v>22</v>
      </c>
      <c r="D511">
        <v>4.480027237060435</v>
      </c>
    </row>
    <row r="512" spans="1:4" x14ac:dyDescent="0.35">
      <c r="A512" t="s">
        <v>22</v>
      </c>
      <c r="B512" t="s">
        <v>4</v>
      </c>
      <c r="C512" t="s">
        <v>22</v>
      </c>
      <c r="D512">
        <v>152.67388829200959</v>
      </c>
    </row>
    <row r="513" spans="1:4" x14ac:dyDescent="0.35">
      <c r="A513" t="s">
        <v>23</v>
      </c>
      <c r="B513" t="s">
        <v>4</v>
      </c>
      <c r="C513" t="s">
        <v>22</v>
      </c>
      <c r="D513">
        <v>341.59265598446012</v>
      </c>
    </row>
    <row r="514" spans="1:4" x14ac:dyDescent="0.35">
      <c r="A514" t="s">
        <v>24</v>
      </c>
      <c r="B514" t="s">
        <v>4</v>
      </c>
      <c r="C514" t="s">
        <v>22</v>
      </c>
      <c r="D514">
        <v>655.10484816641292</v>
      </c>
    </row>
    <row r="515" spans="1:4" x14ac:dyDescent="0.35">
      <c r="A515" t="s">
        <v>25</v>
      </c>
      <c r="B515" t="s">
        <v>4</v>
      </c>
      <c r="C515" t="s">
        <v>22</v>
      </c>
      <c r="D515">
        <v>1254.8435356747527</v>
      </c>
    </row>
    <row r="516" spans="1:4" x14ac:dyDescent="0.35">
      <c r="A516" t="s">
        <v>26</v>
      </c>
      <c r="B516" t="s">
        <v>4</v>
      </c>
      <c r="C516" t="s">
        <v>22</v>
      </c>
      <c r="D516">
        <v>0</v>
      </c>
    </row>
    <row r="517" spans="1:4" x14ac:dyDescent="0.35">
      <c r="A517" t="s">
        <v>27</v>
      </c>
      <c r="B517" t="s">
        <v>4</v>
      </c>
      <c r="C517" t="s">
        <v>22</v>
      </c>
      <c r="D517">
        <v>12.120384331813595</v>
      </c>
    </row>
    <row r="518" spans="1:4" x14ac:dyDescent="0.35">
      <c r="A518" t="s">
        <v>28</v>
      </c>
      <c r="B518" t="s">
        <v>4</v>
      </c>
      <c r="C518" t="s">
        <v>22</v>
      </c>
      <c r="D518">
        <v>0</v>
      </c>
    </row>
    <row r="519" spans="1:4" x14ac:dyDescent="0.35">
      <c r="A519" t="s">
        <v>29</v>
      </c>
      <c r="B519" t="s">
        <v>4</v>
      </c>
      <c r="C519" t="s">
        <v>22</v>
      </c>
      <c r="D519">
        <v>163.43244418978782</v>
      </c>
    </row>
    <row r="520" spans="1:4" x14ac:dyDescent="0.35">
      <c r="A520" t="s">
        <v>30</v>
      </c>
      <c r="B520" t="s">
        <v>4</v>
      </c>
      <c r="C520" t="s">
        <v>22</v>
      </c>
      <c r="D520">
        <v>114.5796481116484</v>
      </c>
    </row>
    <row r="521" spans="1:4" x14ac:dyDescent="0.35">
      <c r="A521" t="s">
        <v>31</v>
      </c>
      <c r="B521" t="s">
        <v>4</v>
      </c>
      <c r="C521" t="s">
        <v>22</v>
      </c>
      <c r="D521">
        <v>41.932134067556802</v>
      </c>
    </row>
    <row r="522" spans="1:4" x14ac:dyDescent="0.35">
      <c r="A522" t="s">
        <v>32</v>
      </c>
      <c r="B522" t="s">
        <v>4</v>
      </c>
      <c r="C522" t="s">
        <v>22</v>
      </c>
      <c r="D522">
        <v>307.87543241798369</v>
      </c>
    </row>
    <row r="523" spans="1:4" x14ac:dyDescent="0.35">
      <c r="A523" t="s">
        <v>33</v>
      </c>
      <c r="B523" t="s">
        <v>4</v>
      </c>
      <c r="C523" t="s">
        <v>22</v>
      </c>
      <c r="D523">
        <v>175.82838243353811</v>
      </c>
    </row>
    <row r="524" spans="1:4" x14ac:dyDescent="0.35">
      <c r="A524" t="s">
        <v>34</v>
      </c>
      <c r="B524" t="s">
        <v>4</v>
      </c>
      <c r="C524" t="s">
        <v>22</v>
      </c>
      <c r="D524">
        <v>239.3594980908131</v>
      </c>
    </row>
    <row r="525" spans="1:4" x14ac:dyDescent="0.35">
      <c r="A525" t="s">
        <v>35</v>
      </c>
      <c r="B525" t="s">
        <v>4</v>
      </c>
      <c r="C525" t="s">
        <v>22</v>
      </c>
      <c r="D525">
        <v>117.96696602865548</v>
      </c>
    </row>
    <row r="526" spans="1:4" x14ac:dyDescent="0.35">
      <c r="A526" t="s">
        <v>36</v>
      </c>
      <c r="B526" t="s">
        <v>4</v>
      </c>
      <c r="C526" t="s">
        <v>22</v>
      </c>
      <c r="D526">
        <v>37.250044212769076</v>
      </c>
    </row>
    <row r="527" spans="1:4" x14ac:dyDescent="0.35">
      <c r="A527" t="s">
        <v>37</v>
      </c>
      <c r="B527" t="s">
        <v>4</v>
      </c>
      <c r="C527" t="s">
        <v>22</v>
      </c>
      <c r="D527">
        <v>13.834189188027917</v>
      </c>
    </row>
    <row r="528" spans="1:4" x14ac:dyDescent="0.35">
      <c r="A528" t="s">
        <v>38</v>
      </c>
      <c r="B528" t="s">
        <v>4</v>
      </c>
      <c r="C528" t="s">
        <v>22</v>
      </c>
      <c r="D528">
        <v>3.9543550343142759</v>
      </c>
    </row>
    <row r="529" spans="1:4" x14ac:dyDescent="0.35">
      <c r="A529" t="s">
        <v>39</v>
      </c>
      <c r="B529" t="s">
        <v>4</v>
      </c>
      <c r="C529" t="s">
        <v>22</v>
      </c>
      <c r="D529">
        <v>0</v>
      </c>
    </row>
    <row r="530" spans="1:4" x14ac:dyDescent="0.35">
      <c r="A530" t="s">
        <v>7</v>
      </c>
      <c r="B530" t="s">
        <v>4</v>
      </c>
      <c r="C530" t="s">
        <v>23</v>
      </c>
      <c r="D530">
        <v>0</v>
      </c>
    </row>
    <row r="531" spans="1:4" x14ac:dyDescent="0.35">
      <c r="A531" t="s">
        <v>8</v>
      </c>
      <c r="B531" t="s">
        <v>4</v>
      </c>
      <c r="C531" t="s">
        <v>23</v>
      </c>
      <c r="D531">
        <v>0</v>
      </c>
    </row>
    <row r="532" spans="1:4" x14ac:dyDescent="0.35">
      <c r="A532" t="s">
        <v>9</v>
      </c>
      <c r="B532" t="s">
        <v>4</v>
      </c>
      <c r="C532" t="s">
        <v>23</v>
      </c>
      <c r="D532">
        <v>1.7404361637484728E-2</v>
      </c>
    </row>
    <row r="533" spans="1:4" x14ac:dyDescent="0.35">
      <c r="A533" t="s">
        <v>10</v>
      </c>
      <c r="B533" t="s">
        <v>4</v>
      </c>
      <c r="C533" t="s">
        <v>23</v>
      </c>
      <c r="D533">
        <v>7.5391564101314382E-2</v>
      </c>
    </row>
    <row r="534" spans="1:4" x14ac:dyDescent="0.35">
      <c r="A534" t="s">
        <v>11</v>
      </c>
      <c r="B534" t="s">
        <v>4</v>
      </c>
      <c r="C534" t="s">
        <v>23</v>
      </c>
      <c r="D534">
        <v>0</v>
      </c>
    </row>
    <row r="535" spans="1:4" x14ac:dyDescent="0.35">
      <c r="A535" t="s">
        <v>12</v>
      </c>
      <c r="B535" t="s">
        <v>4</v>
      </c>
      <c r="C535" t="s">
        <v>23</v>
      </c>
      <c r="D535">
        <v>0</v>
      </c>
    </row>
    <row r="536" spans="1:4" x14ac:dyDescent="0.35">
      <c r="A536" t="s">
        <v>13</v>
      </c>
      <c r="B536" t="s">
        <v>4</v>
      </c>
      <c r="C536" t="s">
        <v>23</v>
      </c>
      <c r="D536">
        <v>2.9972487740095182</v>
      </c>
    </row>
    <row r="537" spans="1:4" x14ac:dyDescent="0.35">
      <c r="A537" t="s">
        <v>14</v>
      </c>
      <c r="B537" t="s">
        <v>4</v>
      </c>
      <c r="C537" t="s">
        <v>23</v>
      </c>
      <c r="D537">
        <v>4016.5551319311203</v>
      </c>
    </row>
    <row r="538" spans="1:4" x14ac:dyDescent="0.35">
      <c r="A538" t="s">
        <v>15</v>
      </c>
      <c r="B538" t="s">
        <v>4</v>
      </c>
      <c r="C538" t="s">
        <v>23</v>
      </c>
      <c r="D538">
        <v>3.1001256680565077</v>
      </c>
    </row>
    <row r="539" spans="1:4" x14ac:dyDescent="0.35">
      <c r="A539" t="s">
        <v>16</v>
      </c>
      <c r="B539" t="s">
        <v>4</v>
      </c>
      <c r="C539" t="s">
        <v>23</v>
      </c>
      <c r="D539">
        <v>0.52264618951276365</v>
      </c>
    </row>
    <row r="540" spans="1:4" x14ac:dyDescent="0.35">
      <c r="A540" t="s">
        <v>17</v>
      </c>
      <c r="B540" t="s">
        <v>4</v>
      </c>
      <c r="C540" t="s">
        <v>23</v>
      </c>
      <c r="D540">
        <v>0</v>
      </c>
    </row>
    <row r="541" spans="1:4" x14ac:dyDescent="0.35">
      <c r="A541" t="s">
        <v>18</v>
      </c>
      <c r="B541" t="s">
        <v>4</v>
      </c>
      <c r="C541" t="s">
        <v>23</v>
      </c>
      <c r="D541">
        <v>8.5716108745720413E-5</v>
      </c>
    </row>
    <row r="542" spans="1:4" x14ac:dyDescent="0.35">
      <c r="A542" t="s">
        <v>19</v>
      </c>
      <c r="B542" t="s">
        <v>4</v>
      </c>
      <c r="C542" t="s">
        <v>23</v>
      </c>
      <c r="D542">
        <v>0.92136914638440837</v>
      </c>
    </row>
    <row r="543" spans="1:4" x14ac:dyDescent="0.35">
      <c r="A543" t="s">
        <v>20</v>
      </c>
      <c r="B543" t="s">
        <v>4</v>
      </c>
      <c r="C543" t="s">
        <v>23</v>
      </c>
      <c r="D543">
        <v>16.135381361312156</v>
      </c>
    </row>
    <row r="544" spans="1:4" x14ac:dyDescent="0.35">
      <c r="A544" t="s">
        <v>21</v>
      </c>
      <c r="B544" t="s">
        <v>4</v>
      </c>
      <c r="C544" t="s">
        <v>23</v>
      </c>
      <c r="D544">
        <v>0.42693771550652182</v>
      </c>
    </row>
    <row r="545" spans="1:4" x14ac:dyDescent="0.35">
      <c r="A545" t="s">
        <v>22</v>
      </c>
      <c r="B545" t="s">
        <v>4</v>
      </c>
      <c r="C545" t="s">
        <v>23</v>
      </c>
      <c r="D545">
        <v>54.259047991108972</v>
      </c>
    </row>
    <row r="546" spans="1:4" x14ac:dyDescent="0.35">
      <c r="A546" t="s">
        <v>23</v>
      </c>
      <c r="B546" t="s">
        <v>4</v>
      </c>
      <c r="C546" t="s">
        <v>23</v>
      </c>
      <c r="D546">
        <v>385.24378281515123</v>
      </c>
    </row>
    <row r="547" spans="1:4" x14ac:dyDescent="0.35">
      <c r="A547" t="s">
        <v>24</v>
      </c>
      <c r="B547" t="s">
        <v>4</v>
      </c>
      <c r="C547" t="s">
        <v>23</v>
      </c>
      <c r="D547">
        <v>248.74028427057394</v>
      </c>
    </row>
    <row r="548" spans="1:4" x14ac:dyDescent="0.35">
      <c r="A548" t="s">
        <v>25</v>
      </c>
      <c r="B548" t="s">
        <v>4</v>
      </c>
      <c r="C548" t="s">
        <v>23</v>
      </c>
      <c r="D548">
        <v>65.803008445562511</v>
      </c>
    </row>
    <row r="549" spans="1:4" x14ac:dyDescent="0.35">
      <c r="A549" t="s">
        <v>26</v>
      </c>
      <c r="B549" t="s">
        <v>4</v>
      </c>
      <c r="C549" t="s">
        <v>23</v>
      </c>
      <c r="D549">
        <v>16.030822203187665</v>
      </c>
    </row>
    <row r="550" spans="1:4" x14ac:dyDescent="0.35">
      <c r="A550" t="s">
        <v>27</v>
      </c>
      <c r="B550" t="s">
        <v>4</v>
      </c>
      <c r="C550" t="s">
        <v>23</v>
      </c>
      <c r="D550">
        <v>184.39658668334886</v>
      </c>
    </row>
    <row r="551" spans="1:4" x14ac:dyDescent="0.35">
      <c r="A551" t="s">
        <v>28</v>
      </c>
      <c r="B551" t="s">
        <v>4</v>
      </c>
      <c r="C551" t="s">
        <v>23</v>
      </c>
      <c r="D551">
        <v>0</v>
      </c>
    </row>
    <row r="552" spans="1:4" x14ac:dyDescent="0.35">
      <c r="A552" t="s">
        <v>29</v>
      </c>
      <c r="B552" t="s">
        <v>4</v>
      </c>
      <c r="C552" t="s">
        <v>23</v>
      </c>
      <c r="D552">
        <v>3.6153236740479118</v>
      </c>
    </row>
    <row r="553" spans="1:4" x14ac:dyDescent="0.35">
      <c r="A553" t="s">
        <v>30</v>
      </c>
      <c r="B553" t="s">
        <v>4</v>
      </c>
      <c r="C553" t="s">
        <v>23</v>
      </c>
      <c r="D553">
        <v>2.1159795671330683</v>
      </c>
    </row>
    <row r="554" spans="1:4" x14ac:dyDescent="0.35">
      <c r="A554" t="s">
        <v>31</v>
      </c>
      <c r="B554" t="s">
        <v>4</v>
      </c>
      <c r="C554" t="s">
        <v>23</v>
      </c>
      <c r="D554">
        <v>54.089444657386217</v>
      </c>
    </row>
    <row r="555" spans="1:4" x14ac:dyDescent="0.35">
      <c r="A555" t="s">
        <v>32</v>
      </c>
      <c r="B555" t="s">
        <v>4</v>
      </c>
      <c r="C555" t="s">
        <v>23</v>
      </c>
      <c r="D555">
        <v>662.56131885602258</v>
      </c>
    </row>
    <row r="556" spans="1:4" x14ac:dyDescent="0.35">
      <c r="A556" t="s">
        <v>33</v>
      </c>
      <c r="B556" t="s">
        <v>4</v>
      </c>
      <c r="C556" t="s">
        <v>23</v>
      </c>
      <c r="D556">
        <v>96.530966964134876</v>
      </c>
    </row>
    <row r="557" spans="1:4" x14ac:dyDescent="0.35">
      <c r="A557" t="s">
        <v>34</v>
      </c>
      <c r="B557" t="s">
        <v>4</v>
      </c>
      <c r="C557" t="s">
        <v>23</v>
      </c>
      <c r="D557">
        <v>59.054243576680953</v>
      </c>
    </row>
    <row r="558" spans="1:4" x14ac:dyDescent="0.35">
      <c r="A558" t="s">
        <v>35</v>
      </c>
      <c r="B558" t="s">
        <v>4</v>
      </c>
      <c r="C558" t="s">
        <v>23</v>
      </c>
      <c r="D558">
        <v>240.17029532796116</v>
      </c>
    </row>
    <row r="559" spans="1:4" x14ac:dyDescent="0.35">
      <c r="A559" t="s">
        <v>36</v>
      </c>
      <c r="B559" t="s">
        <v>4</v>
      </c>
      <c r="C559" t="s">
        <v>23</v>
      </c>
      <c r="D559">
        <v>106.98132470197824</v>
      </c>
    </row>
    <row r="560" spans="1:4" x14ac:dyDescent="0.35">
      <c r="A560" t="s">
        <v>37</v>
      </c>
      <c r="B560" t="s">
        <v>4</v>
      </c>
      <c r="C560" t="s">
        <v>23</v>
      </c>
      <c r="D560">
        <v>0.178158709874671</v>
      </c>
    </row>
    <row r="561" spans="1:4" x14ac:dyDescent="0.35">
      <c r="A561" t="s">
        <v>38</v>
      </c>
      <c r="B561" t="s">
        <v>4</v>
      </c>
      <c r="C561" t="s">
        <v>23</v>
      </c>
      <c r="D561">
        <v>14.883793089443742</v>
      </c>
    </row>
    <row r="562" spans="1:4" x14ac:dyDescent="0.35">
      <c r="A562" t="s">
        <v>39</v>
      </c>
      <c r="B562" t="s">
        <v>4</v>
      </c>
      <c r="C562" t="s">
        <v>23</v>
      </c>
      <c r="D562">
        <v>0</v>
      </c>
    </row>
    <row r="563" spans="1:4" x14ac:dyDescent="0.35">
      <c r="A563" t="s">
        <v>7</v>
      </c>
      <c r="B563" t="s">
        <v>4</v>
      </c>
      <c r="C563" t="s">
        <v>24</v>
      </c>
      <c r="D563">
        <v>0</v>
      </c>
    </row>
    <row r="564" spans="1:4" x14ac:dyDescent="0.35">
      <c r="A564" t="s">
        <v>8</v>
      </c>
      <c r="B564" t="s">
        <v>4</v>
      </c>
      <c r="C564" t="s">
        <v>24</v>
      </c>
      <c r="D564">
        <v>21.60535342772555</v>
      </c>
    </row>
    <row r="565" spans="1:4" x14ac:dyDescent="0.35">
      <c r="A565" t="s">
        <v>9</v>
      </c>
      <c r="B565" t="s">
        <v>4</v>
      </c>
      <c r="C565" t="s">
        <v>24</v>
      </c>
      <c r="D565">
        <v>0.32302092732687226</v>
      </c>
    </row>
    <row r="566" spans="1:4" x14ac:dyDescent="0.35">
      <c r="A566" t="s">
        <v>10</v>
      </c>
      <c r="B566" t="s">
        <v>4</v>
      </c>
      <c r="C566" t="s">
        <v>24</v>
      </c>
      <c r="D566">
        <v>15.70351888717715</v>
      </c>
    </row>
    <row r="567" spans="1:4" x14ac:dyDescent="0.35">
      <c r="A567" t="s">
        <v>11</v>
      </c>
      <c r="B567" t="s">
        <v>4</v>
      </c>
      <c r="C567" t="s">
        <v>24</v>
      </c>
      <c r="D567">
        <v>0.1810675845107336</v>
      </c>
    </row>
    <row r="568" spans="1:4" x14ac:dyDescent="0.35">
      <c r="A568" t="s">
        <v>12</v>
      </c>
      <c r="B568" t="s">
        <v>4</v>
      </c>
      <c r="C568" t="s">
        <v>24</v>
      </c>
      <c r="D568">
        <v>651.64843647194823</v>
      </c>
    </row>
    <row r="569" spans="1:4" x14ac:dyDescent="0.35">
      <c r="A569" t="s">
        <v>13</v>
      </c>
      <c r="B569" t="s">
        <v>4</v>
      </c>
      <c r="C569" t="s">
        <v>24</v>
      </c>
      <c r="D569">
        <v>113.30062221422827</v>
      </c>
    </row>
    <row r="570" spans="1:4" x14ac:dyDescent="0.35">
      <c r="A570" t="s">
        <v>14</v>
      </c>
      <c r="B570" t="s">
        <v>4</v>
      </c>
      <c r="C570" t="s">
        <v>24</v>
      </c>
      <c r="D570">
        <v>791.67912851735321</v>
      </c>
    </row>
    <row r="571" spans="1:4" x14ac:dyDescent="0.35">
      <c r="A571" t="s">
        <v>15</v>
      </c>
      <c r="B571" t="s">
        <v>4</v>
      </c>
      <c r="C571" t="s">
        <v>24</v>
      </c>
      <c r="D571">
        <v>250.23394903749445</v>
      </c>
    </row>
    <row r="572" spans="1:4" x14ac:dyDescent="0.35">
      <c r="A572" t="s">
        <v>16</v>
      </c>
      <c r="B572" t="s">
        <v>4</v>
      </c>
      <c r="C572" t="s">
        <v>24</v>
      </c>
      <c r="D572">
        <v>81.824116899553459</v>
      </c>
    </row>
    <row r="573" spans="1:4" x14ac:dyDescent="0.35">
      <c r="A573" t="s">
        <v>17</v>
      </c>
      <c r="B573" t="s">
        <v>4</v>
      </c>
      <c r="C573" t="s">
        <v>24</v>
      </c>
      <c r="D573">
        <v>3677.4222092898235</v>
      </c>
    </row>
    <row r="574" spans="1:4" x14ac:dyDescent="0.35">
      <c r="A574" t="s">
        <v>18</v>
      </c>
      <c r="B574" t="s">
        <v>4</v>
      </c>
      <c r="C574" t="s">
        <v>24</v>
      </c>
      <c r="D574">
        <v>1504.7581502418111</v>
      </c>
    </row>
    <row r="575" spans="1:4" x14ac:dyDescent="0.35">
      <c r="A575" t="s">
        <v>19</v>
      </c>
      <c r="B575" t="s">
        <v>4</v>
      </c>
      <c r="C575" t="s">
        <v>24</v>
      </c>
      <c r="D575">
        <v>712.65759401153264</v>
      </c>
    </row>
    <row r="576" spans="1:4" x14ac:dyDescent="0.35">
      <c r="A576" t="s">
        <v>20</v>
      </c>
      <c r="B576" t="s">
        <v>4</v>
      </c>
      <c r="C576" t="s">
        <v>24</v>
      </c>
      <c r="D576">
        <v>212.40359951299303</v>
      </c>
    </row>
    <row r="577" spans="1:4" x14ac:dyDescent="0.35">
      <c r="A577" t="s">
        <v>21</v>
      </c>
      <c r="B577" t="s">
        <v>4</v>
      </c>
      <c r="C577" t="s">
        <v>24</v>
      </c>
      <c r="D577">
        <v>20.212788845276172</v>
      </c>
    </row>
    <row r="578" spans="1:4" x14ac:dyDescent="0.35">
      <c r="A578" t="s">
        <v>22</v>
      </c>
      <c r="B578" t="s">
        <v>4</v>
      </c>
      <c r="C578" t="s">
        <v>24</v>
      </c>
      <c r="D578">
        <v>81.680431705009596</v>
      </c>
    </row>
    <row r="579" spans="1:4" x14ac:dyDescent="0.35">
      <c r="A579" t="s">
        <v>23</v>
      </c>
      <c r="B579" t="s">
        <v>4</v>
      </c>
      <c r="C579" t="s">
        <v>24</v>
      </c>
      <c r="D579">
        <v>730.72770630518642</v>
      </c>
    </row>
    <row r="580" spans="1:4" x14ac:dyDescent="0.35">
      <c r="A580" t="s">
        <v>24</v>
      </c>
      <c r="B580" t="s">
        <v>4</v>
      </c>
      <c r="C580" t="s">
        <v>24</v>
      </c>
      <c r="D580">
        <v>13898.490116471761</v>
      </c>
    </row>
    <row r="581" spans="1:4" x14ac:dyDescent="0.35">
      <c r="A581" t="s">
        <v>25</v>
      </c>
      <c r="B581" t="s">
        <v>4</v>
      </c>
      <c r="C581" t="s">
        <v>24</v>
      </c>
      <c r="D581">
        <v>7962.8262427352702</v>
      </c>
    </row>
    <row r="582" spans="1:4" x14ac:dyDescent="0.35">
      <c r="A582" t="s">
        <v>26</v>
      </c>
      <c r="B582" t="s">
        <v>4</v>
      </c>
      <c r="C582" t="s">
        <v>24</v>
      </c>
      <c r="D582">
        <v>0</v>
      </c>
    </row>
    <row r="583" spans="1:4" x14ac:dyDescent="0.35">
      <c r="A583" t="s">
        <v>27</v>
      </c>
      <c r="B583" t="s">
        <v>4</v>
      </c>
      <c r="C583" t="s">
        <v>24</v>
      </c>
      <c r="D583">
        <v>28.0365079527534</v>
      </c>
    </row>
    <row r="584" spans="1:4" x14ac:dyDescent="0.35">
      <c r="A584" t="s">
        <v>28</v>
      </c>
      <c r="B584" t="s">
        <v>4</v>
      </c>
      <c r="C584" t="s">
        <v>24</v>
      </c>
      <c r="D584">
        <v>0</v>
      </c>
    </row>
    <row r="585" spans="1:4" x14ac:dyDescent="0.35">
      <c r="A585" t="s">
        <v>29</v>
      </c>
      <c r="B585" t="s">
        <v>4</v>
      </c>
      <c r="C585" t="s">
        <v>24</v>
      </c>
      <c r="D585">
        <v>496.7219296491308</v>
      </c>
    </row>
    <row r="586" spans="1:4" x14ac:dyDescent="0.35">
      <c r="A586" t="s">
        <v>30</v>
      </c>
      <c r="B586" t="s">
        <v>4</v>
      </c>
      <c r="C586" t="s">
        <v>24</v>
      </c>
      <c r="D586">
        <v>212.93154791862946</v>
      </c>
    </row>
    <row r="587" spans="1:4" x14ac:dyDescent="0.35">
      <c r="A587" t="s">
        <v>31</v>
      </c>
      <c r="B587" t="s">
        <v>4</v>
      </c>
      <c r="C587" t="s">
        <v>24</v>
      </c>
      <c r="D587">
        <v>137.88329676546169</v>
      </c>
    </row>
    <row r="588" spans="1:4" x14ac:dyDescent="0.35">
      <c r="A588" t="s">
        <v>32</v>
      </c>
      <c r="B588" t="s">
        <v>4</v>
      </c>
      <c r="C588" t="s">
        <v>24</v>
      </c>
      <c r="D588">
        <v>2733.544988369702</v>
      </c>
    </row>
    <row r="589" spans="1:4" x14ac:dyDescent="0.35">
      <c r="A589" t="s">
        <v>33</v>
      </c>
      <c r="B589" t="s">
        <v>4</v>
      </c>
      <c r="C589" t="s">
        <v>24</v>
      </c>
      <c r="D589">
        <v>493.5985452265997</v>
      </c>
    </row>
    <row r="590" spans="1:4" x14ac:dyDescent="0.35">
      <c r="A590" t="s">
        <v>34</v>
      </c>
      <c r="B590" t="s">
        <v>4</v>
      </c>
      <c r="C590" t="s">
        <v>24</v>
      </c>
      <c r="D590">
        <v>3072.226417590869</v>
      </c>
    </row>
    <row r="591" spans="1:4" x14ac:dyDescent="0.35">
      <c r="A591" t="s">
        <v>35</v>
      </c>
      <c r="B591" t="s">
        <v>4</v>
      </c>
      <c r="C591" t="s">
        <v>24</v>
      </c>
      <c r="D591">
        <v>760.45655892522825</v>
      </c>
    </row>
    <row r="592" spans="1:4" x14ac:dyDescent="0.35">
      <c r="A592" t="s">
        <v>36</v>
      </c>
      <c r="B592" t="s">
        <v>4</v>
      </c>
      <c r="C592" t="s">
        <v>24</v>
      </c>
      <c r="D592">
        <v>52.411056758630153</v>
      </c>
    </row>
    <row r="593" spans="1:4" x14ac:dyDescent="0.35">
      <c r="A593" t="s">
        <v>37</v>
      </c>
      <c r="B593" t="s">
        <v>4</v>
      </c>
      <c r="C593" t="s">
        <v>24</v>
      </c>
      <c r="D593">
        <v>23.468136794018054</v>
      </c>
    </row>
    <row r="594" spans="1:4" x14ac:dyDescent="0.35">
      <c r="A594" t="s">
        <v>38</v>
      </c>
      <c r="B594" t="s">
        <v>4</v>
      </c>
      <c r="C594" t="s">
        <v>24</v>
      </c>
      <c r="D594">
        <v>17.31892787774116</v>
      </c>
    </row>
    <row r="595" spans="1:4" x14ac:dyDescent="0.35">
      <c r="A595" t="s">
        <v>39</v>
      </c>
      <c r="B595" t="s">
        <v>4</v>
      </c>
      <c r="C595" t="s">
        <v>24</v>
      </c>
      <c r="D595">
        <v>0</v>
      </c>
    </row>
    <row r="596" spans="1:4" x14ac:dyDescent="0.35">
      <c r="A596" t="s">
        <v>7</v>
      </c>
      <c r="B596" t="s">
        <v>4</v>
      </c>
      <c r="C596" t="s">
        <v>25</v>
      </c>
      <c r="D596">
        <v>0</v>
      </c>
    </row>
    <row r="597" spans="1:4" x14ac:dyDescent="0.35">
      <c r="A597" t="s">
        <v>8</v>
      </c>
      <c r="B597" t="s">
        <v>4</v>
      </c>
      <c r="C597" t="s">
        <v>25</v>
      </c>
      <c r="D597">
        <v>4.6081034438412409</v>
      </c>
    </row>
    <row r="598" spans="1:4" x14ac:dyDescent="0.35">
      <c r="A598" t="s">
        <v>9</v>
      </c>
      <c r="B598" t="s">
        <v>4</v>
      </c>
      <c r="C598" t="s">
        <v>25</v>
      </c>
      <c r="D598">
        <v>15.955352230604385</v>
      </c>
    </row>
    <row r="599" spans="1:4" x14ac:dyDescent="0.35">
      <c r="A599" t="s">
        <v>10</v>
      </c>
      <c r="B599" t="s">
        <v>4</v>
      </c>
      <c r="C599" t="s">
        <v>25</v>
      </c>
      <c r="D599">
        <v>17.540809896243989</v>
      </c>
    </row>
    <row r="600" spans="1:4" x14ac:dyDescent="0.35">
      <c r="A600" t="s">
        <v>11</v>
      </c>
      <c r="B600" t="s">
        <v>4</v>
      </c>
      <c r="C600" t="s">
        <v>25</v>
      </c>
      <c r="D600">
        <v>0</v>
      </c>
    </row>
    <row r="601" spans="1:4" x14ac:dyDescent="0.35">
      <c r="A601" t="s">
        <v>12</v>
      </c>
      <c r="B601" t="s">
        <v>4</v>
      </c>
      <c r="C601" t="s">
        <v>25</v>
      </c>
      <c r="D601">
        <v>4.6164277340581164</v>
      </c>
    </row>
    <row r="602" spans="1:4" x14ac:dyDescent="0.35">
      <c r="A602" t="s">
        <v>13</v>
      </c>
      <c r="B602" t="s">
        <v>4</v>
      </c>
      <c r="C602" t="s">
        <v>25</v>
      </c>
      <c r="D602">
        <v>533.31271695088867</v>
      </c>
    </row>
    <row r="603" spans="1:4" x14ac:dyDescent="0.35">
      <c r="A603" t="s">
        <v>14</v>
      </c>
      <c r="B603" t="s">
        <v>4</v>
      </c>
      <c r="C603" t="s">
        <v>25</v>
      </c>
      <c r="D603">
        <v>392.80448872762543</v>
      </c>
    </row>
    <row r="604" spans="1:4" x14ac:dyDescent="0.35">
      <c r="A604" t="s">
        <v>15</v>
      </c>
      <c r="B604" t="s">
        <v>4</v>
      </c>
      <c r="C604" t="s">
        <v>25</v>
      </c>
      <c r="D604">
        <v>24.16131638270214</v>
      </c>
    </row>
    <row r="605" spans="1:4" x14ac:dyDescent="0.35">
      <c r="A605" t="s">
        <v>16</v>
      </c>
      <c r="B605" t="s">
        <v>4</v>
      </c>
      <c r="C605" t="s">
        <v>25</v>
      </c>
      <c r="D605">
        <v>204.53341047580153</v>
      </c>
    </row>
    <row r="606" spans="1:4" x14ac:dyDescent="0.35">
      <c r="A606" t="s">
        <v>17</v>
      </c>
      <c r="B606" t="s">
        <v>4</v>
      </c>
      <c r="C606" t="s">
        <v>25</v>
      </c>
      <c r="D606">
        <v>0</v>
      </c>
    </row>
    <row r="607" spans="1:4" x14ac:dyDescent="0.35">
      <c r="A607" t="s">
        <v>18</v>
      </c>
      <c r="B607" t="s">
        <v>4</v>
      </c>
      <c r="C607" t="s">
        <v>25</v>
      </c>
      <c r="D607">
        <v>33.589092551184926</v>
      </c>
    </row>
    <row r="608" spans="1:4" x14ac:dyDescent="0.35">
      <c r="A608" t="s">
        <v>19</v>
      </c>
      <c r="B608" t="s">
        <v>4</v>
      </c>
      <c r="C608" t="s">
        <v>25</v>
      </c>
      <c r="D608">
        <v>20.972135115998366</v>
      </c>
    </row>
    <row r="609" spans="1:4" x14ac:dyDescent="0.35">
      <c r="A609" t="s">
        <v>20</v>
      </c>
      <c r="B609" t="s">
        <v>4</v>
      </c>
      <c r="C609" t="s">
        <v>25</v>
      </c>
      <c r="D609">
        <v>0.96281562793275899</v>
      </c>
    </row>
    <row r="610" spans="1:4" x14ac:dyDescent="0.35">
      <c r="A610" t="s">
        <v>21</v>
      </c>
      <c r="B610" t="s">
        <v>4</v>
      </c>
      <c r="C610" t="s">
        <v>25</v>
      </c>
      <c r="D610">
        <v>12.220031732289783</v>
      </c>
    </row>
    <row r="611" spans="1:4" x14ac:dyDescent="0.35">
      <c r="A611" t="s">
        <v>22</v>
      </c>
      <c r="B611" t="s">
        <v>4</v>
      </c>
      <c r="C611" t="s">
        <v>25</v>
      </c>
      <c r="D611">
        <v>68.857600872787202</v>
      </c>
    </row>
    <row r="612" spans="1:4" x14ac:dyDescent="0.35">
      <c r="A612" t="s">
        <v>23</v>
      </c>
      <c r="B612" t="s">
        <v>4</v>
      </c>
      <c r="C612" t="s">
        <v>25</v>
      </c>
      <c r="D612">
        <v>6429.5957618865323</v>
      </c>
    </row>
    <row r="613" spans="1:4" x14ac:dyDescent="0.35">
      <c r="A613" t="s">
        <v>24</v>
      </c>
      <c r="B613" t="s">
        <v>4</v>
      </c>
      <c r="C613" t="s">
        <v>25</v>
      </c>
      <c r="D613">
        <v>2621.6955005026603</v>
      </c>
    </row>
    <row r="614" spans="1:4" x14ac:dyDescent="0.35">
      <c r="A614" t="s">
        <v>25</v>
      </c>
      <c r="B614" t="s">
        <v>4</v>
      </c>
      <c r="C614" t="s">
        <v>25</v>
      </c>
      <c r="D614">
        <v>11913.115156168615</v>
      </c>
    </row>
    <row r="615" spans="1:4" x14ac:dyDescent="0.35">
      <c r="A615" t="s">
        <v>26</v>
      </c>
      <c r="B615" t="s">
        <v>4</v>
      </c>
      <c r="C615" t="s">
        <v>25</v>
      </c>
      <c r="D615">
        <v>0</v>
      </c>
    </row>
    <row r="616" spans="1:4" x14ac:dyDescent="0.35">
      <c r="A616" t="s">
        <v>27</v>
      </c>
      <c r="B616" t="s">
        <v>4</v>
      </c>
      <c r="C616" t="s">
        <v>25</v>
      </c>
      <c r="D616">
        <v>1916.5625897754965</v>
      </c>
    </row>
    <row r="617" spans="1:4" x14ac:dyDescent="0.35">
      <c r="A617" t="s">
        <v>28</v>
      </c>
      <c r="B617" t="s">
        <v>4</v>
      </c>
      <c r="C617" t="s">
        <v>25</v>
      </c>
      <c r="D617">
        <v>930.87876667867101</v>
      </c>
    </row>
    <row r="618" spans="1:4" x14ac:dyDescent="0.35">
      <c r="A618" t="s">
        <v>29</v>
      </c>
      <c r="B618" t="s">
        <v>4</v>
      </c>
      <c r="C618" t="s">
        <v>25</v>
      </c>
      <c r="D618">
        <v>4227.8024789332676</v>
      </c>
    </row>
    <row r="619" spans="1:4" x14ac:dyDescent="0.35">
      <c r="A619" t="s">
        <v>30</v>
      </c>
      <c r="B619" t="s">
        <v>4</v>
      </c>
      <c r="C619" t="s">
        <v>25</v>
      </c>
      <c r="D619">
        <v>15824.758350475306</v>
      </c>
    </row>
    <row r="620" spans="1:4" x14ac:dyDescent="0.35">
      <c r="A620" t="s">
        <v>31</v>
      </c>
      <c r="B620" t="s">
        <v>4</v>
      </c>
      <c r="C620" t="s">
        <v>25</v>
      </c>
      <c r="D620">
        <v>1418.6310542493443</v>
      </c>
    </row>
    <row r="621" spans="1:4" x14ac:dyDescent="0.35">
      <c r="A621" t="s">
        <v>32</v>
      </c>
      <c r="B621" t="s">
        <v>4</v>
      </c>
      <c r="C621" t="s">
        <v>25</v>
      </c>
      <c r="D621">
        <v>10015.93982969195</v>
      </c>
    </row>
    <row r="622" spans="1:4" x14ac:dyDescent="0.35">
      <c r="A622" t="s">
        <v>33</v>
      </c>
      <c r="B622" t="s">
        <v>4</v>
      </c>
      <c r="C622" t="s">
        <v>25</v>
      </c>
      <c r="D622">
        <v>3533.5702874100384</v>
      </c>
    </row>
    <row r="623" spans="1:4" x14ac:dyDescent="0.35">
      <c r="A623" t="s">
        <v>34</v>
      </c>
      <c r="B623" t="s">
        <v>4</v>
      </c>
      <c r="C623" t="s">
        <v>25</v>
      </c>
      <c r="D623">
        <v>16967.059180718017</v>
      </c>
    </row>
    <row r="624" spans="1:4" x14ac:dyDescent="0.35">
      <c r="A624" t="s">
        <v>35</v>
      </c>
      <c r="B624" t="s">
        <v>4</v>
      </c>
      <c r="C624" t="s">
        <v>25</v>
      </c>
      <c r="D624">
        <v>1889.2771423366783</v>
      </c>
    </row>
    <row r="625" spans="1:4" x14ac:dyDescent="0.35">
      <c r="A625" t="s">
        <v>36</v>
      </c>
      <c r="B625" t="s">
        <v>4</v>
      </c>
      <c r="C625" t="s">
        <v>25</v>
      </c>
      <c r="D625">
        <v>0</v>
      </c>
    </row>
    <row r="626" spans="1:4" x14ac:dyDescent="0.35">
      <c r="A626" t="s">
        <v>37</v>
      </c>
      <c r="B626" t="s">
        <v>4</v>
      </c>
      <c r="C626" t="s">
        <v>25</v>
      </c>
      <c r="D626">
        <v>64.471945151789797</v>
      </c>
    </row>
    <row r="627" spans="1:4" x14ac:dyDescent="0.35">
      <c r="A627" t="s">
        <v>38</v>
      </c>
      <c r="B627" t="s">
        <v>4</v>
      </c>
      <c r="C627" t="s">
        <v>25</v>
      </c>
      <c r="D627">
        <v>257.43216362997106</v>
      </c>
    </row>
    <row r="628" spans="1:4" x14ac:dyDescent="0.35">
      <c r="A628" t="s">
        <v>39</v>
      </c>
      <c r="B628" t="s">
        <v>4</v>
      </c>
      <c r="C628" t="s">
        <v>25</v>
      </c>
      <c r="D628">
        <v>0</v>
      </c>
    </row>
    <row r="629" spans="1:4" x14ac:dyDescent="0.35">
      <c r="A629" t="s">
        <v>7</v>
      </c>
      <c r="B629" t="s">
        <v>4</v>
      </c>
      <c r="C629" t="s">
        <v>26</v>
      </c>
      <c r="D629">
        <v>111.37752048341788</v>
      </c>
    </row>
    <row r="630" spans="1:4" x14ac:dyDescent="0.35">
      <c r="A630" t="s">
        <v>8</v>
      </c>
      <c r="B630" t="s">
        <v>4</v>
      </c>
      <c r="C630" t="s">
        <v>26</v>
      </c>
      <c r="D630">
        <v>0</v>
      </c>
    </row>
    <row r="631" spans="1:4" x14ac:dyDescent="0.35">
      <c r="A631" t="s">
        <v>9</v>
      </c>
      <c r="B631" t="s">
        <v>4</v>
      </c>
      <c r="C631" t="s">
        <v>26</v>
      </c>
      <c r="D631">
        <v>3282.6374133502004</v>
      </c>
    </row>
    <row r="632" spans="1:4" x14ac:dyDescent="0.35">
      <c r="A632" t="s">
        <v>10</v>
      </c>
      <c r="B632" t="s">
        <v>4</v>
      </c>
      <c r="C632" t="s">
        <v>26</v>
      </c>
      <c r="D632">
        <v>62.788310793339427</v>
      </c>
    </row>
    <row r="633" spans="1:4" x14ac:dyDescent="0.35">
      <c r="A633" t="s">
        <v>11</v>
      </c>
      <c r="B633" t="s">
        <v>4</v>
      </c>
      <c r="C633" t="s">
        <v>26</v>
      </c>
      <c r="D633">
        <v>6.3020853948650257E-2</v>
      </c>
    </row>
    <row r="634" spans="1:4" x14ac:dyDescent="0.35">
      <c r="A634" t="s">
        <v>12</v>
      </c>
      <c r="B634" t="s">
        <v>4</v>
      </c>
      <c r="C634" t="s">
        <v>26</v>
      </c>
      <c r="D634">
        <v>0</v>
      </c>
    </row>
    <row r="635" spans="1:4" x14ac:dyDescent="0.35">
      <c r="A635" t="s">
        <v>13</v>
      </c>
      <c r="B635" t="s">
        <v>4</v>
      </c>
      <c r="C635" t="s">
        <v>26</v>
      </c>
      <c r="D635">
        <v>178.6708986762545</v>
      </c>
    </row>
    <row r="636" spans="1:4" x14ac:dyDescent="0.35">
      <c r="A636" t="s">
        <v>14</v>
      </c>
      <c r="B636" t="s">
        <v>4</v>
      </c>
      <c r="C636" t="s">
        <v>26</v>
      </c>
      <c r="D636">
        <v>65.40041735951317</v>
      </c>
    </row>
    <row r="637" spans="1:4" x14ac:dyDescent="0.35">
      <c r="A637" t="s">
        <v>15</v>
      </c>
      <c r="B637" t="s">
        <v>4</v>
      </c>
      <c r="C637" t="s">
        <v>26</v>
      </c>
      <c r="D637">
        <v>49.797825841346402</v>
      </c>
    </row>
    <row r="638" spans="1:4" x14ac:dyDescent="0.35">
      <c r="A638" t="s">
        <v>16</v>
      </c>
      <c r="B638" t="s">
        <v>4</v>
      </c>
      <c r="C638" t="s">
        <v>26</v>
      </c>
      <c r="D638">
        <v>66.70572864679292</v>
      </c>
    </row>
    <row r="639" spans="1:4" x14ac:dyDescent="0.35">
      <c r="A639" t="s">
        <v>17</v>
      </c>
      <c r="B639" t="s">
        <v>4</v>
      </c>
      <c r="C639" t="s">
        <v>26</v>
      </c>
      <c r="D639">
        <v>9.6455529147296097</v>
      </c>
    </row>
    <row r="640" spans="1:4" x14ac:dyDescent="0.35">
      <c r="A640" t="s">
        <v>18</v>
      </c>
      <c r="B640" t="s">
        <v>4</v>
      </c>
      <c r="C640" t="s">
        <v>26</v>
      </c>
      <c r="D640">
        <v>117.57970340980472</v>
      </c>
    </row>
    <row r="641" spans="1:4" x14ac:dyDescent="0.35">
      <c r="A641" t="s">
        <v>19</v>
      </c>
      <c r="B641" t="s">
        <v>4</v>
      </c>
      <c r="C641" t="s">
        <v>26</v>
      </c>
      <c r="D641">
        <v>0</v>
      </c>
    </row>
    <row r="642" spans="1:4" x14ac:dyDescent="0.35">
      <c r="A642" t="s">
        <v>20</v>
      </c>
      <c r="B642" t="s">
        <v>4</v>
      </c>
      <c r="C642" t="s">
        <v>26</v>
      </c>
      <c r="D642">
        <v>1.9921505568584386</v>
      </c>
    </row>
    <row r="643" spans="1:4" x14ac:dyDescent="0.35">
      <c r="A643" t="s">
        <v>21</v>
      </c>
      <c r="B643" t="s">
        <v>4</v>
      </c>
      <c r="C643" t="s">
        <v>26</v>
      </c>
      <c r="D643">
        <v>5.5734055061372505</v>
      </c>
    </row>
    <row r="644" spans="1:4" x14ac:dyDescent="0.35">
      <c r="A644" t="s">
        <v>22</v>
      </c>
      <c r="B644" t="s">
        <v>4</v>
      </c>
      <c r="C644" t="s">
        <v>26</v>
      </c>
      <c r="D644">
        <v>182.10211892303946</v>
      </c>
    </row>
    <row r="645" spans="1:4" x14ac:dyDescent="0.35">
      <c r="A645" t="s">
        <v>23</v>
      </c>
      <c r="B645" t="s">
        <v>4</v>
      </c>
      <c r="C645" t="s">
        <v>26</v>
      </c>
      <c r="D645">
        <v>2610.752722407995</v>
      </c>
    </row>
    <row r="646" spans="1:4" x14ac:dyDescent="0.35">
      <c r="A646" t="s">
        <v>24</v>
      </c>
      <c r="B646" t="s">
        <v>4</v>
      </c>
      <c r="C646" t="s">
        <v>26</v>
      </c>
      <c r="D646">
        <v>2184.0846735247619</v>
      </c>
    </row>
    <row r="647" spans="1:4" x14ac:dyDescent="0.35">
      <c r="A647" t="s">
        <v>25</v>
      </c>
      <c r="B647" t="s">
        <v>4</v>
      </c>
      <c r="C647" t="s">
        <v>26</v>
      </c>
      <c r="D647">
        <v>4196.6216738828816</v>
      </c>
    </row>
    <row r="648" spans="1:4" x14ac:dyDescent="0.35">
      <c r="A648" t="s">
        <v>26</v>
      </c>
      <c r="B648" t="s">
        <v>4</v>
      </c>
      <c r="C648" t="s">
        <v>26</v>
      </c>
      <c r="D648">
        <v>0</v>
      </c>
    </row>
    <row r="649" spans="1:4" x14ac:dyDescent="0.35">
      <c r="A649" t="s">
        <v>27</v>
      </c>
      <c r="B649" t="s">
        <v>4</v>
      </c>
      <c r="C649" t="s">
        <v>26</v>
      </c>
      <c r="D649">
        <v>110.12621328196465</v>
      </c>
    </row>
    <row r="650" spans="1:4" x14ac:dyDescent="0.35">
      <c r="A650" t="s">
        <v>28</v>
      </c>
      <c r="B650" t="s">
        <v>4</v>
      </c>
      <c r="C650" t="s">
        <v>26</v>
      </c>
      <c r="D650">
        <v>0</v>
      </c>
    </row>
    <row r="651" spans="1:4" x14ac:dyDescent="0.35">
      <c r="A651" t="s">
        <v>29</v>
      </c>
      <c r="B651" t="s">
        <v>4</v>
      </c>
      <c r="C651" t="s">
        <v>26</v>
      </c>
      <c r="D651">
        <v>8.1882838838576522</v>
      </c>
    </row>
    <row r="652" spans="1:4" x14ac:dyDescent="0.35">
      <c r="A652" t="s">
        <v>30</v>
      </c>
      <c r="B652" t="s">
        <v>4</v>
      </c>
      <c r="C652" t="s">
        <v>26</v>
      </c>
      <c r="D652">
        <v>154.02505232705514</v>
      </c>
    </row>
    <row r="653" spans="1:4" x14ac:dyDescent="0.35">
      <c r="A653" t="s">
        <v>31</v>
      </c>
      <c r="B653" t="s">
        <v>4</v>
      </c>
      <c r="C653" t="s">
        <v>26</v>
      </c>
      <c r="D653">
        <v>442.26757569614318</v>
      </c>
    </row>
    <row r="654" spans="1:4" x14ac:dyDescent="0.35">
      <c r="A654" t="s">
        <v>32</v>
      </c>
      <c r="B654" t="s">
        <v>4</v>
      </c>
      <c r="C654" t="s">
        <v>26</v>
      </c>
      <c r="D654">
        <v>5192.7722799010071</v>
      </c>
    </row>
    <row r="655" spans="1:4" x14ac:dyDescent="0.35">
      <c r="A655" t="s">
        <v>33</v>
      </c>
      <c r="B655" t="s">
        <v>4</v>
      </c>
      <c r="C655" t="s">
        <v>26</v>
      </c>
      <c r="D655">
        <v>717.52508194409836</v>
      </c>
    </row>
    <row r="656" spans="1:4" x14ac:dyDescent="0.35">
      <c r="A656" t="s">
        <v>34</v>
      </c>
      <c r="B656" t="s">
        <v>4</v>
      </c>
      <c r="C656" t="s">
        <v>26</v>
      </c>
      <c r="D656">
        <v>3427.5657699377884</v>
      </c>
    </row>
    <row r="657" spans="1:4" x14ac:dyDescent="0.35">
      <c r="A657" t="s">
        <v>35</v>
      </c>
      <c r="B657" t="s">
        <v>4</v>
      </c>
      <c r="C657" t="s">
        <v>26</v>
      </c>
      <c r="D657">
        <v>122.23623035866471</v>
      </c>
    </row>
    <row r="658" spans="1:4" x14ac:dyDescent="0.35">
      <c r="A658" t="s">
        <v>36</v>
      </c>
      <c r="B658" t="s">
        <v>4</v>
      </c>
      <c r="C658" t="s">
        <v>26</v>
      </c>
      <c r="D658">
        <v>0</v>
      </c>
    </row>
    <row r="659" spans="1:4" x14ac:dyDescent="0.35">
      <c r="A659" t="s">
        <v>37</v>
      </c>
      <c r="B659" t="s">
        <v>4</v>
      </c>
      <c r="C659" t="s">
        <v>26</v>
      </c>
      <c r="D659">
        <v>23.462371519624348</v>
      </c>
    </row>
    <row r="660" spans="1:4" x14ac:dyDescent="0.35">
      <c r="A660" t="s">
        <v>38</v>
      </c>
      <c r="B660" t="s">
        <v>4</v>
      </c>
      <c r="C660" t="s">
        <v>26</v>
      </c>
      <c r="D660">
        <v>334.68590973471322</v>
      </c>
    </row>
    <row r="661" spans="1:4" x14ac:dyDescent="0.35">
      <c r="A661" t="s">
        <v>39</v>
      </c>
      <c r="B661" t="s">
        <v>4</v>
      </c>
      <c r="C661" t="s">
        <v>26</v>
      </c>
      <c r="D661">
        <v>0</v>
      </c>
    </row>
    <row r="662" spans="1:4" x14ac:dyDescent="0.35">
      <c r="A662" t="s">
        <v>7</v>
      </c>
      <c r="B662" t="s">
        <v>4</v>
      </c>
      <c r="C662" t="s">
        <v>27</v>
      </c>
      <c r="D662">
        <v>0</v>
      </c>
    </row>
    <row r="663" spans="1:4" x14ac:dyDescent="0.35">
      <c r="A663" t="s">
        <v>8</v>
      </c>
      <c r="B663" t="s">
        <v>4</v>
      </c>
      <c r="C663" t="s">
        <v>27</v>
      </c>
      <c r="D663">
        <v>5.2159152734512992E-2</v>
      </c>
    </row>
    <row r="664" spans="1:4" x14ac:dyDescent="0.35">
      <c r="A664" t="s">
        <v>9</v>
      </c>
      <c r="B664" t="s">
        <v>4</v>
      </c>
      <c r="C664" t="s">
        <v>27</v>
      </c>
      <c r="D664">
        <v>2.051197836904536E-2</v>
      </c>
    </row>
    <row r="665" spans="1:4" x14ac:dyDescent="0.35">
      <c r="A665" t="s">
        <v>10</v>
      </c>
      <c r="B665" t="s">
        <v>4</v>
      </c>
      <c r="C665" t="s">
        <v>27</v>
      </c>
      <c r="D665">
        <v>1.9791560235190104</v>
      </c>
    </row>
    <row r="666" spans="1:4" x14ac:dyDescent="0.35">
      <c r="A666" t="s">
        <v>11</v>
      </c>
      <c r="B666" t="s">
        <v>4</v>
      </c>
      <c r="C666" t="s">
        <v>27</v>
      </c>
      <c r="D666">
        <v>0</v>
      </c>
    </row>
    <row r="667" spans="1:4" x14ac:dyDescent="0.35">
      <c r="A667" t="s">
        <v>12</v>
      </c>
      <c r="B667" t="s">
        <v>4</v>
      </c>
      <c r="C667" t="s">
        <v>27</v>
      </c>
      <c r="D667">
        <v>0</v>
      </c>
    </row>
    <row r="668" spans="1:4" x14ac:dyDescent="0.35">
      <c r="A668" t="s">
        <v>13</v>
      </c>
      <c r="B668" t="s">
        <v>4</v>
      </c>
      <c r="C668" t="s">
        <v>27</v>
      </c>
      <c r="D668">
        <v>32.630429590684123</v>
      </c>
    </row>
    <row r="669" spans="1:4" x14ac:dyDescent="0.35">
      <c r="A669" t="s">
        <v>14</v>
      </c>
      <c r="B669" t="s">
        <v>4</v>
      </c>
      <c r="C669" t="s">
        <v>27</v>
      </c>
      <c r="D669">
        <v>996.5450100485649</v>
      </c>
    </row>
    <row r="670" spans="1:4" x14ac:dyDescent="0.35">
      <c r="A670" t="s">
        <v>15</v>
      </c>
      <c r="B670" t="s">
        <v>4</v>
      </c>
      <c r="C670" t="s">
        <v>27</v>
      </c>
      <c r="D670">
        <v>0.89338106576145082</v>
      </c>
    </row>
    <row r="671" spans="1:4" x14ac:dyDescent="0.35">
      <c r="A671" t="s">
        <v>16</v>
      </c>
      <c r="B671" t="s">
        <v>4</v>
      </c>
      <c r="C671" t="s">
        <v>27</v>
      </c>
      <c r="D671">
        <v>61.596254760938642</v>
      </c>
    </row>
    <row r="672" spans="1:4" x14ac:dyDescent="0.35">
      <c r="A672" t="s">
        <v>17</v>
      </c>
      <c r="B672" t="s">
        <v>4</v>
      </c>
      <c r="C672" t="s">
        <v>27</v>
      </c>
      <c r="D672">
        <v>0</v>
      </c>
    </row>
    <row r="673" spans="1:4" x14ac:dyDescent="0.35">
      <c r="A673" t="s">
        <v>18</v>
      </c>
      <c r="B673" t="s">
        <v>4</v>
      </c>
      <c r="C673" t="s">
        <v>27</v>
      </c>
      <c r="D673">
        <v>0</v>
      </c>
    </row>
    <row r="674" spans="1:4" x14ac:dyDescent="0.35">
      <c r="A674" t="s">
        <v>19</v>
      </c>
      <c r="B674" t="s">
        <v>4</v>
      </c>
      <c r="C674" t="s">
        <v>27</v>
      </c>
      <c r="D674">
        <v>0</v>
      </c>
    </row>
    <row r="675" spans="1:4" x14ac:dyDescent="0.35">
      <c r="A675" t="s">
        <v>20</v>
      </c>
      <c r="B675" t="s">
        <v>4</v>
      </c>
      <c r="C675" t="s">
        <v>27</v>
      </c>
      <c r="D675">
        <v>0</v>
      </c>
    </row>
    <row r="676" spans="1:4" x14ac:dyDescent="0.35">
      <c r="A676" t="s">
        <v>21</v>
      </c>
      <c r="B676" t="s">
        <v>4</v>
      </c>
      <c r="C676" t="s">
        <v>27</v>
      </c>
      <c r="D676">
        <v>18.674236673287552</v>
      </c>
    </row>
    <row r="677" spans="1:4" x14ac:dyDescent="0.35">
      <c r="A677" t="s">
        <v>22</v>
      </c>
      <c r="B677" t="s">
        <v>4</v>
      </c>
      <c r="C677" t="s">
        <v>27</v>
      </c>
      <c r="D677">
        <v>10.173831408404068</v>
      </c>
    </row>
    <row r="678" spans="1:4" x14ac:dyDescent="0.35">
      <c r="A678" t="s">
        <v>23</v>
      </c>
      <c r="B678" t="s">
        <v>4</v>
      </c>
      <c r="C678" t="s">
        <v>27</v>
      </c>
      <c r="D678">
        <v>155.18453838959957</v>
      </c>
    </row>
    <row r="679" spans="1:4" x14ac:dyDescent="0.35">
      <c r="A679" t="s">
        <v>24</v>
      </c>
      <c r="B679" t="s">
        <v>4</v>
      </c>
      <c r="C679" t="s">
        <v>27</v>
      </c>
      <c r="D679">
        <v>255.4823448938638</v>
      </c>
    </row>
    <row r="680" spans="1:4" x14ac:dyDescent="0.35">
      <c r="A680" t="s">
        <v>25</v>
      </c>
      <c r="B680" t="s">
        <v>4</v>
      </c>
      <c r="C680" t="s">
        <v>27</v>
      </c>
      <c r="D680">
        <v>1813.7725775004958</v>
      </c>
    </row>
    <row r="681" spans="1:4" x14ac:dyDescent="0.35">
      <c r="A681" t="s">
        <v>26</v>
      </c>
      <c r="B681" t="s">
        <v>4</v>
      </c>
      <c r="C681" t="s">
        <v>27</v>
      </c>
      <c r="D681">
        <v>0</v>
      </c>
    </row>
    <row r="682" spans="1:4" x14ac:dyDescent="0.35">
      <c r="A682" t="s">
        <v>27</v>
      </c>
      <c r="B682" t="s">
        <v>4</v>
      </c>
      <c r="C682" t="s">
        <v>27</v>
      </c>
      <c r="D682">
        <v>181.91573007172914</v>
      </c>
    </row>
    <row r="683" spans="1:4" x14ac:dyDescent="0.35">
      <c r="A683" t="s">
        <v>28</v>
      </c>
      <c r="B683" t="s">
        <v>4</v>
      </c>
      <c r="C683" t="s">
        <v>27</v>
      </c>
      <c r="D683">
        <v>0</v>
      </c>
    </row>
    <row r="684" spans="1:4" x14ac:dyDescent="0.35">
      <c r="A684" t="s">
        <v>29</v>
      </c>
      <c r="B684" t="s">
        <v>4</v>
      </c>
      <c r="C684" t="s">
        <v>27</v>
      </c>
      <c r="D684">
        <v>8.9688245781405929</v>
      </c>
    </row>
    <row r="685" spans="1:4" x14ac:dyDescent="0.35">
      <c r="A685" t="s">
        <v>30</v>
      </c>
      <c r="B685" t="s">
        <v>4</v>
      </c>
      <c r="C685" t="s">
        <v>27</v>
      </c>
      <c r="D685">
        <v>161.46892354470182</v>
      </c>
    </row>
    <row r="686" spans="1:4" x14ac:dyDescent="0.35">
      <c r="A686" t="s">
        <v>31</v>
      </c>
      <c r="B686" t="s">
        <v>4</v>
      </c>
      <c r="C686" t="s">
        <v>27</v>
      </c>
      <c r="D686">
        <v>40.702065016264129</v>
      </c>
    </row>
    <row r="687" spans="1:4" x14ac:dyDescent="0.35">
      <c r="A687" t="s">
        <v>32</v>
      </c>
      <c r="B687" t="s">
        <v>4</v>
      </c>
      <c r="C687" t="s">
        <v>27</v>
      </c>
      <c r="D687">
        <v>94.679063390218971</v>
      </c>
    </row>
    <row r="688" spans="1:4" x14ac:dyDescent="0.35">
      <c r="A688" t="s">
        <v>33</v>
      </c>
      <c r="B688" t="s">
        <v>4</v>
      </c>
      <c r="C688" t="s">
        <v>27</v>
      </c>
      <c r="D688">
        <v>50.984862490905684</v>
      </c>
    </row>
    <row r="689" spans="1:4" x14ac:dyDescent="0.35">
      <c r="A689" t="s">
        <v>34</v>
      </c>
      <c r="B689" t="s">
        <v>4</v>
      </c>
      <c r="C689" t="s">
        <v>27</v>
      </c>
      <c r="D689">
        <v>1116.0573014540273</v>
      </c>
    </row>
    <row r="690" spans="1:4" x14ac:dyDescent="0.35">
      <c r="A690" t="s">
        <v>35</v>
      </c>
      <c r="B690" t="s">
        <v>4</v>
      </c>
      <c r="C690" t="s">
        <v>27</v>
      </c>
      <c r="D690">
        <v>6.1383609131303318</v>
      </c>
    </row>
    <row r="691" spans="1:4" x14ac:dyDescent="0.35">
      <c r="A691" t="s">
        <v>36</v>
      </c>
      <c r="B691" t="s">
        <v>4</v>
      </c>
      <c r="C691" t="s">
        <v>27</v>
      </c>
      <c r="D691">
        <v>0</v>
      </c>
    </row>
    <row r="692" spans="1:4" x14ac:dyDescent="0.35">
      <c r="A692" t="s">
        <v>37</v>
      </c>
      <c r="B692" t="s">
        <v>4</v>
      </c>
      <c r="C692" t="s">
        <v>27</v>
      </c>
      <c r="D692">
        <v>9.3998013055937761</v>
      </c>
    </row>
    <row r="693" spans="1:4" x14ac:dyDescent="0.35">
      <c r="A693" t="s">
        <v>38</v>
      </c>
      <c r="B693" t="s">
        <v>4</v>
      </c>
      <c r="C693" t="s">
        <v>27</v>
      </c>
      <c r="D693">
        <v>5.0271254013940503</v>
      </c>
    </row>
    <row r="694" spans="1:4" x14ac:dyDescent="0.35">
      <c r="A694" t="s">
        <v>39</v>
      </c>
      <c r="B694" t="s">
        <v>4</v>
      </c>
      <c r="C694" t="s">
        <v>27</v>
      </c>
      <c r="D694">
        <v>0</v>
      </c>
    </row>
    <row r="695" spans="1:4" x14ac:dyDescent="0.35">
      <c r="A695" t="s">
        <v>7</v>
      </c>
      <c r="B695" t="s">
        <v>4</v>
      </c>
      <c r="C695" t="s">
        <v>28</v>
      </c>
      <c r="D695">
        <v>0</v>
      </c>
    </row>
    <row r="696" spans="1:4" x14ac:dyDescent="0.35">
      <c r="A696" t="s">
        <v>8</v>
      </c>
      <c r="B696" t="s">
        <v>4</v>
      </c>
      <c r="C696" t="s">
        <v>28</v>
      </c>
      <c r="D696">
        <v>0</v>
      </c>
    </row>
    <row r="697" spans="1:4" x14ac:dyDescent="0.35">
      <c r="A697" t="s">
        <v>9</v>
      </c>
      <c r="B697" t="s">
        <v>4</v>
      </c>
      <c r="C697" t="s">
        <v>28</v>
      </c>
      <c r="D697">
        <v>0</v>
      </c>
    </row>
    <row r="698" spans="1:4" x14ac:dyDescent="0.35">
      <c r="A698" t="s">
        <v>10</v>
      </c>
      <c r="B698" t="s">
        <v>4</v>
      </c>
      <c r="C698" t="s">
        <v>28</v>
      </c>
      <c r="D698">
        <v>2.2522829578737464E-3</v>
      </c>
    </row>
    <row r="699" spans="1:4" x14ac:dyDescent="0.35">
      <c r="A699" t="s">
        <v>11</v>
      </c>
      <c r="B699" t="s">
        <v>4</v>
      </c>
      <c r="C699" t="s">
        <v>28</v>
      </c>
      <c r="D699">
        <v>0</v>
      </c>
    </row>
    <row r="700" spans="1:4" x14ac:dyDescent="0.35">
      <c r="A700" t="s">
        <v>12</v>
      </c>
      <c r="B700" t="s">
        <v>4</v>
      </c>
      <c r="C700" t="s">
        <v>28</v>
      </c>
      <c r="D700">
        <v>0</v>
      </c>
    </row>
    <row r="701" spans="1:4" x14ac:dyDescent="0.35">
      <c r="A701" t="s">
        <v>13</v>
      </c>
      <c r="B701" t="s">
        <v>4</v>
      </c>
      <c r="C701" t="s">
        <v>28</v>
      </c>
      <c r="D701">
        <v>2.8863139242556244</v>
      </c>
    </row>
    <row r="702" spans="1:4" x14ac:dyDescent="0.35">
      <c r="A702" t="s">
        <v>14</v>
      </c>
      <c r="B702" t="s">
        <v>4</v>
      </c>
      <c r="C702" t="s">
        <v>28</v>
      </c>
      <c r="D702">
        <v>19.243593962943581</v>
      </c>
    </row>
    <row r="703" spans="1:4" x14ac:dyDescent="0.35">
      <c r="A703" t="s">
        <v>15</v>
      </c>
      <c r="B703" t="s">
        <v>4</v>
      </c>
      <c r="C703" t="s">
        <v>28</v>
      </c>
      <c r="D703">
        <v>1.1551627895356496E-2</v>
      </c>
    </row>
    <row r="704" spans="1:4" x14ac:dyDescent="0.35">
      <c r="A704" t="s">
        <v>16</v>
      </c>
      <c r="B704" t="s">
        <v>4</v>
      </c>
      <c r="C704" t="s">
        <v>28</v>
      </c>
      <c r="D704">
        <v>3.0430771078753905E-2</v>
      </c>
    </row>
    <row r="705" spans="1:4" x14ac:dyDescent="0.35">
      <c r="A705" t="s">
        <v>17</v>
      </c>
      <c r="B705" t="s">
        <v>4</v>
      </c>
      <c r="C705" t="s">
        <v>28</v>
      </c>
      <c r="D705">
        <v>0</v>
      </c>
    </row>
    <row r="706" spans="1:4" x14ac:dyDescent="0.35">
      <c r="A706" t="s">
        <v>18</v>
      </c>
      <c r="B706" t="s">
        <v>4</v>
      </c>
      <c r="C706" t="s">
        <v>28</v>
      </c>
      <c r="D706">
        <v>0</v>
      </c>
    </row>
    <row r="707" spans="1:4" x14ac:dyDescent="0.35">
      <c r="A707" t="s">
        <v>19</v>
      </c>
      <c r="B707" t="s">
        <v>4</v>
      </c>
      <c r="C707" t="s">
        <v>28</v>
      </c>
      <c r="D707">
        <v>0</v>
      </c>
    </row>
    <row r="708" spans="1:4" x14ac:dyDescent="0.35">
      <c r="A708" t="s">
        <v>20</v>
      </c>
      <c r="B708" t="s">
        <v>4</v>
      </c>
      <c r="C708" t="s">
        <v>28</v>
      </c>
      <c r="D708">
        <v>0</v>
      </c>
    </row>
    <row r="709" spans="1:4" x14ac:dyDescent="0.35">
      <c r="A709" t="s">
        <v>21</v>
      </c>
      <c r="B709" t="s">
        <v>4</v>
      </c>
      <c r="C709" t="s">
        <v>28</v>
      </c>
      <c r="D709">
        <v>0.31477697963162665</v>
      </c>
    </row>
    <row r="710" spans="1:4" x14ac:dyDescent="0.35">
      <c r="A710" t="s">
        <v>22</v>
      </c>
      <c r="B710" t="s">
        <v>4</v>
      </c>
      <c r="C710" t="s">
        <v>28</v>
      </c>
      <c r="D710">
        <v>0.70396103205879035</v>
      </c>
    </row>
    <row r="711" spans="1:4" x14ac:dyDescent="0.35">
      <c r="A711" t="s">
        <v>23</v>
      </c>
      <c r="B711" t="s">
        <v>4</v>
      </c>
      <c r="C711" t="s">
        <v>28</v>
      </c>
      <c r="D711">
        <v>11.891861671316146</v>
      </c>
    </row>
    <row r="712" spans="1:4" x14ac:dyDescent="0.35">
      <c r="A712" t="s">
        <v>24</v>
      </c>
      <c r="B712" t="s">
        <v>4</v>
      </c>
      <c r="C712" t="s">
        <v>28</v>
      </c>
      <c r="D712">
        <v>56.873059575996514</v>
      </c>
    </row>
    <row r="713" spans="1:4" x14ac:dyDescent="0.35">
      <c r="A713" t="s">
        <v>25</v>
      </c>
      <c r="B713" t="s">
        <v>4</v>
      </c>
      <c r="C713" t="s">
        <v>28</v>
      </c>
      <c r="D713">
        <v>127.11435746952623</v>
      </c>
    </row>
    <row r="714" spans="1:4" x14ac:dyDescent="0.35">
      <c r="A714" t="s">
        <v>26</v>
      </c>
      <c r="B714" t="s">
        <v>4</v>
      </c>
      <c r="C714" t="s">
        <v>28</v>
      </c>
      <c r="D714">
        <v>0</v>
      </c>
    </row>
    <row r="715" spans="1:4" x14ac:dyDescent="0.35">
      <c r="A715" t="s">
        <v>27</v>
      </c>
      <c r="B715" t="s">
        <v>4</v>
      </c>
      <c r="C715" t="s">
        <v>28</v>
      </c>
      <c r="D715">
        <v>6.9587383514669829</v>
      </c>
    </row>
    <row r="716" spans="1:4" x14ac:dyDescent="0.35">
      <c r="A716" t="s">
        <v>28</v>
      </c>
      <c r="B716" t="s">
        <v>4</v>
      </c>
      <c r="C716" t="s">
        <v>28</v>
      </c>
      <c r="D716">
        <v>0</v>
      </c>
    </row>
    <row r="717" spans="1:4" x14ac:dyDescent="0.35">
      <c r="A717" t="s">
        <v>29</v>
      </c>
      <c r="B717" t="s">
        <v>4</v>
      </c>
      <c r="C717" t="s">
        <v>28</v>
      </c>
      <c r="D717">
        <v>198.26024471756543</v>
      </c>
    </row>
    <row r="718" spans="1:4" x14ac:dyDescent="0.35">
      <c r="A718" t="s">
        <v>30</v>
      </c>
      <c r="B718" t="s">
        <v>4</v>
      </c>
      <c r="C718" t="s">
        <v>28</v>
      </c>
      <c r="D718">
        <v>1041.2545976408953</v>
      </c>
    </row>
    <row r="719" spans="1:4" x14ac:dyDescent="0.35">
      <c r="A719" t="s">
        <v>31</v>
      </c>
      <c r="B719" t="s">
        <v>4</v>
      </c>
      <c r="C719" t="s">
        <v>28</v>
      </c>
      <c r="D719">
        <v>10.633572709203422</v>
      </c>
    </row>
    <row r="720" spans="1:4" x14ac:dyDescent="0.35">
      <c r="A720" t="s">
        <v>32</v>
      </c>
      <c r="B720" t="s">
        <v>4</v>
      </c>
      <c r="C720" t="s">
        <v>28</v>
      </c>
      <c r="D720">
        <v>29.874474561777522</v>
      </c>
    </row>
    <row r="721" spans="1:4" x14ac:dyDescent="0.35">
      <c r="A721" t="s">
        <v>33</v>
      </c>
      <c r="B721" t="s">
        <v>4</v>
      </c>
      <c r="C721" t="s">
        <v>28</v>
      </c>
      <c r="D721">
        <v>23.944341866207949</v>
      </c>
    </row>
    <row r="722" spans="1:4" x14ac:dyDescent="0.35">
      <c r="A722" t="s">
        <v>34</v>
      </c>
      <c r="B722" t="s">
        <v>4</v>
      </c>
      <c r="C722" t="s">
        <v>28</v>
      </c>
      <c r="D722">
        <v>187.20063333508597</v>
      </c>
    </row>
    <row r="723" spans="1:4" x14ac:dyDescent="0.35">
      <c r="A723" t="s">
        <v>35</v>
      </c>
      <c r="B723" t="s">
        <v>4</v>
      </c>
      <c r="C723" t="s">
        <v>28</v>
      </c>
      <c r="D723">
        <v>1.1146346388982333</v>
      </c>
    </row>
    <row r="724" spans="1:4" x14ac:dyDescent="0.35">
      <c r="A724" t="s">
        <v>36</v>
      </c>
      <c r="B724" t="s">
        <v>4</v>
      </c>
      <c r="C724" t="s">
        <v>28</v>
      </c>
      <c r="D724">
        <v>0</v>
      </c>
    </row>
    <row r="725" spans="1:4" x14ac:dyDescent="0.35">
      <c r="A725" t="s">
        <v>37</v>
      </c>
      <c r="B725" t="s">
        <v>4</v>
      </c>
      <c r="C725" t="s">
        <v>28</v>
      </c>
      <c r="D725">
        <v>5.4894272891005493E-2</v>
      </c>
    </row>
    <row r="726" spans="1:4" x14ac:dyDescent="0.35">
      <c r="A726" t="s">
        <v>38</v>
      </c>
      <c r="B726" t="s">
        <v>4</v>
      </c>
      <c r="C726" t="s">
        <v>28</v>
      </c>
      <c r="D726">
        <v>1.7650572142702197</v>
      </c>
    </row>
    <row r="727" spans="1:4" x14ac:dyDescent="0.35">
      <c r="A727" t="s">
        <v>39</v>
      </c>
      <c r="B727" t="s">
        <v>4</v>
      </c>
      <c r="C727" t="s">
        <v>28</v>
      </c>
      <c r="D727">
        <v>0</v>
      </c>
    </row>
    <row r="728" spans="1:4" x14ac:dyDescent="0.35">
      <c r="A728" t="s">
        <v>7</v>
      </c>
      <c r="B728" t="s">
        <v>4</v>
      </c>
      <c r="C728" t="s">
        <v>29</v>
      </c>
      <c r="D728">
        <v>37.760605450707068</v>
      </c>
    </row>
    <row r="729" spans="1:4" x14ac:dyDescent="0.35">
      <c r="A729" t="s">
        <v>8</v>
      </c>
      <c r="B729" t="s">
        <v>4</v>
      </c>
      <c r="C729" t="s">
        <v>29</v>
      </c>
      <c r="D729">
        <v>0</v>
      </c>
    </row>
    <row r="730" spans="1:4" x14ac:dyDescent="0.35">
      <c r="A730" t="s">
        <v>9</v>
      </c>
      <c r="B730" t="s">
        <v>4</v>
      </c>
      <c r="C730" t="s">
        <v>29</v>
      </c>
      <c r="D730">
        <v>973.30234579877538</v>
      </c>
    </row>
    <row r="731" spans="1:4" x14ac:dyDescent="0.35">
      <c r="A731" t="s">
        <v>10</v>
      </c>
      <c r="B731" t="s">
        <v>4</v>
      </c>
      <c r="C731" t="s">
        <v>29</v>
      </c>
      <c r="D731">
        <v>31.553953981940175</v>
      </c>
    </row>
    <row r="732" spans="1:4" x14ac:dyDescent="0.35">
      <c r="A732" t="s">
        <v>11</v>
      </c>
      <c r="B732" t="s">
        <v>4</v>
      </c>
      <c r="C732" t="s">
        <v>29</v>
      </c>
      <c r="D732">
        <v>0.16781521072291036</v>
      </c>
    </row>
    <row r="733" spans="1:4" x14ac:dyDescent="0.35">
      <c r="A733" t="s">
        <v>12</v>
      </c>
      <c r="B733" t="s">
        <v>4</v>
      </c>
      <c r="C733" t="s">
        <v>29</v>
      </c>
      <c r="D733">
        <v>0</v>
      </c>
    </row>
    <row r="734" spans="1:4" x14ac:dyDescent="0.35">
      <c r="A734" t="s">
        <v>13</v>
      </c>
      <c r="B734" t="s">
        <v>4</v>
      </c>
      <c r="C734" t="s">
        <v>29</v>
      </c>
      <c r="D734">
        <v>58.416083469552525</v>
      </c>
    </row>
    <row r="735" spans="1:4" x14ac:dyDescent="0.35">
      <c r="A735" t="s">
        <v>14</v>
      </c>
      <c r="B735" t="s">
        <v>4</v>
      </c>
      <c r="C735" t="s">
        <v>29</v>
      </c>
      <c r="D735">
        <v>9923.9936056134011</v>
      </c>
    </row>
    <row r="736" spans="1:4" x14ac:dyDescent="0.35">
      <c r="A736" t="s">
        <v>15</v>
      </c>
      <c r="B736" t="s">
        <v>4</v>
      </c>
      <c r="C736" t="s">
        <v>29</v>
      </c>
      <c r="D736">
        <v>86.317397817067317</v>
      </c>
    </row>
    <row r="737" spans="1:4" x14ac:dyDescent="0.35">
      <c r="A737" t="s">
        <v>16</v>
      </c>
      <c r="B737" t="s">
        <v>4</v>
      </c>
      <c r="C737" t="s">
        <v>29</v>
      </c>
      <c r="D737">
        <v>0</v>
      </c>
    </row>
    <row r="738" spans="1:4" x14ac:dyDescent="0.35">
      <c r="A738" t="s">
        <v>17</v>
      </c>
      <c r="B738" t="s">
        <v>4</v>
      </c>
      <c r="C738" t="s">
        <v>29</v>
      </c>
      <c r="D738">
        <v>0</v>
      </c>
    </row>
    <row r="739" spans="1:4" x14ac:dyDescent="0.35">
      <c r="A739" t="s">
        <v>18</v>
      </c>
      <c r="B739" t="s">
        <v>4</v>
      </c>
      <c r="C739" t="s">
        <v>29</v>
      </c>
      <c r="D739">
        <v>0</v>
      </c>
    </row>
    <row r="740" spans="1:4" x14ac:dyDescent="0.35">
      <c r="A740" t="s">
        <v>19</v>
      </c>
      <c r="B740" t="s">
        <v>4</v>
      </c>
      <c r="C740" t="s">
        <v>29</v>
      </c>
      <c r="D740">
        <v>0</v>
      </c>
    </row>
    <row r="741" spans="1:4" x14ac:dyDescent="0.35">
      <c r="A741" t="s">
        <v>20</v>
      </c>
      <c r="B741" t="s">
        <v>4</v>
      </c>
      <c r="C741" t="s">
        <v>29</v>
      </c>
      <c r="D741">
        <v>0</v>
      </c>
    </row>
    <row r="742" spans="1:4" x14ac:dyDescent="0.35">
      <c r="A742" t="s">
        <v>21</v>
      </c>
      <c r="B742" t="s">
        <v>4</v>
      </c>
      <c r="C742" t="s">
        <v>29</v>
      </c>
      <c r="D742">
        <v>46.172978158203115</v>
      </c>
    </row>
    <row r="743" spans="1:4" x14ac:dyDescent="0.35">
      <c r="A743" t="s">
        <v>22</v>
      </c>
      <c r="B743" t="s">
        <v>4</v>
      </c>
      <c r="C743" t="s">
        <v>29</v>
      </c>
      <c r="D743">
        <v>291.88969813994629</v>
      </c>
    </row>
    <row r="744" spans="1:4" x14ac:dyDescent="0.35">
      <c r="A744" t="s">
        <v>23</v>
      </c>
      <c r="B744" t="s">
        <v>4</v>
      </c>
      <c r="C744" t="s">
        <v>29</v>
      </c>
      <c r="D744">
        <v>157.83996453316271</v>
      </c>
    </row>
    <row r="745" spans="1:4" x14ac:dyDescent="0.35">
      <c r="A745" t="s">
        <v>24</v>
      </c>
      <c r="B745" t="s">
        <v>4</v>
      </c>
      <c r="C745" t="s">
        <v>29</v>
      </c>
      <c r="D745">
        <v>538.34151881690786</v>
      </c>
    </row>
    <row r="746" spans="1:4" x14ac:dyDescent="0.35">
      <c r="A746" t="s">
        <v>25</v>
      </c>
      <c r="B746" t="s">
        <v>4</v>
      </c>
      <c r="C746" t="s">
        <v>29</v>
      </c>
      <c r="D746">
        <v>6340.3152124657045</v>
      </c>
    </row>
    <row r="747" spans="1:4" x14ac:dyDescent="0.35">
      <c r="A747" t="s">
        <v>26</v>
      </c>
      <c r="B747" t="s">
        <v>4</v>
      </c>
      <c r="C747" t="s">
        <v>29</v>
      </c>
      <c r="D747">
        <v>1062.6240645659461</v>
      </c>
    </row>
    <row r="748" spans="1:4" x14ac:dyDescent="0.35">
      <c r="A748" t="s">
        <v>27</v>
      </c>
      <c r="B748" t="s">
        <v>4</v>
      </c>
      <c r="C748" t="s">
        <v>29</v>
      </c>
      <c r="D748">
        <v>726.15044805396587</v>
      </c>
    </row>
    <row r="749" spans="1:4" x14ac:dyDescent="0.35">
      <c r="A749" t="s">
        <v>28</v>
      </c>
      <c r="B749" t="s">
        <v>4</v>
      </c>
      <c r="C749" t="s">
        <v>29</v>
      </c>
      <c r="D749">
        <v>0</v>
      </c>
    </row>
    <row r="750" spans="1:4" x14ac:dyDescent="0.35">
      <c r="A750" t="s">
        <v>29</v>
      </c>
      <c r="B750" t="s">
        <v>4</v>
      </c>
      <c r="C750" t="s">
        <v>29</v>
      </c>
      <c r="D750">
        <v>0</v>
      </c>
    </row>
    <row r="751" spans="1:4" x14ac:dyDescent="0.35">
      <c r="A751" t="s">
        <v>30</v>
      </c>
      <c r="B751" t="s">
        <v>4</v>
      </c>
      <c r="C751" t="s">
        <v>29</v>
      </c>
      <c r="D751">
        <v>8997.6933824305779</v>
      </c>
    </row>
    <row r="752" spans="1:4" x14ac:dyDescent="0.35">
      <c r="A752" t="s">
        <v>31</v>
      </c>
      <c r="B752" t="s">
        <v>4</v>
      </c>
      <c r="C752" t="s">
        <v>29</v>
      </c>
      <c r="D752">
        <v>1587.3458072681246</v>
      </c>
    </row>
    <row r="753" spans="1:4" x14ac:dyDescent="0.35">
      <c r="A753" t="s">
        <v>32</v>
      </c>
      <c r="B753" t="s">
        <v>4</v>
      </c>
      <c r="C753" t="s">
        <v>29</v>
      </c>
      <c r="D753">
        <v>1130.626009249477</v>
      </c>
    </row>
    <row r="754" spans="1:4" x14ac:dyDescent="0.35">
      <c r="A754" t="s">
        <v>33</v>
      </c>
      <c r="B754" t="s">
        <v>4</v>
      </c>
      <c r="C754" t="s">
        <v>29</v>
      </c>
      <c r="D754">
        <v>638.97241092872298</v>
      </c>
    </row>
    <row r="755" spans="1:4" x14ac:dyDescent="0.35">
      <c r="A755" t="s">
        <v>34</v>
      </c>
      <c r="B755" t="s">
        <v>4</v>
      </c>
      <c r="C755" t="s">
        <v>29</v>
      </c>
      <c r="D755">
        <v>15569.644723666081</v>
      </c>
    </row>
    <row r="756" spans="1:4" x14ac:dyDescent="0.35">
      <c r="A756" t="s">
        <v>35</v>
      </c>
      <c r="B756" t="s">
        <v>4</v>
      </c>
      <c r="C756" t="s">
        <v>29</v>
      </c>
      <c r="D756">
        <v>301.83420643373665</v>
      </c>
    </row>
    <row r="757" spans="1:4" x14ac:dyDescent="0.35">
      <c r="A757" t="s">
        <v>36</v>
      </c>
      <c r="B757" t="s">
        <v>4</v>
      </c>
      <c r="C757" t="s">
        <v>29</v>
      </c>
      <c r="D757">
        <v>0</v>
      </c>
    </row>
    <row r="758" spans="1:4" x14ac:dyDescent="0.35">
      <c r="A758" t="s">
        <v>37</v>
      </c>
      <c r="B758" t="s">
        <v>4</v>
      </c>
      <c r="C758" t="s">
        <v>29</v>
      </c>
      <c r="D758">
        <v>0</v>
      </c>
    </row>
    <row r="759" spans="1:4" x14ac:dyDescent="0.35">
      <c r="A759" t="s">
        <v>38</v>
      </c>
      <c r="B759" t="s">
        <v>4</v>
      </c>
      <c r="C759" t="s">
        <v>29</v>
      </c>
      <c r="D759">
        <v>0</v>
      </c>
    </row>
    <row r="760" spans="1:4" x14ac:dyDescent="0.35">
      <c r="A760" t="s">
        <v>39</v>
      </c>
      <c r="B760" t="s">
        <v>4</v>
      </c>
      <c r="C760" t="s">
        <v>29</v>
      </c>
      <c r="D760">
        <v>0</v>
      </c>
    </row>
    <row r="761" spans="1:4" x14ac:dyDescent="0.35">
      <c r="A761" t="s">
        <v>7</v>
      </c>
      <c r="B761" t="s">
        <v>4</v>
      </c>
      <c r="C761" t="s">
        <v>30</v>
      </c>
      <c r="D761">
        <v>0</v>
      </c>
    </row>
    <row r="762" spans="1:4" x14ac:dyDescent="0.35">
      <c r="A762" t="s">
        <v>8</v>
      </c>
      <c r="B762" t="s">
        <v>4</v>
      </c>
      <c r="C762" t="s">
        <v>30</v>
      </c>
      <c r="D762">
        <v>30.920622113033552</v>
      </c>
    </row>
    <row r="763" spans="1:4" x14ac:dyDescent="0.35">
      <c r="A763" t="s">
        <v>9</v>
      </c>
      <c r="B763" t="s">
        <v>4</v>
      </c>
      <c r="C763" t="s">
        <v>30</v>
      </c>
      <c r="D763">
        <v>17.060865825467918</v>
      </c>
    </row>
    <row r="764" spans="1:4" x14ac:dyDescent="0.35">
      <c r="A764" t="s">
        <v>10</v>
      </c>
      <c r="B764" t="s">
        <v>4</v>
      </c>
      <c r="C764" t="s">
        <v>30</v>
      </c>
      <c r="D764">
        <v>22.559330881085049</v>
      </c>
    </row>
    <row r="765" spans="1:4" x14ac:dyDescent="0.35">
      <c r="A765" t="s">
        <v>11</v>
      </c>
      <c r="B765" t="s">
        <v>4</v>
      </c>
      <c r="C765" t="s">
        <v>30</v>
      </c>
      <c r="D765">
        <v>0</v>
      </c>
    </row>
    <row r="766" spans="1:4" x14ac:dyDescent="0.35">
      <c r="A766" t="s">
        <v>12</v>
      </c>
      <c r="B766" t="s">
        <v>4</v>
      </c>
      <c r="C766" t="s">
        <v>30</v>
      </c>
      <c r="D766">
        <v>568.8060658320735</v>
      </c>
    </row>
    <row r="767" spans="1:4" x14ac:dyDescent="0.35">
      <c r="A767" t="s">
        <v>13</v>
      </c>
      <c r="B767" t="s">
        <v>4</v>
      </c>
      <c r="C767" t="s">
        <v>30</v>
      </c>
      <c r="D767">
        <v>24.246735905197649</v>
      </c>
    </row>
    <row r="768" spans="1:4" x14ac:dyDescent="0.35">
      <c r="A768" t="s">
        <v>14</v>
      </c>
      <c r="B768" t="s">
        <v>4</v>
      </c>
      <c r="C768" t="s">
        <v>30</v>
      </c>
      <c r="D768">
        <v>410.45573179250971</v>
      </c>
    </row>
    <row r="769" spans="1:4" x14ac:dyDescent="0.35">
      <c r="A769" t="s">
        <v>15</v>
      </c>
      <c r="B769" t="s">
        <v>4</v>
      </c>
      <c r="C769" t="s">
        <v>30</v>
      </c>
      <c r="D769">
        <v>1.2260303620730852</v>
      </c>
    </row>
    <row r="770" spans="1:4" x14ac:dyDescent="0.35">
      <c r="A770" t="s">
        <v>16</v>
      </c>
      <c r="B770" t="s">
        <v>4</v>
      </c>
      <c r="C770" t="s">
        <v>30</v>
      </c>
      <c r="D770">
        <v>38.370484951924858</v>
      </c>
    </row>
    <row r="771" spans="1:4" x14ac:dyDescent="0.35">
      <c r="A771" t="s">
        <v>17</v>
      </c>
      <c r="B771" t="s">
        <v>4</v>
      </c>
      <c r="C771" t="s">
        <v>30</v>
      </c>
      <c r="D771">
        <v>0</v>
      </c>
    </row>
    <row r="772" spans="1:4" x14ac:dyDescent="0.35">
      <c r="A772" t="s">
        <v>18</v>
      </c>
      <c r="B772" t="s">
        <v>4</v>
      </c>
      <c r="C772" t="s">
        <v>30</v>
      </c>
      <c r="D772">
        <v>2.1243085313435019E-2</v>
      </c>
    </row>
    <row r="773" spans="1:4" x14ac:dyDescent="0.35">
      <c r="A773" t="s">
        <v>19</v>
      </c>
      <c r="B773" t="s">
        <v>4</v>
      </c>
      <c r="C773" t="s">
        <v>30</v>
      </c>
      <c r="D773">
        <v>87.72199453205495</v>
      </c>
    </row>
    <row r="774" spans="1:4" x14ac:dyDescent="0.35">
      <c r="A774" t="s">
        <v>20</v>
      </c>
      <c r="B774" t="s">
        <v>4</v>
      </c>
      <c r="C774" t="s">
        <v>30</v>
      </c>
      <c r="D774">
        <v>0</v>
      </c>
    </row>
    <row r="775" spans="1:4" x14ac:dyDescent="0.35">
      <c r="A775" t="s">
        <v>21</v>
      </c>
      <c r="B775" t="s">
        <v>4</v>
      </c>
      <c r="C775" t="s">
        <v>30</v>
      </c>
      <c r="D775">
        <v>10.181842158050809</v>
      </c>
    </row>
    <row r="776" spans="1:4" x14ac:dyDescent="0.35">
      <c r="A776" t="s">
        <v>22</v>
      </c>
      <c r="B776" t="s">
        <v>4</v>
      </c>
      <c r="C776" t="s">
        <v>30</v>
      </c>
      <c r="D776">
        <v>47.608421231078538</v>
      </c>
    </row>
    <row r="777" spans="1:4" x14ac:dyDescent="0.35">
      <c r="A777" t="s">
        <v>23</v>
      </c>
      <c r="B777" t="s">
        <v>4</v>
      </c>
      <c r="C777" t="s">
        <v>30</v>
      </c>
      <c r="D777">
        <v>1389.7091791521621</v>
      </c>
    </row>
    <row r="778" spans="1:4" x14ac:dyDescent="0.35">
      <c r="A778" t="s">
        <v>24</v>
      </c>
      <c r="B778" t="s">
        <v>4</v>
      </c>
      <c r="C778" t="s">
        <v>30</v>
      </c>
      <c r="D778">
        <v>695.85018090540814</v>
      </c>
    </row>
    <row r="779" spans="1:4" x14ac:dyDescent="0.35">
      <c r="A779" t="s">
        <v>25</v>
      </c>
      <c r="B779" t="s">
        <v>4</v>
      </c>
      <c r="C779" t="s">
        <v>30</v>
      </c>
      <c r="D779">
        <v>3902.7695985709024</v>
      </c>
    </row>
    <row r="780" spans="1:4" x14ac:dyDescent="0.35">
      <c r="A780" t="s">
        <v>26</v>
      </c>
      <c r="B780" t="s">
        <v>4</v>
      </c>
      <c r="C780" t="s">
        <v>30</v>
      </c>
      <c r="D780">
        <v>293.03121139669184</v>
      </c>
    </row>
    <row r="781" spans="1:4" x14ac:dyDescent="0.35">
      <c r="A781" t="s">
        <v>27</v>
      </c>
      <c r="B781" t="s">
        <v>4</v>
      </c>
      <c r="C781" t="s">
        <v>30</v>
      </c>
      <c r="D781">
        <v>3395.4361200503031</v>
      </c>
    </row>
    <row r="782" spans="1:4" x14ac:dyDescent="0.35">
      <c r="A782" t="s">
        <v>28</v>
      </c>
      <c r="B782" t="s">
        <v>4</v>
      </c>
      <c r="C782" t="s">
        <v>30</v>
      </c>
      <c r="D782">
        <v>0</v>
      </c>
    </row>
    <row r="783" spans="1:4" x14ac:dyDescent="0.35">
      <c r="A783" t="s">
        <v>29</v>
      </c>
      <c r="B783" t="s">
        <v>4</v>
      </c>
      <c r="C783" t="s">
        <v>30</v>
      </c>
      <c r="D783">
        <v>4187.5300414901358</v>
      </c>
    </row>
    <row r="784" spans="1:4" x14ac:dyDescent="0.35">
      <c r="A784" t="s">
        <v>30</v>
      </c>
      <c r="B784" t="s">
        <v>4</v>
      </c>
      <c r="C784" t="s">
        <v>30</v>
      </c>
      <c r="D784">
        <v>12219.873427021215</v>
      </c>
    </row>
    <row r="785" spans="1:4" x14ac:dyDescent="0.35">
      <c r="A785" t="s">
        <v>31</v>
      </c>
      <c r="B785" t="s">
        <v>4</v>
      </c>
      <c r="C785" t="s">
        <v>30</v>
      </c>
      <c r="D785">
        <v>196.51026958345605</v>
      </c>
    </row>
    <row r="786" spans="1:4" x14ac:dyDescent="0.35">
      <c r="A786" t="s">
        <v>32</v>
      </c>
      <c r="B786" t="s">
        <v>4</v>
      </c>
      <c r="C786" t="s">
        <v>30</v>
      </c>
      <c r="D786">
        <v>313.06071384784696</v>
      </c>
    </row>
    <row r="787" spans="1:4" x14ac:dyDescent="0.35">
      <c r="A787" t="s">
        <v>33</v>
      </c>
      <c r="B787" t="s">
        <v>4</v>
      </c>
      <c r="C787" t="s">
        <v>30</v>
      </c>
      <c r="D787">
        <v>531.54653107921763</v>
      </c>
    </row>
    <row r="788" spans="1:4" x14ac:dyDescent="0.35">
      <c r="A788" t="s">
        <v>34</v>
      </c>
      <c r="B788" t="s">
        <v>4</v>
      </c>
      <c r="C788" t="s">
        <v>30</v>
      </c>
      <c r="D788">
        <v>941.04331087720311</v>
      </c>
    </row>
    <row r="789" spans="1:4" x14ac:dyDescent="0.35">
      <c r="A789" t="s">
        <v>35</v>
      </c>
      <c r="B789" t="s">
        <v>4</v>
      </c>
      <c r="C789" t="s">
        <v>30</v>
      </c>
      <c r="D789">
        <v>7.7124577485856687</v>
      </c>
    </row>
    <row r="790" spans="1:4" x14ac:dyDescent="0.35">
      <c r="A790" t="s">
        <v>36</v>
      </c>
      <c r="B790" t="s">
        <v>4</v>
      </c>
      <c r="C790" t="s">
        <v>30</v>
      </c>
      <c r="D790">
        <v>29.926522585180319</v>
      </c>
    </row>
    <row r="791" spans="1:4" x14ac:dyDescent="0.35">
      <c r="A791" t="s">
        <v>37</v>
      </c>
      <c r="B791" t="s">
        <v>4</v>
      </c>
      <c r="C791" t="s">
        <v>30</v>
      </c>
      <c r="D791">
        <v>4.4863352847005507</v>
      </c>
    </row>
    <row r="792" spans="1:4" x14ac:dyDescent="0.35">
      <c r="A792" t="s">
        <v>38</v>
      </c>
      <c r="B792" t="s">
        <v>4</v>
      </c>
      <c r="C792" t="s">
        <v>30</v>
      </c>
      <c r="D792">
        <v>13.280642987196144</v>
      </c>
    </row>
    <row r="793" spans="1:4" x14ac:dyDescent="0.35">
      <c r="A793" t="s">
        <v>39</v>
      </c>
      <c r="B793" t="s">
        <v>4</v>
      </c>
      <c r="C793" t="s">
        <v>30</v>
      </c>
      <c r="D793">
        <v>0</v>
      </c>
    </row>
    <row r="794" spans="1:4" x14ac:dyDescent="0.35">
      <c r="A794" t="s">
        <v>7</v>
      </c>
      <c r="B794" t="s">
        <v>4</v>
      </c>
      <c r="C794" t="s">
        <v>31</v>
      </c>
      <c r="D794">
        <v>0</v>
      </c>
    </row>
    <row r="795" spans="1:4" x14ac:dyDescent="0.35">
      <c r="A795" t="s">
        <v>8</v>
      </c>
      <c r="B795" t="s">
        <v>4</v>
      </c>
      <c r="C795" t="s">
        <v>31</v>
      </c>
      <c r="D795">
        <v>0</v>
      </c>
    </row>
    <row r="796" spans="1:4" x14ac:dyDescent="0.35">
      <c r="A796" t="s">
        <v>9</v>
      </c>
      <c r="B796" t="s">
        <v>4</v>
      </c>
      <c r="C796" t="s">
        <v>31</v>
      </c>
      <c r="D796">
        <v>0</v>
      </c>
    </row>
    <row r="797" spans="1:4" x14ac:dyDescent="0.35">
      <c r="A797" t="s">
        <v>10</v>
      </c>
      <c r="B797" t="s">
        <v>4</v>
      </c>
      <c r="C797" t="s">
        <v>31</v>
      </c>
      <c r="D797">
        <v>10.716804118222335</v>
      </c>
    </row>
    <row r="798" spans="1:4" x14ac:dyDescent="0.35">
      <c r="A798" t="s">
        <v>11</v>
      </c>
      <c r="B798" t="s">
        <v>4</v>
      </c>
      <c r="C798" t="s">
        <v>31</v>
      </c>
      <c r="D798">
        <v>6.3376211435194132E-2</v>
      </c>
    </row>
    <row r="799" spans="1:4" x14ac:dyDescent="0.35">
      <c r="A799" t="s">
        <v>12</v>
      </c>
      <c r="B799" t="s">
        <v>4</v>
      </c>
      <c r="C799" t="s">
        <v>31</v>
      </c>
      <c r="D799">
        <v>0</v>
      </c>
    </row>
    <row r="800" spans="1:4" x14ac:dyDescent="0.35">
      <c r="A800" t="s">
        <v>13</v>
      </c>
      <c r="B800" t="s">
        <v>4</v>
      </c>
      <c r="C800" t="s">
        <v>31</v>
      </c>
      <c r="D800">
        <v>96.462064284283656</v>
      </c>
    </row>
    <row r="801" spans="1:4" x14ac:dyDescent="0.35">
      <c r="A801" t="s">
        <v>14</v>
      </c>
      <c r="B801" t="s">
        <v>4</v>
      </c>
      <c r="C801" t="s">
        <v>31</v>
      </c>
      <c r="D801">
        <v>142.09359570165341</v>
      </c>
    </row>
    <row r="802" spans="1:4" x14ac:dyDescent="0.35">
      <c r="A802" t="s">
        <v>15</v>
      </c>
      <c r="B802" t="s">
        <v>4</v>
      </c>
      <c r="C802" t="s">
        <v>31</v>
      </c>
      <c r="D802">
        <v>0.75669625775222171</v>
      </c>
    </row>
    <row r="803" spans="1:4" x14ac:dyDescent="0.35">
      <c r="A803" t="s">
        <v>16</v>
      </c>
      <c r="B803" t="s">
        <v>4</v>
      </c>
      <c r="C803" t="s">
        <v>31</v>
      </c>
      <c r="D803">
        <v>40.025879923126681</v>
      </c>
    </row>
    <row r="804" spans="1:4" x14ac:dyDescent="0.35">
      <c r="A804" t="s">
        <v>17</v>
      </c>
      <c r="B804" t="s">
        <v>4</v>
      </c>
      <c r="C804" t="s">
        <v>31</v>
      </c>
      <c r="D804">
        <v>0</v>
      </c>
    </row>
    <row r="805" spans="1:4" x14ac:dyDescent="0.35">
      <c r="A805" t="s">
        <v>18</v>
      </c>
      <c r="B805" t="s">
        <v>4</v>
      </c>
      <c r="C805" t="s">
        <v>31</v>
      </c>
      <c r="D805">
        <v>0</v>
      </c>
    </row>
    <row r="806" spans="1:4" x14ac:dyDescent="0.35">
      <c r="A806" t="s">
        <v>19</v>
      </c>
      <c r="B806" t="s">
        <v>4</v>
      </c>
      <c r="C806" t="s">
        <v>31</v>
      </c>
      <c r="D806">
        <v>0</v>
      </c>
    </row>
    <row r="807" spans="1:4" x14ac:dyDescent="0.35">
      <c r="A807" t="s">
        <v>20</v>
      </c>
      <c r="B807" t="s">
        <v>4</v>
      </c>
      <c r="C807" t="s">
        <v>31</v>
      </c>
      <c r="D807">
        <v>51.828736375515263</v>
      </c>
    </row>
    <row r="808" spans="1:4" x14ac:dyDescent="0.35">
      <c r="A808" t="s">
        <v>21</v>
      </c>
      <c r="B808" t="s">
        <v>4</v>
      </c>
      <c r="C808" t="s">
        <v>31</v>
      </c>
      <c r="D808">
        <v>15.322536560471111</v>
      </c>
    </row>
    <row r="809" spans="1:4" x14ac:dyDescent="0.35">
      <c r="A809" t="s">
        <v>22</v>
      </c>
      <c r="B809" t="s">
        <v>4</v>
      </c>
      <c r="C809" t="s">
        <v>31</v>
      </c>
      <c r="D809">
        <v>434.79710206172194</v>
      </c>
    </row>
    <row r="810" spans="1:4" x14ac:dyDescent="0.35">
      <c r="A810" t="s">
        <v>23</v>
      </c>
      <c r="B810" t="s">
        <v>4</v>
      </c>
      <c r="C810" t="s">
        <v>31</v>
      </c>
      <c r="D810">
        <v>263.07901114949567</v>
      </c>
    </row>
    <row r="811" spans="1:4" x14ac:dyDescent="0.35">
      <c r="A811" t="s">
        <v>24</v>
      </c>
      <c r="B811" t="s">
        <v>4</v>
      </c>
      <c r="C811" t="s">
        <v>31</v>
      </c>
      <c r="D811">
        <v>182.46914165445128</v>
      </c>
    </row>
    <row r="812" spans="1:4" x14ac:dyDescent="0.35">
      <c r="A812" t="s">
        <v>25</v>
      </c>
      <c r="B812" t="s">
        <v>4</v>
      </c>
      <c r="C812" t="s">
        <v>31</v>
      </c>
      <c r="D812">
        <v>1320.0108316752551</v>
      </c>
    </row>
    <row r="813" spans="1:4" x14ac:dyDescent="0.35">
      <c r="A813" t="s">
        <v>26</v>
      </c>
      <c r="B813" t="s">
        <v>4</v>
      </c>
      <c r="C813" t="s">
        <v>31</v>
      </c>
      <c r="D813">
        <v>0</v>
      </c>
    </row>
    <row r="814" spans="1:4" x14ac:dyDescent="0.35">
      <c r="A814" t="s">
        <v>27</v>
      </c>
      <c r="B814" t="s">
        <v>4</v>
      </c>
      <c r="C814" t="s">
        <v>31</v>
      </c>
      <c r="D814">
        <v>601.52402252718889</v>
      </c>
    </row>
    <row r="815" spans="1:4" x14ac:dyDescent="0.35">
      <c r="A815" t="s">
        <v>28</v>
      </c>
      <c r="B815" t="s">
        <v>4</v>
      </c>
      <c r="C815" t="s">
        <v>31</v>
      </c>
      <c r="D815">
        <v>0</v>
      </c>
    </row>
    <row r="816" spans="1:4" x14ac:dyDescent="0.35">
      <c r="A816" t="s">
        <v>29</v>
      </c>
      <c r="B816" t="s">
        <v>4</v>
      </c>
      <c r="C816" t="s">
        <v>31</v>
      </c>
      <c r="D816">
        <v>1761.8172263225238</v>
      </c>
    </row>
    <row r="817" spans="1:4" x14ac:dyDescent="0.35">
      <c r="A817" t="s">
        <v>30</v>
      </c>
      <c r="B817" t="s">
        <v>4</v>
      </c>
      <c r="C817" t="s">
        <v>31</v>
      </c>
      <c r="D817">
        <v>2482.7036783433218</v>
      </c>
    </row>
    <row r="818" spans="1:4" x14ac:dyDescent="0.35">
      <c r="A818" t="s">
        <v>31</v>
      </c>
      <c r="B818" t="s">
        <v>4</v>
      </c>
      <c r="C818" t="s">
        <v>31</v>
      </c>
      <c r="D818">
        <v>2182.1267677492915</v>
      </c>
    </row>
    <row r="819" spans="1:4" x14ac:dyDescent="0.35">
      <c r="A819" t="s">
        <v>32</v>
      </c>
      <c r="B819" t="s">
        <v>4</v>
      </c>
      <c r="C819" t="s">
        <v>31</v>
      </c>
      <c r="D819">
        <v>611.21877228626238</v>
      </c>
    </row>
    <row r="820" spans="1:4" x14ac:dyDescent="0.35">
      <c r="A820" t="s">
        <v>33</v>
      </c>
      <c r="B820" t="s">
        <v>4</v>
      </c>
      <c r="C820" t="s">
        <v>31</v>
      </c>
      <c r="D820">
        <v>603.92281639058865</v>
      </c>
    </row>
    <row r="821" spans="1:4" x14ac:dyDescent="0.35">
      <c r="A821" t="s">
        <v>34</v>
      </c>
      <c r="B821" t="s">
        <v>4</v>
      </c>
      <c r="C821" t="s">
        <v>31</v>
      </c>
      <c r="D821">
        <v>4354.2036518019931</v>
      </c>
    </row>
    <row r="822" spans="1:4" x14ac:dyDescent="0.35">
      <c r="A822" t="s">
        <v>35</v>
      </c>
      <c r="B822" t="s">
        <v>4</v>
      </c>
      <c r="C822" t="s">
        <v>31</v>
      </c>
      <c r="D822">
        <v>392.77535599184523</v>
      </c>
    </row>
    <row r="823" spans="1:4" x14ac:dyDescent="0.35">
      <c r="A823" t="s">
        <v>36</v>
      </c>
      <c r="B823" t="s">
        <v>4</v>
      </c>
      <c r="C823" t="s">
        <v>31</v>
      </c>
      <c r="D823">
        <v>10.236379494734836</v>
      </c>
    </row>
    <row r="824" spans="1:4" x14ac:dyDescent="0.35">
      <c r="A824" t="s">
        <v>37</v>
      </c>
      <c r="B824" t="s">
        <v>4</v>
      </c>
      <c r="C824" t="s">
        <v>31</v>
      </c>
      <c r="D824">
        <v>22.585876117984142</v>
      </c>
    </row>
    <row r="825" spans="1:4" x14ac:dyDescent="0.35">
      <c r="A825" t="s">
        <v>38</v>
      </c>
      <c r="B825" t="s">
        <v>4</v>
      </c>
      <c r="C825" t="s">
        <v>31</v>
      </c>
      <c r="D825">
        <v>7.8864130916325044</v>
      </c>
    </row>
    <row r="826" spans="1:4" x14ac:dyDescent="0.35">
      <c r="A826" t="s">
        <v>39</v>
      </c>
      <c r="B826" t="s">
        <v>4</v>
      </c>
      <c r="C826" t="s">
        <v>31</v>
      </c>
      <c r="D826">
        <v>0</v>
      </c>
    </row>
    <row r="827" spans="1:4" x14ac:dyDescent="0.35">
      <c r="A827" t="s">
        <v>7</v>
      </c>
      <c r="B827" t="s">
        <v>4</v>
      </c>
      <c r="C827" t="s">
        <v>32</v>
      </c>
      <c r="D827">
        <v>0</v>
      </c>
    </row>
    <row r="828" spans="1:4" x14ac:dyDescent="0.35">
      <c r="A828" t="s">
        <v>8</v>
      </c>
      <c r="B828" t="s">
        <v>4</v>
      </c>
      <c r="C828" t="s">
        <v>32</v>
      </c>
      <c r="D828">
        <v>0</v>
      </c>
    </row>
    <row r="829" spans="1:4" x14ac:dyDescent="0.35">
      <c r="A829" t="s">
        <v>9</v>
      </c>
      <c r="B829" t="s">
        <v>4</v>
      </c>
      <c r="C829" t="s">
        <v>32</v>
      </c>
      <c r="D829">
        <v>0</v>
      </c>
    </row>
    <row r="830" spans="1:4" x14ac:dyDescent="0.35">
      <c r="A830" t="s">
        <v>10</v>
      </c>
      <c r="B830" t="s">
        <v>4</v>
      </c>
      <c r="C830" t="s">
        <v>32</v>
      </c>
      <c r="D830">
        <v>0</v>
      </c>
    </row>
    <row r="831" spans="1:4" x14ac:dyDescent="0.35">
      <c r="A831" t="s">
        <v>11</v>
      </c>
      <c r="B831" t="s">
        <v>4</v>
      </c>
      <c r="C831" t="s">
        <v>32</v>
      </c>
      <c r="D831">
        <v>0</v>
      </c>
    </row>
    <row r="832" spans="1:4" x14ac:dyDescent="0.35">
      <c r="A832" t="s">
        <v>12</v>
      </c>
      <c r="B832" t="s">
        <v>4</v>
      </c>
      <c r="C832" t="s">
        <v>32</v>
      </c>
      <c r="D832">
        <v>0</v>
      </c>
    </row>
    <row r="833" spans="1:4" x14ac:dyDescent="0.35">
      <c r="A833" t="s">
        <v>13</v>
      </c>
      <c r="B833" t="s">
        <v>4</v>
      </c>
      <c r="C833" t="s">
        <v>32</v>
      </c>
      <c r="D833">
        <v>90.310210986616283</v>
      </c>
    </row>
    <row r="834" spans="1:4" x14ac:dyDescent="0.35">
      <c r="A834" t="s">
        <v>14</v>
      </c>
      <c r="B834" t="s">
        <v>4</v>
      </c>
      <c r="C834" t="s">
        <v>32</v>
      </c>
      <c r="D834">
        <v>4.2814225646406872</v>
      </c>
    </row>
    <row r="835" spans="1:4" x14ac:dyDescent="0.35">
      <c r="A835" t="s">
        <v>15</v>
      </c>
      <c r="B835" t="s">
        <v>4</v>
      </c>
      <c r="C835" t="s">
        <v>32</v>
      </c>
      <c r="D835">
        <v>0</v>
      </c>
    </row>
    <row r="836" spans="1:4" x14ac:dyDescent="0.35">
      <c r="A836" t="s">
        <v>16</v>
      </c>
      <c r="B836" t="s">
        <v>4</v>
      </c>
      <c r="C836" t="s">
        <v>32</v>
      </c>
      <c r="D836">
        <v>0</v>
      </c>
    </row>
    <row r="837" spans="1:4" x14ac:dyDescent="0.35">
      <c r="A837" t="s">
        <v>17</v>
      </c>
      <c r="B837" t="s">
        <v>4</v>
      </c>
      <c r="C837" t="s">
        <v>32</v>
      </c>
      <c r="D837">
        <v>0</v>
      </c>
    </row>
    <row r="838" spans="1:4" x14ac:dyDescent="0.35">
      <c r="A838" t="s">
        <v>18</v>
      </c>
      <c r="B838" t="s">
        <v>4</v>
      </c>
      <c r="C838" t="s">
        <v>32</v>
      </c>
      <c r="D838">
        <v>0</v>
      </c>
    </row>
    <row r="839" spans="1:4" x14ac:dyDescent="0.35">
      <c r="A839" t="s">
        <v>19</v>
      </c>
      <c r="B839" t="s">
        <v>4</v>
      </c>
      <c r="C839" t="s">
        <v>32</v>
      </c>
      <c r="D839">
        <v>0</v>
      </c>
    </row>
    <row r="840" spans="1:4" x14ac:dyDescent="0.35">
      <c r="A840" t="s">
        <v>20</v>
      </c>
      <c r="B840" t="s">
        <v>4</v>
      </c>
      <c r="C840" t="s">
        <v>32</v>
      </c>
      <c r="D840">
        <v>0</v>
      </c>
    </row>
    <row r="841" spans="1:4" x14ac:dyDescent="0.35">
      <c r="A841" t="s">
        <v>21</v>
      </c>
      <c r="B841" t="s">
        <v>4</v>
      </c>
      <c r="C841" t="s">
        <v>32</v>
      </c>
      <c r="D841">
        <v>0</v>
      </c>
    </row>
    <row r="842" spans="1:4" x14ac:dyDescent="0.35">
      <c r="A842" t="s">
        <v>22</v>
      </c>
      <c r="B842" t="s">
        <v>4</v>
      </c>
      <c r="C842" t="s">
        <v>32</v>
      </c>
      <c r="D842">
        <v>51.135605105657383</v>
      </c>
    </row>
    <row r="843" spans="1:4" x14ac:dyDescent="0.35">
      <c r="A843" t="s">
        <v>23</v>
      </c>
      <c r="B843" t="s">
        <v>4</v>
      </c>
      <c r="C843" t="s">
        <v>32</v>
      </c>
      <c r="D843">
        <v>344.94741940562096</v>
      </c>
    </row>
    <row r="844" spans="1:4" x14ac:dyDescent="0.35">
      <c r="A844" t="s">
        <v>24</v>
      </c>
      <c r="B844" t="s">
        <v>4</v>
      </c>
      <c r="C844" t="s">
        <v>32</v>
      </c>
      <c r="D844">
        <v>329.2881612956329</v>
      </c>
    </row>
    <row r="845" spans="1:4" x14ac:dyDescent="0.35">
      <c r="A845" t="s">
        <v>25</v>
      </c>
      <c r="B845" t="s">
        <v>4</v>
      </c>
      <c r="C845" t="s">
        <v>32</v>
      </c>
      <c r="D845">
        <v>37.888990723926057</v>
      </c>
    </row>
    <row r="846" spans="1:4" x14ac:dyDescent="0.35">
      <c r="A846" t="s">
        <v>26</v>
      </c>
      <c r="B846" t="s">
        <v>4</v>
      </c>
      <c r="C846" t="s">
        <v>32</v>
      </c>
      <c r="D846">
        <v>0</v>
      </c>
    </row>
    <row r="847" spans="1:4" x14ac:dyDescent="0.35">
      <c r="A847" t="s">
        <v>27</v>
      </c>
      <c r="B847" t="s">
        <v>4</v>
      </c>
      <c r="C847" t="s">
        <v>32</v>
      </c>
      <c r="D847">
        <v>30.561068785241424</v>
      </c>
    </row>
    <row r="848" spans="1:4" x14ac:dyDescent="0.35">
      <c r="A848" t="s">
        <v>28</v>
      </c>
      <c r="B848" t="s">
        <v>4</v>
      </c>
      <c r="C848" t="s">
        <v>32</v>
      </c>
      <c r="D848">
        <v>0</v>
      </c>
    </row>
    <row r="849" spans="1:4" x14ac:dyDescent="0.35">
      <c r="A849" t="s">
        <v>29</v>
      </c>
      <c r="B849" t="s">
        <v>4</v>
      </c>
      <c r="C849" t="s">
        <v>32</v>
      </c>
      <c r="D849">
        <v>0</v>
      </c>
    </row>
    <row r="850" spans="1:4" x14ac:dyDescent="0.35">
      <c r="A850" t="s">
        <v>30</v>
      </c>
      <c r="B850" t="s">
        <v>4</v>
      </c>
      <c r="C850" t="s">
        <v>32</v>
      </c>
      <c r="D850">
        <v>0</v>
      </c>
    </row>
    <row r="851" spans="1:4" x14ac:dyDescent="0.35">
      <c r="A851" t="s">
        <v>31</v>
      </c>
      <c r="B851" t="s">
        <v>4</v>
      </c>
      <c r="C851" t="s">
        <v>32</v>
      </c>
      <c r="D851">
        <v>3076.0472364185293</v>
      </c>
    </row>
    <row r="852" spans="1:4" x14ac:dyDescent="0.35">
      <c r="A852" t="s">
        <v>32</v>
      </c>
      <c r="B852" t="s">
        <v>4</v>
      </c>
      <c r="C852" t="s">
        <v>32</v>
      </c>
      <c r="D852">
        <v>7080.8081172639259</v>
      </c>
    </row>
    <row r="853" spans="1:4" x14ac:dyDescent="0.35">
      <c r="A853" t="s">
        <v>33</v>
      </c>
      <c r="B853" t="s">
        <v>4</v>
      </c>
      <c r="C853" t="s">
        <v>32</v>
      </c>
      <c r="D853">
        <v>322.05294274947374</v>
      </c>
    </row>
    <row r="854" spans="1:4" x14ac:dyDescent="0.35">
      <c r="A854" t="s">
        <v>34</v>
      </c>
      <c r="B854" t="s">
        <v>4</v>
      </c>
      <c r="C854" t="s">
        <v>32</v>
      </c>
      <c r="D854">
        <v>1748.1415525923999</v>
      </c>
    </row>
    <row r="855" spans="1:4" x14ac:dyDescent="0.35">
      <c r="A855" t="s">
        <v>35</v>
      </c>
      <c r="B855" t="s">
        <v>4</v>
      </c>
      <c r="C855" t="s">
        <v>32</v>
      </c>
      <c r="D855">
        <v>49.325695778609926</v>
      </c>
    </row>
    <row r="856" spans="1:4" x14ac:dyDescent="0.35">
      <c r="A856" t="s">
        <v>36</v>
      </c>
      <c r="B856" t="s">
        <v>4</v>
      </c>
      <c r="C856" t="s">
        <v>32</v>
      </c>
      <c r="D856">
        <v>0</v>
      </c>
    </row>
    <row r="857" spans="1:4" x14ac:dyDescent="0.35">
      <c r="A857" t="s">
        <v>37</v>
      </c>
      <c r="B857" t="s">
        <v>4</v>
      </c>
      <c r="C857" t="s">
        <v>32</v>
      </c>
      <c r="D857">
        <v>0</v>
      </c>
    </row>
    <row r="858" spans="1:4" x14ac:dyDescent="0.35">
      <c r="A858" t="s">
        <v>38</v>
      </c>
      <c r="B858" t="s">
        <v>4</v>
      </c>
      <c r="C858" t="s">
        <v>32</v>
      </c>
      <c r="D858">
        <v>178.33506894751994</v>
      </c>
    </row>
    <row r="859" spans="1:4" x14ac:dyDescent="0.35">
      <c r="A859" t="s">
        <v>39</v>
      </c>
      <c r="B859" t="s">
        <v>4</v>
      </c>
      <c r="C859" t="s">
        <v>32</v>
      </c>
      <c r="D859">
        <v>0</v>
      </c>
    </row>
    <row r="860" spans="1:4" x14ac:dyDescent="0.35">
      <c r="A860" t="s">
        <v>7</v>
      </c>
      <c r="B860" t="s">
        <v>4</v>
      </c>
      <c r="C860" t="s">
        <v>33</v>
      </c>
      <c r="D860">
        <v>0</v>
      </c>
    </row>
    <row r="861" spans="1:4" x14ac:dyDescent="0.35">
      <c r="A861" t="s">
        <v>8</v>
      </c>
      <c r="B861" t="s">
        <v>4</v>
      </c>
      <c r="C861" t="s">
        <v>33</v>
      </c>
      <c r="D861">
        <v>0</v>
      </c>
    </row>
    <row r="862" spans="1:4" x14ac:dyDescent="0.35">
      <c r="A862" t="s">
        <v>9</v>
      </c>
      <c r="B862" t="s">
        <v>4</v>
      </c>
      <c r="C862" t="s">
        <v>33</v>
      </c>
      <c r="D862">
        <v>18.857054673291714</v>
      </c>
    </row>
    <row r="863" spans="1:4" x14ac:dyDescent="0.35">
      <c r="A863" t="s">
        <v>10</v>
      </c>
      <c r="B863" t="s">
        <v>4</v>
      </c>
      <c r="C863" t="s">
        <v>33</v>
      </c>
      <c r="D863">
        <v>0.23914918211468589</v>
      </c>
    </row>
    <row r="864" spans="1:4" x14ac:dyDescent="0.35">
      <c r="A864" t="s">
        <v>11</v>
      </c>
      <c r="B864" t="s">
        <v>4</v>
      </c>
      <c r="C864" t="s">
        <v>33</v>
      </c>
      <c r="D864">
        <v>0</v>
      </c>
    </row>
    <row r="865" spans="1:4" x14ac:dyDescent="0.35">
      <c r="A865" t="s">
        <v>12</v>
      </c>
      <c r="B865" t="s">
        <v>4</v>
      </c>
      <c r="C865" t="s">
        <v>33</v>
      </c>
      <c r="D865">
        <v>0</v>
      </c>
    </row>
    <row r="866" spans="1:4" x14ac:dyDescent="0.35">
      <c r="A866" t="s">
        <v>13</v>
      </c>
      <c r="B866" t="s">
        <v>4</v>
      </c>
      <c r="C866" t="s">
        <v>33</v>
      </c>
      <c r="D866">
        <v>14.941112835530813</v>
      </c>
    </row>
    <row r="867" spans="1:4" x14ac:dyDescent="0.35">
      <c r="A867" t="s">
        <v>14</v>
      </c>
      <c r="B867" t="s">
        <v>4</v>
      </c>
      <c r="C867" t="s">
        <v>33</v>
      </c>
      <c r="D867">
        <v>16.305916884069287</v>
      </c>
    </row>
    <row r="868" spans="1:4" x14ac:dyDescent="0.35">
      <c r="A868" t="s">
        <v>15</v>
      </c>
      <c r="B868" t="s">
        <v>4</v>
      </c>
      <c r="C868" t="s">
        <v>33</v>
      </c>
      <c r="D868">
        <v>0.76477182312548708</v>
      </c>
    </row>
    <row r="869" spans="1:4" x14ac:dyDescent="0.35">
      <c r="A869" t="s">
        <v>16</v>
      </c>
      <c r="B869" t="s">
        <v>4</v>
      </c>
      <c r="C869" t="s">
        <v>33</v>
      </c>
      <c r="D869">
        <v>0</v>
      </c>
    </row>
    <row r="870" spans="1:4" x14ac:dyDescent="0.35">
      <c r="A870" t="s">
        <v>17</v>
      </c>
      <c r="B870" t="s">
        <v>4</v>
      </c>
      <c r="C870" t="s">
        <v>33</v>
      </c>
      <c r="D870">
        <v>0</v>
      </c>
    </row>
    <row r="871" spans="1:4" x14ac:dyDescent="0.35">
      <c r="A871" t="s">
        <v>18</v>
      </c>
      <c r="B871" t="s">
        <v>4</v>
      </c>
      <c r="C871" t="s">
        <v>33</v>
      </c>
      <c r="D871">
        <v>0</v>
      </c>
    </row>
    <row r="872" spans="1:4" x14ac:dyDescent="0.35">
      <c r="A872" t="s">
        <v>19</v>
      </c>
      <c r="B872" t="s">
        <v>4</v>
      </c>
      <c r="C872" t="s">
        <v>33</v>
      </c>
      <c r="D872">
        <v>28.744998926270082</v>
      </c>
    </row>
    <row r="873" spans="1:4" x14ac:dyDescent="0.35">
      <c r="A873" t="s">
        <v>20</v>
      </c>
      <c r="B873" t="s">
        <v>4</v>
      </c>
      <c r="C873" t="s">
        <v>33</v>
      </c>
      <c r="D873">
        <v>0</v>
      </c>
    </row>
    <row r="874" spans="1:4" x14ac:dyDescent="0.35">
      <c r="A874" t="s">
        <v>21</v>
      </c>
      <c r="B874" t="s">
        <v>4</v>
      </c>
      <c r="C874" t="s">
        <v>33</v>
      </c>
      <c r="D874">
        <v>0.27499637764579293</v>
      </c>
    </row>
    <row r="875" spans="1:4" x14ac:dyDescent="0.35">
      <c r="A875" t="s">
        <v>22</v>
      </c>
      <c r="B875" t="s">
        <v>4</v>
      </c>
      <c r="C875" t="s">
        <v>33</v>
      </c>
      <c r="D875">
        <v>13.524173677910333</v>
      </c>
    </row>
    <row r="876" spans="1:4" x14ac:dyDescent="0.35">
      <c r="A876" t="s">
        <v>23</v>
      </c>
      <c r="B876" t="s">
        <v>4</v>
      </c>
      <c r="C876" t="s">
        <v>33</v>
      </c>
      <c r="D876">
        <v>1325.0476228365983</v>
      </c>
    </row>
    <row r="877" spans="1:4" x14ac:dyDescent="0.35">
      <c r="A877" t="s">
        <v>24</v>
      </c>
      <c r="B877" t="s">
        <v>4</v>
      </c>
      <c r="C877" t="s">
        <v>33</v>
      </c>
      <c r="D877">
        <v>3500.0958517136155</v>
      </c>
    </row>
    <row r="878" spans="1:4" x14ac:dyDescent="0.35">
      <c r="A878" t="s">
        <v>25</v>
      </c>
      <c r="B878" t="s">
        <v>4</v>
      </c>
      <c r="C878" t="s">
        <v>33</v>
      </c>
      <c r="D878">
        <v>48.601540134549637</v>
      </c>
    </row>
    <row r="879" spans="1:4" x14ac:dyDescent="0.35">
      <c r="A879" t="s">
        <v>26</v>
      </c>
      <c r="B879" t="s">
        <v>4</v>
      </c>
      <c r="C879" t="s">
        <v>33</v>
      </c>
      <c r="D879">
        <v>0</v>
      </c>
    </row>
    <row r="880" spans="1:4" x14ac:dyDescent="0.35">
      <c r="A880" t="s">
        <v>27</v>
      </c>
      <c r="B880" t="s">
        <v>4</v>
      </c>
      <c r="C880" t="s">
        <v>33</v>
      </c>
      <c r="D880">
        <v>1.9506401825855249</v>
      </c>
    </row>
    <row r="881" spans="1:4" x14ac:dyDescent="0.35">
      <c r="A881" t="s">
        <v>28</v>
      </c>
      <c r="B881" t="s">
        <v>4</v>
      </c>
      <c r="C881" t="s">
        <v>33</v>
      </c>
      <c r="D881">
        <v>0</v>
      </c>
    </row>
    <row r="882" spans="1:4" x14ac:dyDescent="0.35">
      <c r="A882" t="s">
        <v>29</v>
      </c>
      <c r="B882" t="s">
        <v>4</v>
      </c>
      <c r="C882" t="s">
        <v>33</v>
      </c>
      <c r="D882">
        <v>1.1110233513986032</v>
      </c>
    </row>
    <row r="883" spans="1:4" x14ac:dyDescent="0.35">
      <c r="A883" t="s">
        <v>30</v>
      </c>
      <c r="B883" t="s">
        <v>4</v>
      </c>
      <c r="C883" t="s">
        <v>33</v>
      </c>
      <c r="D883">
        <v>0.72628209755105055</v>
      </c>
    </row>
    <row r="884" spans="1:4" x14ac:dyDescent="0.35">
      <c r="A884" t="s">
        <v>31</v>
      </c>
      <c r="B884" t="s">
        <v>4</v>
      </c>
      <c r="C884" t="s">
        <v>33</v>
      </c>
      <c r="D884">
        <v>289.7290651621941</v>
      </c>
    </row>
    <row r="885" spans="1:4" x14ac:dyDescent="0.35">
      <c r="A885" t="s">
        <v>32</v>
      </c>
      <c r="B885" t="s">
        <v>4</v>
      </c>
      <c r="C885" t="s">
        <v>33</v>
      </c>
      <c r="D885">
        <v>6151.8327946468362</v>
      </c>
    </row>
    <row r="886" spans="1:4" x14ac:dyDescent="0.35">
      <c r="A886" t="s">
        <v>33</v>
      </c>
      <c r="B886" t="s">
        <v>4</v>
      </c>
      <c r="C886" t="s">
        <v>33</v>
      </c>
      <c r="D886">
        <v>2059.2334761254633</v>
      </c>
    </row>
    <row r="887" spans="1:4" x14ac:dyDescent="0.35">
      <c r="A887" t="s">
        <v>34</v>
      </c>
      <c r="B887" t="s">
        <v>4</v>
      </c>
      <c r="C887" t="s">
        <v>33</v>
      </c>
      <c r="D887">
        <v>3590.4937287553876</v>
      </c>
    </row>
    <row r="888" spans="1:4" x14ac:dyDescent="0.35">
      <c r="A888" t="s">
        <v>35</v>
      </c>
      <c r="B888" t="s">
        <v>4</v>
      </c>
      <c r="C888" t="s">
        <v>33</v>
      </c>
      <c r="D888">
        <v>179.5928878706122</v>
      </c>
    </row>
    <row r="889" spans="1:4" x14ac:dyDescent="0.35">
      <c r="A889" t="s">
        <v>36</v>
      </c>
      <c r="B889" t="s">
        <v>4</v>
      </c>
      <c r="C889" t="s">
        <v>33</v>
      </c>
      <c r="D889">
        <v>175.4770744375501</v>
      </c>
    </row>
    <row r="890" spans="1:4" x14ac:dyDescent="0.35">
      <c r="A890" t="s">
        <v>37</v>
      </c>
      <c r="B890" t="s">
        <v>4</v>
      </c>
      <c r="C890" t="s">
        <v>33</v>
      </c>
      <c r="D890">
        <v>1.0607794893365856</v>
      </c>
    </row>
    <row r="891" spans="1:4" x14ac:dyDescent="0.35">
      <c r="A891" t="s">
        <v>38</v>
      </c>
      <c r="B891" t="s">
        <v>4</v>
      </c>
      <c r="C891" t="s">
        <v>33</v>
      </c>
      <c r="D891">
        <v>74.367891490585279</v>
      </c>
    </row>
    <row r="892" spans="1:4" x14ac:dyDescent="0.35">
      <c r="A892" t="s">
        <v>39</v>
      </c>
      <c r="B892" t="s">
        <v>4</v>
      </c>
      <c r="C892" t="s">
        <v>33</v>
      </c>
      <c r="D892">
        <v>0</v>
      </c>
    </row>
    <row r="893" spans="1:4" x14ac:dyDescent="0.35">
      <c r="A893" t="s">
        <v>7</v>
      </c>
      <c r="B893" t="s">
        <v>4</v>
      </c>
      <c r="C893" t="s">
        <v>34</v>
      </c>
      <c r="D893">
        <v>0</v>
      </c>
    </row>
    <row r="894" spans="1:4" x14ac:dyDescent="0.35">
      <c r="A894" t="s">
        <v>8</v>
      </c>
      <c r="B894" t="s">
        <v>4</v>
      </c>
      <c r="C894" t="s">
        <v>34</v>
      </c>
      <c r="D894">
        <v>0</v>
      </c>
    </row>
    <row r="895" spans="1:4" x14ac:dyDescent="0.35">
      <c r="A895" t="s">
        <v>9</v>
      </c>
      <c r="B895" t="s">
        <v>4</v>
      </c>
      <c r="C895" t="s">
        <v>34</v>
      </c>
      <c r="D895">
        <v>21.94295824923072</v>
      </c>
    </row>
    <row r="896" spans="1:4" x14ac:dyDescent="0.35">
      <c r="A896" t="s">
        <v>10</v>
      </c>
      <c r="B896" t="s">
        <v>4</v>
      </c>
      <c r="C896" t="s">
        <v>34</v>
      </c>
      <c r="D896">
        <v>17.436152679260108</v>
      </c>
    </row>
    <row r="897" spans="1:4" x14ac:dyDescent="0.35">
      <c r="A897" t="s">
        <v>11</v>
      </c>
      <c r="B897" t="s">
        <v>4</v>
      </c>
      <c r="C897" t="s">
        <v>34</v>
      </c>
      <c r="D897">
        <v>6.2667044426087523E-4</v>
      </c>
    </row>
    <row r="898" spans="1:4" x14ac:dyDescent="0.35">
      <c r="A898" t="s">
        <v>12</v>
      </c>
      <c r="B898" t="s">
        <v>4</v>
      </c>
      <c r="C898" t="s">
        <v>34</v>
      </c>
      <c r="D898">
        <v>19.572499986512216</v>
      </c>
    </row>
    <row r="899" spans="1:4" x14ac:dyDescent="0.35">
      <c r="A899" t="s">
        <v>13</v>
      </c>
      <c r="B899" t="s">
        <v>4</v>
      </c>
      <c r="C899" t="s">
        <v>34</v>
      </c>
      <c r="D899">
        <v>1463.1643519849026</v>
      </c>
    </row>
    <row r="900" spans="1:4" x14ac:dyDescent="0.35">
      <c r="A900" t="s">
        <v>14</v>
      </c>
      <c r="B900" t="s">
        <v>4</v>
      </c>
      <c r="C900" t="s">
        <v>34</v>
      </c>
      <c r="D900">
        <v>427.52563429506199</v>
      </c>
    </row>
    <row r="901" spans="1:4" x14ac:dyDescent="0.35">
      <c r="A901" t="s">
        <v>15</v>
      </c>
      <c r="B901" t="s">
        <v>4</v>
      </c>
      <c r="C901" t="s">
        <v>34</v>
      </c>
      <c r="D901">
        <v>153.25168942457159</v>
      </c>
    </row>
    <row r="902" spans="1:4" x14ac:dyDescent="0.35">
      <c r="A902" t="s">
        <v>16</v>
      </c>
      <c r="B902" t="s">
        <v>4</v>
      </c>
      <c r="C902" t="s">
        <v>34</v>
      </c>
      <c r="D902">
        <v>120.88817001246848</v>
      </c>
    </row>
    <row r="903" spans="1:4" x14ac:dyDescent="0.35">
      <c r="A903" t="s">
        <v>17</v>
      </c>
      <c r="B903" t="s">
        <v>4</v>
      </c>
      <c r="C903" t="s">
        <v>34</v>
      </c>
      <c r="D903">
        <v>0</v>
      </c>
    </row>
    <row r="904" spans="1:4" x14ac:dyDescent="0.35">
      <c r="A904" t="s">
        <v>18</v>
      </c>
      <c r="B904" t="s">
        <v>4</v>
      </c>
      <c r="C904" t="s">
        <v>34</v>
      </c>
      <c r="D904">
        <v>8.3301970248111203</v>
      </c>
    </row>
    <row r="905" spans="1:4" x14ac:dyDescent="0.35">
      <c r="A905" t="s">
        <v>19</v>
      </c>
      <c r="B905" t="s">
        <v>4</v>
      </c>
      <c r="C905" t="s">
        <v>34</v>
      </c>
      <c r="D905">
        <v>12.714916142947699</v>
      </c>
    </row>
    <row r="906" spans="1:4" x14ac:dyDescent="0.35">
      <c r="A906" t="s">
        <v>20</v>
      </c>
      <c r="B906" t="s">
        <v>4</v>
      </c>
      <c r="C906" t="s">
        <v>34</v>
      </c>
      <c r="D906">
        <v>34.907298905667119</v>
      </c>
    </row>
    <row r="907" spans="1:4" x14ac:dyDescent="0.35">
      <c r="A907" t="s">
        <v>21</v>
      </c>
      <c r="B907" t="s">
        <v>4</v>
      </c>
      <c r="C907" t="s">
        <v>34</v>
      </c>
      <c r="D907">
        <v>26.865160011504706</v>
      </c>
    </row>
    <row r="908" spans="1:4" x14ac:dyDescent="0.35">
      <c r="A908" t="s">
        <v>22</v>
      </c>
      <c r="B908" t="s">
        <v>4</v>
      </c>
      <c r="C908" t="s">
        <v>34</v>
      </c>
      <c r="D908">
        <v>110.48669414205841</v>
      </c>
    </row>
    <row r="909" spans="1:4" x14ac:dyDescent="0.35">
      <c r="A909" t="s">
        <v>23</v>
      </c>
      <c r="B909" t="s">
        <v>4</v>
      </c>
      <c r="C909" t="s">
        <v>34</v>
      </c>
      <c r="D909">
        <v>899.73462214867607</v>
      </c>
    </row>
    <row r="910" spans="1:4" x14ac:dyDescent="0.35">
      <c r="A910" t="s">
        <v>24</v>
      </c>
      <c r="B910" t="s">
        <v>4</v>
      </c>
      <c r="C910" t="s">
        <v>34</v>
      </c>
      <c r="D910">
        <v>2342.2937722541401</v>
      </c>
    </row>
    <row r="911" spans="1:4" x14ac:dyDescent="0.35">
      <c r="A911" t="s">
        <v>25</v>
      </c>
      <c r="B911" t="s">
        <v>4</v>
      </c>
      <c r="C911" t="s">
        <v>34</v>
      </c>
      <c r="D911">
        <v>5906.3929120980911</v>
      </c>
    </row>
    <row r="912" spans="1:4" x14ac:dyDescent="0.35">
      <c r="A912" t="s">
        <v>26</v>
      </c>
      <c r="B912" t="s">
        <v>4</v>
      </c>
      <c r="C912" t="s">
        <v>34</v>
      </c>
      <c r="D912">
        <v>0</v>
      </c>
    </row>
    <row r="913" spans="1:4" x14ac:dyDescent="0.35">
      <c r="A913" t="s">
        <v>27</v>
      </c>
      <c r="B913" t="s">
        <v>4</v>
      </c>
      <c r="C913" t="s">
        <v>34</v>
      </c>
      <c r="D913">
        <v>169.25823344948898</v>
      </c>
    </row>
    <row r="914" spans="1:4" x14ac:dyDescent="0.35">
      <c r="A914" t="s">
        <v>28</v>
      </c>
      <c r="B914" t="s">
        <v>4</v>
      </c>
      <c r="C914" t="s">
        <v>34</v>
      </c>
      <c r="D914">
        <v>0</v>
      </c>
    </row>
    <row r="915" spans="1:4" x14ac:dyDescent="0.35">
      <c r="A915" t="s">
        <v>29</v>
      </c>
      <c r="B915" t="s">
        <v>4</v>
      </c>
      <c r="C915" t="s">
        <v>34</v>
      </c>
      <c r="D915">
        <v>352.953613080884</v>
      </c>
    </row>
    <row r="916" spans="1:4" x14ac:dyDescent="0.35">
      <c r="A916" t="s">
        <v>30</v>
      </c>
      <c r="B916" t="s">
        <v>4</v>
      </c>
      <c r="C916" t="s">
        <v>34</v>
      </c>
      <c r="D916">
        <v>734.36693519576295</v>
      </c>
    </row>
    <row r="917" spans="1:4" x14ac:dyDescent="0.35">
      <c r="A917" t="s">
        <v>31</v>
      </c>
      <c r="B917" t="s">
        <v>4</v>
      </c>
      <c r="C917" t="s">
        <v>34</v>
      </c>
      <c r="D917">
        <v>5173.429264625368</v>
      </c>
    </row>
    <row r="918" spans="1:4" x14ac:dyDescent="0.35">
      <c r="A918" t="s">
        <v>32</v>
      </c>
      <c r="B918" t="s">
        <v>4</v>
      </c>
      <c r="C918" t="s">
        <v>34</v>
      </c>
      <c r="D918">
        <v>6427.3536921061777</v>
      </c>
    </row>
    <row r="919" spans="1:4" x14ac:dyDescent="0.35">
      <c r="A919" t="s">
        <v>33</v>
      </c>
      <c r="B919" t="s">
        <v>4</v>
      </c>
      <c r="C919" t="s">
        <v>34</v>
      </c>
      <c r="D919">
        <v>1521.2106123214553</v>
      </c>
    </row>
    <row r="920" spans="1:4" x14ac:dyDescent="0.35">
      <c r="A920" t="s">
        <v>34</v>
      </c>
      <c r="B920" t="s">
        <v>4</v>
      </c>
      <c r="C920" t="s">
        <v>34</v>
      </c>
      <c r="D920">
        <v>14582.043638037845</v>
      </c>
    </row>
    <row r="921" spans="1:4" x14ac:dyDescent="0.35">
      <c r="A921" t="s">
        <v>35</v>
      </c>
      <c r="B921" t="s">
        <v>4</v>
      </c>
      <c r="C921" t="s">
        <v>34</v>
      </c>
      <c r="D921">
        <v>2798.824769687998</v>
      </c>
    </row>
    <row r="922" spans="1:4" x14ac:dyDescent="0.35">
      <c r="A922" t="s">
        <v>36</v>
      </c>
      <c r="B922" t="s">
        <v>4</v>
      </c>
      <c r="C922" t="s">
        <v>34</v>
      </c>
      <c r="D922">
        <v>475.93751484732758</v>
      </c>
    </row>
    <row r="923" spans="1:4" x14ac:dyDescent="0.35">
      <c r="A923" t="s">
        <v>37</v>
      </c>
      <c r="B923" t="s">
        <v>4</v>
      </c>
      <c r="C923" t="s">
        <v>34</v>
      </c>
      <c r="D923">
        <v>36.56065831653504</v>
      </c>
    </row>
    <row r="924" spans="1:4" x14ac:dyDescent="0.35">
      <c r="A924" t="s">
        <v>38</v>
      </c>
      <c r="B924" t="s">
        <v>4</v>
      </c>
      <c r="C924" t="s">
        <v>34</v>
      </c>
      <c r="D924">
        <v>898.52413997432382</v>
      </c>
    </row>
    <row r="925" spans="1:4" x14ac:dyDescent="0.35">
      <c r="A925" t="s">
        <v>39</v>
      </c>
      <c r="B925" t="s">
        <v>4</v>
      </c>
      <c r="C925" t="s">
        <v>34</v>
      </c>
      <c r="D925">
        <v>0</v>
      </c>
    </row>
    <row r="926" spans="1:4" x14ac:dyDescent="0.35">
      <c r="A926" t="s">
        <v>7</v>
      </c>
      <c r="B926" t="s">
        <v>4</v>
      </c>
      <c r="C926" t="s">
        <v>35</v>
      </c>
      <c r="D926">
        <v>0</v>
      </c>
    </row>
    <row r="927" spans="1:4" x14ac:dyDescent="0.35">
      <c r="A927" t="s">
        <v>8</v>
      </c>
      <c r="B927" t="s">
        <v>4</v>
      </c>
      <c r="C927" t="s">
        <v>35</v>
      </c>
      <c r="D927">
        <v>0</v>
      </c>
    </row>
    <row r="928" spans="1:4" x14ac:dyDescent="0.35">
      <c r="A928" t="s">
        <v>9</v>
      </c>
      <c r="B928" t="s">
        <v>4</v>
      </c>
      <c r="C928" t="s">
        <v>35</v>
      </c>
      <c r="D928">
        <v>32.698842537407472</v>
      </c>
    </row>
    <row r="929" spans="1:4" x14ac:dyDescent="0.35">
      <c r="A929" t="s">
        <v>10</v>
      </c>
      <c r="B929" t="s">
        <v>4</v>
      </c>
      <c r="C929" t="s">
        <v>35</v>
      </c>
      <c r="D929">
        <v>49.994857054501523</v>
      </c>
    </row>
    <row r="930" spans="1:4" x14ac:dyDescent="0.35">
      <c r="A930" t="s">
        <v>11</v>
      </c>
      <c r="B930" t="s">
        <v>4</v>
      </c>
      <c r="C930" t="s">
        <v>35</v>
      </c>
      <c r="D930">
        <v>0.37689165083767612</v>
      </c>
    </row>
    <row r="931" spans="1:4" x14ac:dyDescent="0.35">
      <c r="A931" t="s">
        <v>12</v>
      </c>
      <c r="B931" t="s">
        <v>4</v>
      </c>
      <c r="C931" t="s">
        <v>35</v>
      </c>
      <c r="D931">
        <v>0</v>
      </c>
    </row>
    <row r="932" spans="1:4" x14ac:dyDescent="0.35">
      <c r="A932" t="s">
        <v>13</v>
      </c>
      <c r="B932" t="s">
        <v>4</v>
      </c>
      <c r="C932" t="s">
        <v>35</v>
      </c>
      <c r="D932">
        <v>325.70957997070559</v>
      </c>
    </row>
    <row r="933" spans="1:4" x14ac:dyDescent="0.35">
      <c r="A933" t="s">
        <v>14</v>
      </c>
      <c r="B933" t="s">
        <v>4</v>
      </c>
      <c r="C933" t="s">
        <v>35</v>
      </c>
      <c r="D933">
        <v>303.54180108804502</v>
      </c>
    </row>
    <row r="934" spans="1:4" x14ac:dyDescent="0.35">
      <c r="A934" t="s">
        <v>15</v>
      </c>
      <c r="B934" t="s">
        <v>4</v>
      </c>
      <c r="C934" t="s">
        <v>35</v>
      </c>
      <c r="D934">
        <v>5.1455691776009118</v>
      </c>
    </row>
    <row r="935" spans="1:4" x14ac:dyDescent="0.35">
      <c r="A935" t="s">
        <v>16</v>
      </c>
      <c r="B935" t="s">
        <v>4</v>
      </c>
      <c r="C935" t="s">
        <v>35</v>
      </c>
      <c r="D935">
        <v>0</v>
      </c>
    </row>
    <row r="936" spans="1:4" x14ac:dyDescent="0.35">
      <c r="A936" t="s">
        <v>17</v>
      </c>
      <c r="B936" t="s">
        <v>4</v>
      </c>
      <c r="C936" t="s">
        <v>35</v>
      </c>
      <c r="D936">
        <v>0</v>
      </c>
    </row>
    <row r="937" spans="1:4" x14ac:dyDescent="0.35">
      <c r="A937" t="s">
        <v>18</v>
      </c>
      <c r="B937" t="s">
        <v>4</v>
      </c>
      <c r="C937" t="s">
        <v>35</v>
      </c>
      <c r="D937">
        <v>37.931526327368736</v>
      </c>
    </row>
    <row r="938" spans="1:4" x14ac:dyDescent="0.35">
      <c r="A938" t="s">
        <v>19</v>
      </c>
      <c r="B938" t="s">
        <v>4</v>
      </c>
      <c r="C938" t="s">
        <v>35</v>
      </c>
      <c r="D938">
        <v>6.2807787864781925</v>
      </c>
    </row>
    <row r="939" spans="1:4" x14ac:dyDescent="0.35">
      <c r="A939" t="s">
        <v>20</v>
      </c>
      <c r="B939" t="s">
        <v>4</v>
      </c>
      <c r="C939" t="s">
        <v>35</v>
      </c>
      <c r="D939">
        <v>0.1861471690273355</v>
      </c>
    </row>
    <row r="940" spans="1:4" x14ac:dyDescent="0.35">
      <c r="A940" t="s">
        <v>21</v>
      </c>
      <c r="B940" t="s">
        <v>4</v>
      </c>
      <c r="C940" t="s">
        <v>35</v>
      </c>
      <c r="D940">
        <v>0.13930326086787445</v>
      </c>
    </row>
    <row r="941" spans="1:4" x14ac:dyDescent="0.35">
      <c r="A941" t="s">
        <v>22</v>
      </c>
      <c r="B941" t="s">
        <v>4</v>
      </c>
      <c r="C941" t="s">
        <v>35</v>
      </c>
      <c r="D941">
        <v>63.442360097852671</v>
      </c>
    </row>
    <row r="942" spans="1:4" x14ac:dyDescent="0.35">
      <c r="A942" t="s">
        <v>23</v>
      </c>
      <c r="B942" t="s">
        <v>4</v>
      </c>
      <c r="C942" t="s">
        <v>35</v>
      </c>
      <c r="D942">
        <v>2429.6091971184273</v>
      </c>
    </row>
    <row r="943" spans="1:4" x14ac:dyDescent="0.35">
      <c r="A943" t="s">
        <v>24</v>
      </c>
      <c r="B943" t="s">
        <v>4</v>
      </c>
      <c r="C943" t="s">
        <v>35</v>
      </c>
      <c r="D943">
        <v>1501.0534730112875</v>
      </c>
    </row>
    <row r="944" spans="1:4" x14ac:dyDescent="0.35">
      <c r="A944" t="s">
        <v>25</v>
      </c>
      <c r="B944" t="s">
        <v>4</v>
      </c>
      <c r="C944" t="s">
        <v>35</v>
      </c>
      <c r="D944">
        <v>434.94268574128546</v>
      </c>
    </row>
    <row r="945" spans="1:4" x14ac:dyDescent="0.35">
      <c r="A945" t="s">
        <v>26</v>
      </c>
      <c r="B945" t="s">
        <v>4</v>
      </c>
      <c r="C945" t="s">
        <v>35</v>
      </c>
      <c r="D945">
        <v>2504.271593319731</v>
      </c>
    </row>
    <row r="946" spans="1:4" x14ac:dyDescent="0.35">
      <c r="A946" t="s">
        <v>27</v>
      </c>
      <c r="B946" t="s">
        <v>4</v>
      </c>
      <c r="C946" t="s">
        <v>35</v>
      </c>
      <c r="D946">
        <v>559.28771237474177</v>
      </c>
    </row>
    <row r="947" spans="1:4" x14ac:dyDescent="0.35">
      <c r="A947" t="s">
        <v>28</v>
      </c>
      <c r="B947" t="s">
        <v>4</v>
      </c>
      <c r="C947" t="s">
        <v>35</v>
      </c>
      <c r="D947">
        <v>0</v>
      </c>
    </row>
    <row r="948" spans="1:4" x14ac:dyDescent="0.35">
      <c r="A948" t="s">
        <v>29</v>
      </c>
      <c r="B948" t="s">
        <v>4</v>
      </c>
      <c r="C948" t="s">
        <v>35</v>
      </c>
      <c r="D948">
        <v>294.04842799317868</v>
      </c>
    </row>
    <row r="949" spans="1:4" x14ac:dyDescent="0.35">
      <c r="A949" t="s">
        <v>30</v>
      </c>
      <c r="B949" t="s">
        <v>4</v>
      </c>
      <c r="C949" t="s">
        <v>35</v>
      </c>
      <c r="D949">
        <v>0</v>
      </c>
    </row>
    <row r="950" spans="1:4" x14ac:dyDescent="0.35">
      <c r="A950" t="s">
        <v>31</v>
      </c>
      <c r="B950" t="s">
        <v>4</v>
      </c>
      <c r="C950" t="s">
        <v>35</v>
      </c>
      <c r="D950">
        <v>1083.447536888172</v>
      </c>
    </row>
    <row r="951" spans="1:4" x14ac:dyDescent="0.35">
      <c r="A951" t="s">
        <v>32</v>
      </c>
      <c r="B951" t="s">
        <v>4</v>
      </c>
      <c r="C951" t="s">
        <v>35</v>
      </c>
      <c r="D951">
        <v>3719.6512446557617</v>
      </c>
    </row>
    <row r="952" spans="1:4" x14ac:dyDescent="0.35">
      <c r="A952" t="s">
        <v>33</v>
      </c>
      <c r="B952" t="s">
        <v>4</v>
      </c>
      <c r="C952" t="s">
        <v>35</v>
      </c>
      <c r="D952">
        <v>262.6309976476474</v>
      </c>
    </row>
    <row r="953" spans="1:4" x14ac:dyDescent="0.35">
      <c r="A953" t="s">
        <v>34</v>
      </c>
      <c r="B953" t="s">
        <v>4</v>
      </c>
      <c r="C953" t="s">
        <v>35</v>
      </c>
      <c r="D953">
        <v>740.6669836897288</v>
      </c>
    </row>
    <row r="954" spans="1:4" x14ac:dyDescent="0.35">
      <c r="A954" t="s">
        <v>35</v>
      </c>
      <c r="B954" t="s">
        <v>4</v>
      </c>
      <c r="C954" t="s">
        <v>35</v>
      </c>
      <c r="D954">
        <v>736.89616587267665</v>
      </c>
    </row>
    <row r="955" spans="1:4" x14ac:dyDescent="0.35">
      <c r="A955" t="s">
        <v>36</v>
      </c>
      <c r="B955" t="s">
        <v>4</v>
      </c>
      <c r="C955" t="s">
        <v>35</v>
      </c>
      <c r="D955">
        <v>209.57345405691186</v>
      </c>
    </row>
    <row r="956" spans="1:4" x14ac:dyDescent="0.35">
      <c r="A956" t="s">
        <v>37</v>
      </c>
      <c r="B956" t="s">
        <v>4</v>
      </c>
      <c r="C956" t="s">
        <v>35</v>
      </c>
      <c r="D956">
        <v>0</v>
      </c>
    </row>
    <row r="957" spans="1:4" x14ac:dyDescent="0.35">
      <c r="A957" t="s">
        <v>38</v>
      </c>
      <c r="B957" t="s">
        <v>4</v>
      </c>
      <c r="C957" t="s">
        <v>35</v>
      </c>
      <c r="D957">
        <v>28.088886834106376</v>
      </c>
    </row>
    <row r="958" spans="1:4" x14ac:dyDescent="0.35">
      <c r="A958" t="s">
        <v>39</v>
      </c>
      <c r="B958" t="s">
        <v>4</v>
      </c>
      <c r="C958" t="s">
        <v>35</v>
      </c>
      <c r="D958">
        <v>0</v>
      </c>
    </row>
    <row r="959" spans="1:4" x14ac:dyDescent="0.35">
      <c r="A959" t="s">
        <v>7</v>
      </c>
      <c r="B959" t="s">
        <v>4</v>
      </c>
      <c r="C959" t="s">
        <v>36</v>
      </c>
      <c r="D959">
        <v>0</v>
      </c>
    </row>
    <row r="960" spans="1:4" x14ac:dyDescent="0.35">
      <c r="A960" t="s">
        <v>8</v>
      </c>
      <c r="B960" t="s">
        <v>4</v>
      </c>
      <c r="C960" t="s">
        <v>36</v>
      </c>
      <c r="D960">
        <v>0</v>
      </c>
    </row>
    <row r="961" spans="1:4" x14ac:dyDescent="0.35">
      <c r="A961" t="s">
        <v>9</v>
      </c>
      <c r="B961" t="s">
        <v>4</v>
      </c>
      <c r="C961" t="s">
        <v>36</v>
      </c>
      <c r="D961">
        <v>2.0183938953295439</v>
      </c>
    </row>
    <row r="962" spans="1:4" x14ac:dyDescent="0.35">
      <c r="A962" t="s">
        <v>10</v>
      </c>
      <c r="B962" t="s">
        <v>4</v>
      </c>
      <c r="C962" t="s">
        <v>36</v>
      </c>
      <c r="D962">
        <v>1.8707338228670258</v>
      </c>
    </row>
    <row r="963" spans="1:4" x14ac:dyDescent="0.35">
      <c r="A963" t="s">
        <v>11</v>
      </c>
      <c r="B963" t="s">
        <v>4</v>
      </c>
      <c r="C963" t="s">
        <v>36</v>
      </c>
      <c r="D963">
        <v>0</v>
      </c>
    </row>
    <row r="964" spans="1:4" x14ac:dyDescent="0.35">
      <c r="A964" t="s">
        <v>12</v>
      </c>
      <c r="B964" t="s">
        <v>4</v>
      </c>
      <c r="C964" t="s">
        <v>36</v>
      </c>
      <c r="D964">
        <v>0</v>
      </c>
    </row>
    <row r="965" spans="1:4" x14ac:dyDescent="0.35">
      <c r="A965" t="s">
        <v>13</v>
      </c>
      <c r="B965" t="s">
        <v>4</v>
      </c>
      <c r="C965" t="s">
        <v>36</v>
      </c>
      <c r="D965">
        <v>382.08369470538963</v>
      </c>
    </row>
    <row r="966" spans="1:4" x14ac:dyDescent="0.35">
      <c r="A966" t="s">
        <v>14</v>
      </c>
      <c r="B966" t="s">
        <v>4</v>
      </c>
      <c r="C966" t="s">
        <v>36</v>
      </c>
      <c r="D966">
        <v>22.263995261071159</v>
      </c>
    </row>
    <row r="967" spans="1:4" x14ac:dyDescent="0.35">
      <c r="A967" t="s">
        <v>15</v>
      </c>
      <c r="B967" t="s">
        <v>4</v>
      </c>
      <c r="C967" t="s">
        <v>36</v>
      </c>
      <c r="D967">
        <v>0.73521707622500321</v>
      </c>
    </row>
    <row r="968" spans="1:4" x14ac:dyDescent="0.35">
      <c r="A968" t="s">
        <v>16</v>
      </c>
      <c r="B968" t="s">
        <v>4</v>
      </c>
      <c r="C968" t="s">
        <v>36</v>
      </c>
      <c r="D968">
        <v>0</v>
      </c>
    </row>
    <row r="969" spans="1:4" x14ac:dyDescent="0.35">
      <c r="A969" t="s">
        <v>17</v>
      </c>
      <c r="B969" t="s">
        <v>4</v>
      </c>
      <c r="C969" t="s">
        <v>36</v>
      </c>
      <c r="D969">
        <v>7.2355631108489069E-2</v>
      </c>
    </row>
    <row r="970" spans="1:4" x14ac:dyDescent="0.35">
      <c r="A970" t="s">
        <v>18</v>
      </c>
      <c r="B970" t="s">
        <v>4</v>
      </c>
      <c r="C970" t="s">
        <v>36</v>
      </c>
      <c r="D970">
        <v>0</v>
      </c>
    </row>
    <row r="971" spans="1:4" x14ac:dyDescent="0.35">
      <c r="A971" t="s">
        <v>19</v>
      </c>
      <c r="B971" t="s">
        <v>4</v>
      </c>
      <c r="C971" t="s">
        <v>36</v>
      </c>
      <c r="D971">
        <v>0.87791445080573471</v>
      </c>
    </row>
    <row r="972" spans="1:4" x14ac:dyDescent="0.35">
      <c r="A972" t="s">
        <v>20</v>
      </c>
      <c r="B972" t="s">
        <v>4</v>
      </c>
      <c r="C972" t="s">
        <v>36</v>
      </c>
      <c r="D972">
        <v>6.1889660845754471E-3</v>
      </c>
    </row>
    <row r="973" spans="1:4" x14ac:dyDescent="0.35">
      <c r="A973" t="s">
        <v>21</v>
      </c>
      <c r="B973" t="s">
        <v>4</v>
      </c>
      <c r="C973" t="s">
        <v>36</v>
      </c>
      <c r="D973">
        <v>3.8972509020241811E-2</v>
      </c>
    </row>
    <row r="974" spans="1:4" x14ac:dyDescent="0.35">
      <c r="A974" t="s">
        <v>22</v>
      </c>
      <c r="B974" t="s">
        <v>4</v>
      </c>
      <c r="C974" t="s">
        <v>36</v>
      </c>
      <c r="D974">
        <v>5.4437236355955845</v>
      </c>
    </row>
    <row r="975" spans="1:4" x14ac:dyDescent="0.35">
      <c r="A975" t="s">
        <v>23</v>
      </c>
      <c r="B975" t="s">
        <v>4</v>
      </c>
      <c r="C975" t="s">
        <v>36</v>
      </c>
      <c r="D975">
        <v>178.30998777368671</v>
      </c>
    </row>
    <row r="976" spans="1:4" x14ac:dyDescent="0.35">
      <c r="A976" t="s">
        <v>24</v>
      </c>
      <c r="B976" t="s">
        <v>4</v>
      </c>
      <c r="C976" t="s">
        <v>36</v>
      </c>
      <c r="D976">
        <v>285.30666440584713</v>
      </c>
    </row>
    <row r="977" spans="1:4" x14ac:dyDescent="0.35">
      <c r="A977" t="s">
        <v>25</v>
      </c>
      <c r="B977" t="s">
        <v>4</v>
      </c>
      <c r="C977" t="s">
        <v>36</v>
      </c>
      <c r="D977">
        <v>241.12273023096333</v>
      </c>
    </row>
    <row r="978" spans="1:4" x14ac:dyDescent="0.35">
      <c r="A978" t="s">
        <v>26</v>
      </c>
      <c r="B978" t="s">
        <v>4</v>
      </c>
      <c r="C978" t="s">
        <v>36</v>
      </c>
      <c r="D978">
        <v>14.592941857270215</v>
      </c>
    </row>
    <row r="979" spans="1:4" x14ac:dyDescent="0.35">
      <c r="A979" t="s">
        <v>27</v>
      </c>
      <c r="B979" t="s">
        <v>4</v>
      </c>
      <c r="C979" t="s">
        <v>36</v>
      </c>
      <c r="D979">
        <v>525.122853268516</v>
      </c>
    </row>
    <row r="980" spans="1:4" x14ac:dyDescent="0.35">
      <c r="A980" t="s">
        <v>28</v>
      </c>
      <c r="B980" t="s">
        <v>4</v>
      </c>
      <c r="C980" t="s">
        <v>36</v>
      </c>
      <c r="D980">
        <v>0</v>
      </c>
    </row>
    <row r="981" spans="1:4" x14ac:dyDescent="0.35">
      <c r="A981" t="s">
        <v>29</v>
      </c>
      <c r="B981" t="s">
        <v>4</v>
      </c>
      <c r="C981" t="s">
        <v>36</v>
      </c>
      <c r="D981">
        <v>26.962664577082766</v>
      </c>
    </row>
    <row r="982" spans="1:4" x14ac:dyDescent="0.35">
      <c r="A982" t="s">
        <v>30</v>
      </c>
      <c r="B982" t="s">
        <v>4</v>
      </c>
      <c r="C982" t="s">
        <v>36</v>
      </c>
      <c r="D982">
        <v>5.380602524324348</v>
      </c>
    </row>
    <row r="983" spans="1:4" x14ac:dyDescent="0.35">
      <c r="A983" t="s">
        <v>31</v>
      </c>
      <c r="B983" t="s">
        <v>4</v>
      </c>
      <c r="C983" t="s">
        <v>36</v>
      </c>
      <c r="D983">
        <v>92.806437151635379</v>
      </c>
    </row>
    <row r="984" spans="1:4" x14ac:dyDescent="0.35">
      <c r="A984" t="s">
        <v>32</v>
      </c>
      <c r="B984" t="s">
        <v>4</v>
      </c>
      <c r="C984" t="s">
        <v>36</v>
      </c>
      <c r="D984">
        <v>769.36020051400124</v>
      </c>
    </row>
    <row r="985" spans="1:4" x14ac:dyDescent="0.35">
      <c r="A985" t="s">
        <v>33</v>
      </c>
      <c r="B985" t="s">
        <v>4</v>
      </c>
      <c r="C985" t="s">
        <v>36</v>
      </c>
      <c r="D985">
        <v>204.97099794745975</v>
      </c>
    </row>
    <row r="986" spans="1:4" x14ac:dyDescent="0.35">
      <c r="A986" t="s">
        <v>34</v>
      </c>
      <c r="B986" t="s">
        <v>4</v>
      </c>
      <c r="C986" t="s">
        <v>36</v>
      </c>
      <c r="D986">
        <v>513.38974186426412</v>
      </c>
    </row>
    <row r="987" spans="1:4" x14ac:dyDescent="0.35">
      <c r="A987" t="s">
        <v>35</v>
      </c>
      <c r="B987" t="s">
        <v>4</v>
      </c>
      <c r="C987" t="s">
        <v>36</v>
      </c>
      <c r="D987">
        <v>358.51317874398075</v>
      </c>
    </row>
    <row r="988" spans="1:4" x14ac:dyDescent="0.35">
      <c r="A988" t="s">
        <v>36</v>
      </c>
      <c r="B988" t="s">
        <v>4</v>
      </c>
      <c r="C988" t="s">
        <v>36</v>
      </c>
      <c r="D988">
        <v>35.69483078692631</v>
      </c>
    </row>
    <row r="989" spans="1:4" x14ac:dyDescent="0.35">
      <c r="A989" t="s">
        <v>37</v>
      </c>
      <c r="B989" t="s">
        <v>4</v>
      </c>
      <c r="C989" t="s">
        <v>36</v>
      </c>
      <c r="D989">
        <v>1.3208688367088743</v>
      </c>
    </row>
    <row r="990" spans="1:4" x14ac:dyDescent="0.35">
      <c r="A990" t="s">
        <v>38</v>
      </c>
      <c r="B990" t="s">
        <v>4</v>
      </c>
      <c r="C990" t="s">
        <v>36</v>
      </c>
      <c r="D990">
        <v>8.9625838526444568</v>
      </c>
    </row>
    <row r="991" spans="1:4" x14ac:dyDescent="0.35">
      <c r="A991" t="s">
        <v>39</v>
      </c>
      <c r="B991" t="s">
        <v>4</v>
      </c>
      <c r="C991" t="s">
        <v>36</v>
      </c>
      <c r="D991">
        <v>0</v>
      </c>
    </row>
    <row r="992" spans="1:4" x14ac:dyDescent="0.35">
      <c r="A992" t="s">
        <v>7</v>
      </c>
      <c r="B992" t="s">
        <v>4</v>
      </c>
      <c r="C992" t="s">
        <v>37</v>
      </c>
      <c r="D992">
        <v>2.5282806274302074</v>
      </c>
    </row>
    <row r="993" spans="1:4" x14ac:dyDescent="0.35">
      <c r="A993" t="s">
        <v>8</v>
      </c>
      <c r="B993" t="s">
        <v>4</v>
      </c>
      <c r="C993" t="s">
        <v>37</v>
      </c>
      <c r="D993">
        <v>0</v>
      </c>
    </row>
    <row r="994" spans="1:4" x14ac:dyDescent="0.35">
      <c r="A994" t="s">
        <v>9</v>
      </c>
      <c r="B994" t="s">
        <v>4</v>
      </c>
      <c r="C994" t="s">
        <v>37</v>
      </c>
      <c r="D994">
        <v>91.956079625190426</v>
      </c>
    </row>
    <row r="995" spans="1:4" x14ac:dyDescent="0.35">
      <c r="A995" t="s">
        <v>10</v>
      </c>
      <c r="B995" t="s">
        <v>4</v>
      </c>
      <c r="C995" t="s">
        <v>37</v>
      </c>
      <c r="D995">
        <v>2.5529934078989638</v>
      </c>
    </row>
    <row r="996" spans="1:4" x14ac:dyDescent="0.35">
      <c r="A996" t="s">
        <v>11</v>
      </c>
      <c r="B996" t="s">
        <v>4</v>
      </c>
      <c r="C996" t="s">
        <v>37</v>
      </c>
      <c r="D996">
        <v>0</v>
      </c>
    </row>
    <row r="997" spans="1:4" x14ac:dyDescent="0.35">
      <c r="A997" t="s">
        <v>12</v>
      </c>
      <c r="B997" t="s">
        <v>4</v>
      </c>
      <c r="C997" t="s">
        <v>37</v>
      </c>
      <c r="D997">
        <v>0</v>
      </c>
    </row>
    <row r="998" spans="1:4" x14ac:dyDescent="0.35">
      <c r="A998" t="s">
        <v>13</v>
      </c>
      <c r="B998" t="s">
        <v>4</v>
      </c>
      <c r="C998" t="s">
        <v>37</v>
      </c>
      <c r="D998">
        <v>44.848880449409435</v>
      </c>
    </row>
    <row r="999" spans="1:4" x14ac:dyDescent="0.35">
      <c r="A999" t="s">
        <v>14</v>
      </c>
      <c r="B999" t="s">
        <v>4</v>
      </c>
      <c r="C999" t="s">
        <v>37</v>
      </c>
      <c r="D999">
        <v>22.218551506956661</v>
      </c>
    </row>
    <row r="1000" spans="1:4" x14ac:dyDescent="0.35">
      <c r="A1000" t="s">
        <v>15</v>
      </c>
      <c r="B1000" t="s">
        <v>4</v>
      </c>
      <c r="C1000" t="s">
        <v>37</v>
      </c>
      <c r="D1000">
        <v>190.58401478992346</v>
      </c>
    </row>
    <row r="1001" spans="1:4" x14ac:dyDescent="0.35">
      <c r="A1001" t="s">
        <v>16</v>
      </c>
      <c r="B1001" t="s">
        <v>4</v>
      </c>
      <c r="C1001" t="s">
        <v>37</v>
      </c>
      <c r="D1001">
        <v>1.2868332321225471</v>
      </c>
    </row>
    <row r="1002" spans="1:4" x14ac:dyDescent="0.35">
      <c r="A1002" t="s">
        <v>17</v>
      </c>
      <c r="B1002" t="s">
        <v>4</v>
      </c>
      <c r="C1002" t="s">
        <v>37</v>
      </c>
      <c r="D1002">
        <v>26.810017822838599</v>
      </c>
    </row>
    <row r="1003" spans="1:4" x14ac:dyDescent="0.35">
      <c r="A1003" t="s">
        <v>18</v>
      </c>
      <c r="B1003" t="s">
        <v>4</v>
      </c>
      <c r="C1003" t="s">
        <v>37</v>
      </c>
      <c r="D1003">
        <v>0</v>
      </c>
    </row>
    <row r="1004" spans="1:4" x14ac:dyDescent="0.35">
      <c r="A1004" t="s">
        <v>19</v>
      </c>
      <c r="B1004" t="s">
        <v>4</v>
      </c>
      <c r="C1004" t="s">
        <v>37</v>
      </c>
      <c r="D1004">
        <v>4.1753334871627574</v>
      </c>
    </row>
    <row r="1005" spans="1:4" x14ac:dyDescent="0.35">
      <c r="A1005" t="s">
        <v>20</v>
      </c>
      <c r="B1005" t="s">
        <v>4</v>
      </c>
      <c r="C1005" t="s">
        <v>37</v>
      </c>
      <c r="D1005">
        <v>0.13526049585797695</v>
      </c>
    </row>
    <row r="1006" spans="1:4" x14ac:dyDescent="0.35">
      <c r="A1006" t="s">
        <v>21</v>
      </c>
      <c r="B1006" t="s">
        <v>4</v>
      </c>
      <c r="C1006" t="s">
        <v>37</v>
      </c>
      <c r="D1006">
        <v>0.8775665572261161</v>
      </c>
    </row>
    <row r="1007" spans="1:4" x14ac:dyDescent="0.35">
      <c r="A1007" t="s">
        <v>22</v>
      </c>
      <c r="B1007" t="s">
        <v>4</v>
      </c>
      <c r="C1007" t="s">
        <v>37</v>
      </c>
      <c r="D1007">
        <v>42.388889926369039</v>
      </c>
    </row>
    <row r="1008" spans="1:4" x14ac:dyDescent="0.35">
      <c r="A1008" t="s">
        <v>23</v>
      </c>
      <c r="B1008" t="s">
        <v>4</v>
      </c>
      <c r="C1008" t="s">
        <v>37</v>
      </c>
      <c r="D1008">
        <v>257.88615026759044</v>
      </c>
    </row>
    <row r="1009" spans="1:4" x14ac:dyDescent="0.35">
      <c r="A1009" t="s">
        <v>24</v>
      </c>
      <c r="B1009" t="s">
        <v>4</v>
      </c>
      <c r="C1009" t="s">
        <v>37</v>
      </c>
      <c r="D1009">
        <v>288.31597839295802</v>
      </c>
    </row>
    <row r="1010" spans="1:4" x14ac:dyDescent="0.35">
      <c r="A1010" t="s">
        <v>25</v>
      </c>
      <c r="B1010" t="s">
        <v>4</v>
      </c>
      <c r="C1010" t="s">
        <v>37</v>
      </c>
      <c r="D1010">
        <v>282.93304121154273</v>
      </c>
    </row>
    <row r="1011" spans="1:4" x14ac:dyDescent="0.35">
      <c r="A1011" t="s">
        <v>26</v>
      </c>
      <c r="B1011" t="s">
        <v>4</v>
      </c>
      <c r="C1011" t="s">
        <v>37</v>
      </c>
      <c r="D1011">
        <v>26.962491246004372</v>
      </c>
    </row>
    <row r="1012" spans="1:4" x14ac:dyDescent="0.35">
      <c r="A1012" t="s">
        <v>27</v>
      </c>
      <c r="B1012" t="s">
        <v>4</v>
      </c>
      <c r="C1012" t="s">
        <v>37</v>
      </c>
      <c r="D1012">
        <v>132.80170577846974</v>
      </c>
    </row>
    <row r="1013" spans="1:4" x14ac:dyDescent="0.35">
      <c r="A1013" t="s">
        <v>28</v>
      </c>
      <c r="B1013" t="s">
        <v>4</v>
      </c>
      <c r="C1013" t="s">
        <v>37</v>
      </c>
      <c r="D1013">
        <v>0</v>
      </c>
    </row>
    <row r="1014" spans="1:4" x14ac:dyDescent="0.35">
      <c r="A1014" t="s">
        <v>29</v>
      </c>
      <c r="B1014" t="s">
        <v>4</v>
      </c>
      <c r="C1014" t="s">
        <v>37</v>
      </c>
      <c r="D1014">
        <v>47.390507798544839</v>
      </c>
    </row>
    <row r="1015" spans="1:4" x14ac:dyDescent="0.35">
      <c r="A1015" t="s">
        <v>30</v>
      </c>
      <c r="B1015" t="s">
        <v>4</v>
      </c>
      <c r="C1015" t="s">
        <v>37</v>
      </c>
      <c r="D1015">
        <v>13.593884839607684</v>
      </c>
    </row>
    <row r="1016" spans="1:4" x14ac:dyDescent="0.35">
      <c r="A1016" t="s">
        <v>31</v>
      </c>
      <c r="B1016" t="s">
        <v>4</v>
      </c>
      <c r="C1016" t="s">
        <v>37</v>
      </c>
      <c r="D1016">
        <v>278.63542798438192</v>
      </c>
    </row>
    <row r="1017" spans="1:4" x14ac:dyDescent="0.35">
      <c r="A1017" t="s">
        <v>32</v>
      </c>
      <c r="B1017" t="s">
        <v>4</v>
      </c>
      <c r="C1017" t="s">
        <v>37</v>
      </c>
      <c r="D1017">
        <v>745.04037716750975</v>
      </c>
    </row>
    <row r="1018" spans="1:4" x14ac:dyDescent="0.35">
      <c r="A1018" t="s">
        <v>33</v>
      </c>
      <c r="B1018" t="s">
        <v>4</v>
      </c>
      <c r="C1018" t="s">
        <v>37</v>
      </c>
      <c r="D1018">
        <v>239.7579675232227</v>
      </c>
    </row>
    <row r="1019" spans="1:4" x14ac:dyDescent="0.35">
      <c r="A1019" t="s">
        <v>34</v>
      </c>
      <c r="B1019" t="s">
        <v>4</v>
      </c>
      <c r="C1019" t="s">
        <v>37</v>
      </c>
      <c r="D1019">
        <v>806.83091232117033</v>
      </c>
    </row>
    <row r="1020" spans="1:4" x14ac:dyDescent="0.35">
      <c r="A1020" t="s">
        <v>35</v>
      </c>
      <c r="B1020" t="s">
        <v>4</v>
      </c>
      <c r="C1020" t="s">
        <v>37</v>
      </c>
      <c r="D1020">
        <v>282.11911724798671</v>
      </c>
    </row>
    <row r="1021" spans="1:4" x14ac:dyDescent="0.35">
      <c r="A1021" t="s">
        <v>36</v>
      </c>
      <c r="B1021" t="s">
        <v>4</v>
      </c>
      <c r="C1021" t="s">
        <v>37</v>
      </c>
      <c r="D1021">
        <v>0.10572106881247796</v>
      </c>
    </row>
    <row r="1022" spans="1:4" x14ac:dyDescent="0.35">
      <c r="A1022" t="s">
        <v>37</v>
      </c>
      <c r="B1022" t="s">
        <v>4</v>
      </c>
      <c r="C1022" t="s">
        <v>37</v>
      </c>
      <c r="D1022">
        <v>4.5908994290480196</v>
      </c>
    </row>
    <row r="1023" spans="1:4" x14ac:dyDescent="0.35">
      <c r="A1023" t="s">
        <v>38</v>
      </c>
      <c r="B1023" t="s">
        <v>4</v>
      </c>
      <c r="C1023" t="s">
        <v>37</v>
      </c>
      <c r="D1023">
        <v>110.35368670031438</v>
      </c>
    </row>
    <row r="1024" spans="1:4" x14ac:dyDescent="0.35">
      <c r="A1024" t="s">
        <v>39</v>
      </c>
      <c r="B1024" t="s">
        <v>4</v>
      </c>
      <c r="C1024" t="s">
        <v>37</v>
      </c>
      <c r="D1024">
        <v>0</v>
      </c>
    </row>
    <row r="1025" spans="1:4" x14ac:dyDescent="0.35">
      <c r="A1025" t="s">
        <v>7</v>
      </c>
      <c r="B1025" t="s">
        <v>4</v>
      </c>
      <c r="C1025" t="s">
        <v>38</v>
      </c>
      <c r="D1025">
        <v>0</v>
      </c>
    </row>
    <row r="1026" spans="1:4" x14ac:dyDescent="0.35">
      <c r="A1026" t="s">
        <v>8</v>
      </c>
      <c r="B1026" t="s">
        <v>4</v>
      </c>
      <c r="C1026" t="s">
        <v>38</v>
      </c>
      <c r="D1026">
        <v>0</v>
      </c>
    </row>
    <row r="1027" spans="1:4" x14ac:dyDescent="0.35">
      <c r="A1027" t="s">
        <v>9</v>
      </c>
      <c r="B1027" t="s">
        <v>4</v>
      </c>
      <c r="C1027" t="s">
        <v>38</v>
      </c>
      <c r="D1027">
        <v>137.49993491516219</v>
      </c>
    </row>
    <row r="1028" spans="1:4" x14ac:dyDescent="0.35">
      <c r="A1028" t="s">
        <v>10</v>
      </c>
      <c r="B1028" t="s">
        <v>4</v>
      </c>
      <c r="C1028" t="s">
        <v>38</v>
      </c>
      <c r="D1028">
        <v>7.0958291390869608</v>
      </c>
    </row>
    <row r="1029" spans="1:4" x14ac:dyDescent="0.35">
      <c r="A1029" t="s">
        <v>11</v>
      </c>
      <c r="B1029" t="s">
        <v>4</v>
      </c>
      <c r="C1029" t="s">
        <v>38</v>
      </c>
      <c r="D1029">
        <v>3.1526971614777473E-3</v>
      </c>
    </row>
    <row r="1030" spans="1:4" x14ac:dyDescent="0.35">
      <c r="A1030" t="s">
        <v>12</v>
      </c>
      <c r="B1030" t="s">
        <v>4</v>
      </c>
      <c r="C1030" t="s">
        <v>38</v>
      </c>
      <c r="D1030">
        <v>0.82053641317012305</v>
      </c>
    </row>
    <row r="1031" spans="1:4" x14ac:dyDescent="0.35">
      <c r="A1031" t="s">
        <v>13</v>
      </c>
      <c r="B1031" t="s">
        <v>4</v>
      </c>
      <c r="C1031" t="s">
        <v>38</v>
      </c>
      <c r="D1031">
        <v>19.732327153512994</v>
      </c>
    </row>
    <row r="1032" spans="1:4" x14ac:dyDescent="0.35">
      <c r="A1032" t="s">
        <v>14</v>
      </c>
      <c r="B1032" t="s">
        <v>4</v>
      </c>
      <c r="C1032" t="s">
        <v>38</v>
      </c>
      <c r="D1032">
        <v>100.61282389659317</v>
      </c>
    </row>
    <row r="1033" spans="1:4" x14ac:dyDescent="0.35">
      <c r="A1033" t="s">
        <v>15</v>
      </c>
      <c r="B1033" t="s">
        <v>4</v>
      </c>
      <c r="C1033" t="s">
        <v>38</v>
      </c>
      <c r="D1033">
        <v>47.118943714230959</v>
      </c>
    </row>
    <row r="1034" spans="1:4" x14ac:dyDescent="0.35">
      <c r="A1034" t="s">
        <v>16</v>
      </c>
      <c r="B1034" t="s">
        <v>4</v>
      </c>
      <c r="C1034" t="s">
        <v>38</v>
      </c>
      <c r="D1034">
        <v>6.445615879575425</v>
      </c>
    </row>
    <row r="1035" spans="1:4" x14ac:dyDescent="0.35">
      <c r="A1035" t="s">
        <v>17</v>
      </c>
      <c r="B1035" t="s">
        <v>4</v>
      </c>
      <c r="C1035" t="s">
        <v>38</v>
      </c>
      <c r="D1035">
        <v>0</v>
      </c>
    </row>
    <row r="1036" spans="1:4" x14ac:dyDescent="0.35">
      <c r="A1036" t="s">
        <v>18</v>
      </c>
      <c r="B1036" t="s">
        <v>4</v>
      </c>
      <c r="C1036" t="s">
        <v>38</v>
      </c>
      <c r="D1036">
        <v>0.1424192426329817</v>
      </c>
    </row>
    <row r="1037" spans="1:4" x14ac:dyDescent="0.35">
      <c r="A1037" t="s">
        <v>19</v>
      </c>
      <c r="B1037" t="s">
        <v>4</v>
      </c>
      <c r="C1037" t="s">
        <v>38</v>
      </c>
      <c r="D1037">
        <v>5.2848572312155193</v>
      </c>
    </row>
    <row r="1038" spans="1:4" x14ac:dyDescent="0.35">
      <c r="A1038" t="s">
        <v>20</v>
      </c>
      <c r="B1038" t="s">
        <v>4</v>
      </c>
      <c r="C1038" t="s">
        <v>38</v>
      </c>
      <c r="D1038">
        <v>3.0046910906935939E-2</v>
      </c>
    </row>
    <row r="1039" spans="1:4" x14ac:dyDescent="0.35">
      <c r="A1039" t="s">
        <v>21</v>
      </c>
      <c r="B1039" t="s">
        <v>4</v>
      </c>
      <c r="C1039" t="s">
        <v>38</v>
      </c>
      <c r="D1039">
        <v>5.7868438610369815</v>
      </c>
    </row>
    <row r="1040" spans="1:4" x14ac:dyDescent="0.35">
      <c r="A1040" t="s">
        <v>22</v>
      </c>
      <c r="B1040" t="s">
        <v>4</v>
      </c>
      <c r="C1040" t="s">
        <v>38</v>
      </c>
      <c r="D1040">
        <v>9.3898752377081802</v>
      </c>
    </row>
    <row r="1041" spans="1:4" x14ac:dyDescent="0.35">
      <c r="A1041" t="s">
        <v>23</v>
      </c>
      <c r="B1041" t="s">
        <v>4</v>
      </c>
      <c r="C1041" t="s">
        <v>38</v>
      </c>
      <c r="D1041">
        <v>399.86513320823207</v>
      </c>
    </row>
    <row r="1042" spans="1:4" x14ac:dyDescent="0.35">
      <c r="A1042" t="s">
        <v>24</v>
      </c>
      <c r="B1042" t="s">
        <v>4</v>
      </c>
      <c r="C1042" t="s">
        <v>38</v>
      </c>
      <c r="D1042">
        <v>523.06018530237088</v>
      </c>
    </row>
    <row r="1043" spans="1:4" x14ac:dyDescent="0.35">
      <c r="A1043" t="s">
        <v>25</v>
      </c>
      <c r="B1043" t="s">
        <v>4</v>
      </c>
      <c r="C1043" t="s">
        <v>38</v>
      </c>
      <c r="D1043">
        <v>423.16343290597058</v>
      </c>
    </row>
    <row r="1044" spans="1:4" x14ac:dyDescent="0.35">
      <c r="A1044" t="s">
        <v>26</v>
      </c>
      <c r="B1044" t="s">
        <v>4</v>
      </c>
      <c r="C1044" t="s">
        <v>38</v>
      </c>
      <c r="D1044">
        <v>4.0571292655176681</v>
      </c>
    </row>
    <row r="1045" spans="1:4" x14ac:dyDescent="0.35">
      <c r="A1045" t="s">
        <v>27</v>
      </c>
      <c r="B1045" t="s">
        <v>4</v>
      </c>
      <c r="C1045" t="s">
        <v>38</v>
      </c>
      <c r="D1045">
        <v>27.100820525749356</v>
      </c>
    </row>
    <row r="1046" spans="1:4" x14ac:dyDescent="0.35">
      <c r="A1046" t="s">
        <v>28</v>
      </c>
      <c r="B1046" t="s">
        <v>4</v>
      </c>
      <c r="C1046" t="s">
        <v>38</v>
      </c>
      <c r="D1046">
        <v>0</v>
      </c>
    </row>
    <row r="1047" spans="1:4" x14ac:dyDescent="0.35">
      <c r="A1047" t="s">
        <v>29</v>
      </c>
      <c r="B1047" t="s">
        <v>4</v>
      </c>
      <c r="C1047" t="s">
        <v>38</v>
      </c>
      <c r="D1047">
        <v>21.589262245976073</v>
      </c>
    </row>
    <row r="1048" spans="1:4" x14ac:dyDescent="0.35">
      <c r="A1048" t="s">
        <v>30</v>
      </c>
      <c r="B1048" t="s">
        <v>4</v>
      </c>
      <c r="C1048" t="s">
        <v>38</v>
      </c>
      <c r="D1048">
        <v>1.3588219106175483</v>
      </c>
    </row>
    <row r="1049" spans="1:4" x14ac:dyDescent="0.35">
      <c r="A1049" t="s">
        <v>31</v>
      </c>
      <c r="B1049" t="s">
        <v>4</v>
      </c>
      <c r="C1049" t="s">
        <v>38</v>
      </c>
      <c r="D1049">
        <v>250.38004599826553</v>
      </c>
    </row>
    <row r="1050" spans="1:4" x14ac:dyDescent="0.35">
      <c r="A1050" t="s">
        <v>32</v>
      </c>
      <c r="B1050" t="s">
        <v>4</v>
      </c>
      <c r="C1050" t="s">
        <v>38</v>
      </c>
      <c r="D1050">
        <v>1025.9139598440879</v>
      </c>
    </row>
    <row r="1051" spans="1:4" x14ac:dyDescent="0.35">
      <c r="A1051" t="s">
        <v>33</v>
      </c>
      <c r="B1051" t="s">
        <v>4</v>
      </c>
      <c r="C1051" t="s">
        <v>38</v>
      </c>
      <c r="D1051">
        <v>173.93145329775624</v>
      </c>
    </row>
    <row r="1052" spans="1:4" x14ac:dyDescent="0.35">
      <c r="A1052" t="s">
        <v>34</v>
      </c>
      <c r="B1052" t="s">
        <v>4</v>
      </c>
      <c r="C1052" t="s">
        <v>38</v>
      </c>
      <c r="D1052">
        <v>569.04841854775498</v>
      </c>
    </row>
    <row r="1053" spans="1:4" x14ac:dyDescent="0.35">
      <c r="A1053" t="s">
        <v>35</v>
      </c>
      <c r="B1053" t="s">
        <v>4</v>
      </c>
      <c r="C1053" t="s">
        <v>38</v>
      </c>
      <c r="D1053">
        <v>29.037873227119224</v>
      </c>
    </row>
    <row r="1054" spans="1:4" x14ac:dyDescent="0.35">
      <c r="A1054" t="s">
        <v>36</v>
      </c>
      <c r="B1054" t="s">
        <v>4</v>
      </c>
      <c r="C1054" t="s">
        <v>38</v>
      </c>
      <c r="D1054">
        <v>8.2419029968325237</v>
      </c>
    </row>
    <row r="1055" spans="1:4" x14ac:dyDescent="0.35">
      <c r="A1055" t="s">
        <v>37</v>
      </c>
      <c r="B1055" t="s">
        <v>4</v>
      </c>
      <c r="C1055" t="s">
        <v>38</v>
      </c>
      <c r="D1055">
        <v>7.9391602757226529</v>
      </c>
    </row>
    <row r="1056" spans="1:4" x14ac:dyDescent="0.35">
      <c r="A1056" t="s">
        <v>38</v>
      </c>
      <c r="B1056" t="s">
        <v>4</v>
      </c>
      <c r="C1056" t="s">
        <v>38</v>
      </c>
      <c r="D1056">
        <v>94.110320417754195</v>
      </c>
    </row>
    <row r="1057" spans="1:4" x14ac:dyDescent="0.35">
      <c r="A1057" t="s">
        <v>39</v>
      </c>
      <c r="B1057" t="s">
        <v>4</v>
      </c>
      <c r="C1057" t="s">
        <v>38</v>
      </c>
      <c r="D1057">
        <v>0</v>
      </c>
    </row>
    <row r="1058" spans="1:4" x14ac:dyDescent="0.35">
      <c r="A1058" t="s">
        <v>7</v>
      </c>
      <c r="B1058" t="s">
        <v>4</v>
      </c>
      <c r="C1058" t="s">
        <v>39</v>
      </c>
      <c r="D1058">
        <v>0</v>
      </c>
    </row>
    <row r="1059" spans="1:4" x14ac:dyDescent="0.35">
      <c r="A1059" t="s">
        <v>8</v>
      </c>
      <c r="B1059" t="s">
        <v>4</v>
      </c>
      <c r="C1059" t="s">
        <v>39</v>
      </c>
      <c r="D1059">
        <v>0</v>
      </c>
    </row>
    <row r="1060" spans="1:4" x14ac:dyDescent="0.35">
      <c r="A1060" t="s">
        <v>9</v>
      </c>
      <c r="B1060" t="s">
        <v>4</v>
      </c>
      <c r="C1060" t="s">
        <v>39</v>
      </c>
      <c r="D1060">
        <v>0</v>
      </c>
    </row>
    <row r="1061" spans="1:4" x14ac:dyDescent="0.35">
      <c r="A1061" t="s">
        <v>10</v>
      </c>
      <c r="B1061" t="s">
        <v>4</v>
      </c>
      <c r="C1061" t="s">
        <v>39</v>
      </c>
      <c r="D1061">
        <v>0</v>
      </c>
    </row>
    <row r="1062" spans="1:4" x14ac:dyDescent="0.35">
      <c r="A1062" t="s">
        <v>11</v>
      </c>
      <c r="B1062" t="s">
        <v>4</v>
      </c>
      <c r="C1062" t="s">
        <v>39</v>
      </c>
      <c r="D1062">
        <v>0</v>
      </c>
    </row>
    <row r="1063" spans="1:4" x14ac:dyDescent="0.35">
      <c r="A1063" t="s">
        <v>12</v>
      </c>
      <c r="B1063" t="s">
        <v>4</v>
      </c>
      <c r="C1063" t="s">
        <v>39</v>
      </c>
      <c r="D1063">
        <v>0</v>
      </c>
    </row>
    <row r="1064" spans="1:4" x14ac:dyDescent="0.35">
      <c r="A1064" t="s">
        <v>13</v>
      </c>
      <c r="B1064" t="s">
        <v>4</v>
      </c>
      <c r="C1064" t="s">
        <v>39</v>
      </c>
      <c r="D1064">
        <v>0</v>
      </c>
    </row>
    <row r="1065" spans="1:4" x14ac:dyDescent="0.35">
      <c r="A1065" t="s">
        <v>14</v>
      </c>
      <c r="B1065" t="s">
        <v>4</v>
      </c>
      <c r="C1065" t="s">
        <v>39</v>
      </c>
      <c r="D1065">
        <v>0</v>
      </c>
    </row>
    <row r="1066" spans="1:4" x14ac:dyDescent="0.35">
      <c r="A1066" t="s">
        <v>15</v>
      </c>
      <c r="B1066" t="s">
        <v>4</v>
      </c>
      <c r="C1066" t="s">
        <v>39</v>
      </c>
      <c r="D1066">
        <v>0</v>
      </c>
    </row>
    <row r="1067" spans="1:4" x14ac:dyDescent="0.35">
      <c r="A1067" t="s">
        <v>16</v>
      </c>
      <c r="B1067" t="s">
        <v>4</v>
      </c>
      <c r="C1067" t="s">
        <v>39</v>
      </c>
      <c r="D1067">
        <v>0</v>
      </c>
    </row>
    <row r="1068" spans="1:4" x14ac:dyDescent="0.35">
      <c r="A1068" t="s">
        <v>17</v>
      </c>
      <c r="B1068" t="s">
        <v>4</v>
      </c>
      <c r="C1068" t="s">
        <v>39</v>
      </c>
      <c r="D1068">
        <v>0</v>
      </c>
    </row>
    <row r="1069" spans="1:4" x14ac:dyDescent="0.35">
      <c r="A1069" t="s">
        <v>18</v>
      </c>
      <c r="B1069" t="s">
        <v>4</v>
      </c>
      <c r="C1069" t="s">
        <v>39</v>
      </c>
      <c r="D1069">
        <v>0</v>
      </c>
    </row>
    <row r="1070" spans="1:4" x14ac:dyDescent="0.35">
      <c r="A1070" t="s">
        <v>19</v>
      </c>
      <c r="B1070" t="s">
        <v>4</v>
      </c>
      <c r="C1070" t="s">
        <v>39</v>
      </c>
      <c r="D1070">
        <v>0</v>
      </c>
    </row>
    <row r="1071" spans="1:4" x14ac:dyDescent="0.35">
      <c r="A1071" t="s">
        <v>20</v>
      </c>
      <c r="B1071" t="s">
        <v>4</v>
      </c>
      <c r="C1071" t="s">
        <v>39</v>
      </c>
      <c r="D1071">
        <v>0</v>
      </c>
    </row>
    <row r="1072" spans="1:4" x14ac:dyDescent="0.35">
      <c r="A1072" t="s">
        <v>21</v>
      </c>
      <c r="B1072" t="s">
        <v>4</v>
      </c>
      <c r="C1072" t="s">
        <v>39</v>
      </c>
      <c r="D1072">
        <v>0</v>
      </c>
    </row>
    <row r="1073" spans="1:4" x14ac:dyDescent="0.35">
      <c r="A1073" t="s">
        <v>22</v>
      </c>
      <c r="B1073" t="s">
        <v>4</v>
      </c>
      <c r="C1073" t="s">
        <v>39</v>
      </c>
      <c r="D1073">
        <v>0</v>
      </c>
    </row>
    <row r="1074" spans="1:4" x14ac:dyDescent="0.35">
      <c r="A1074" t="s">
        <v>23</v>
      </c>
      <c r="B1074" t="s">
        <v>4</v>
      </c>
      <c r="C1074" t="s">
        <v>39</v>
      </c>
      <c r="D1074">
        <v>0</v>
      </c>
    </row>
    <row r="1075" spans="1:4" x14ac:dyDescent="0.35">
      <c r="A1075" t="s">
        <v>24</v>
      </c>
      <c r="B1075" t="s">
        <v>4</v>
      </c>
      <c r="C1075" t="s">
        <v>39</v>
      </c>
      <c r="D1075">
        <v>0</v>
      </c>
    </row>
    <row r="1076" spans="1:4" x14ac:dyDescent="0.35">
      <c r="A1076" t="s">
        <v>25</v>
      </c>
      <c r="B1076" t="s">
        <v>4</v>
      </c>
      <c r="C1076" t="s">
        <v>39</v>
      </c>
      <c r="D1076">
        <v>0</v>
      </c>
    </row>
    <row r="1077" spans="1:4" x14ac:dyDescent="0.35">
      <c r="A1077" t="s">
        <v>26</v>
      </c>
      <c r="B1077" t="s">
        <v>4</v>
      </c>
      <c r="C1077" t="s">
        <v>39</v>
      </c>
      <c r="D1077">
        <v>0</v>
      </c>
    </row>
    <row r="1078" spans="1:4" x14ac:dyDescent="0.35">
      <c r="A1078" t="s">
        <v>27</v>
      </c>
      <c r="B1078" t="s">
        <v>4</v>
      </c>
      <c r="C1078" t="s">
        <v>39</v>
      </c>
      <c r="D1078">
        <v>0</v>
      </c>
    </row>
    <row r="1079" spans="1:4" x14ac:dyDescent="0.35">
      <c r="A1079" t="s">
        <v>28</v>
      </c>
      <c r="B1079" t="s">
        <v>4</v>
      </c>
      <c r="C1079" t="s">
        <v>39</v>
      </c>
      <c r="D1079">
        <v>0</v>
      </c>
    </row>
    <row r="1080" spans="1:4" x14ac:dyDescent="0.35">
      <c r="A1080" t="s">
        <v>29</v>
      </c>
      <c r="B1080" t="s">
        <v>4</v>
      </c>
      <c r="C1080" t="s">
        <v>39</v>
      </c>
      <c r="D1080">
        <v>0</v>
      </c>
    </row>
    <row r="1081" spans="1:4" x14ac:dyDescent="0.35">
      <c r="A1081" t="s">
        <v>30</v>
      </c>
      <c r="B1081" t="s">
        <v>4</v>
      </c>
      <c r="C1081" t="s">
        <v>39</v>
      </c>
      <c r="D1081">
        <v>0</v>
      </c>
    </row>
    <row r="1082" spans="1:4" x14ac:dyDescent="0.35">
      <c r="A1082" t="s">
        <v>31</v>
      </c>
      <c r="B1082" t="s">
        <v>4</v>
      </c>
      <c r="C1082" t="s">
        <v>39</v>
      </c>
      <c r="D1082">
        <v>0</v>
      </c>
    </row>
    <row r="1083" spans="1:4" x14ac:dyDescent="0.35">
      <c r="A1083" t="s">
        <v>32</v>
      </c>
      <c r="B1083" t="s">
        <v>4</v>
      </c>
      <c r="C1083" t="s">
        <v>39</v>
      </c>
      <c r="D1083">
        <v>0</v>
      </c>
    </row>
    <row r="1084" spans="1:4" x14ac:dyDescent="0.35">
      <c r="A1084" t="s">
        <v>33</v>
      </c>
      <c r="B1084" t="s">
        <v>4</v>
      </c>
      <c r="C1084" t="s">
        <v>39</v>
      </c>
      <c r="D1084">
        <v>0</v>
      </c>
    </row>
    <row r="1085" spans="1:4" x14ac:dyDescent="0.35">
      <c r="A1085" t="s">
        <v>34</v>
      </c>
      <c r="B1085" t="s">
        <v>4</v>
      </c>
      <c r="C1085" t="s">
        <v>39</v>
      </c>
      <c r="D1085">
        <v>0</v>
      </c>
    </row>
    <row r="1086" spans="1:4" x14ac:dyDescent="0.35">
      <c r="A1086" t="s">
        <v>35</v>
      </c>
      <c r="B1086" t="s">
        <v>4</v>
      </c>
      <c r="C1086" t="s">
        <v>39</v>
      </c>
      <c r="D1086">
        <v>0</v>
      </c>
    </row>
    <row r="1087" spans="1:4" x14ac:dyDescent="0.35">
      <c r="A1087" t="s">
        <v>36</v>
      </c>
      <c r="B1087" t="s">
        <v>4</v>
      </c>
      <c r="C1087" t="s">
        <v>39</v>
      </c>
      <c r="D1087">
        <v>0</v>
      </c>
    </row>
    <row r="1088" spans="1:4" x14ac:dyDescent="0.35">
      <c r="A1088" t="s">
        <v>37</v>
      </c>
      <c r="B1088" t="s">
        <v>4</v>
      </c>
      <c r="C1088" t="s">
        <v>39</v>
      </c>
      <c r="D1088">
        <v>0</v>
      </c>
    </row>
    <row r="1089" spans="1:4" x14ac:dyDescent="0.35">
      <c r="A1089" t="s">
        <v>38</v>
      </c>
      <c r="B1089" t="s">
        <v>4</v>
      </c>
      <c r="C1089" t="s">
        <v>39</v>
      </c>
      <c r="D1089">
        <v>0</v>
      </c>
    </row>
    <row r="1090" spans="1:4" x14ac:dyDescent="0.35">
      <c r="A1090" t="s">
        <v>39</v>
      </c>
      <c r="B1090" t="s">
        <v>4</v>
      </c>
      <c r="C1090" t="s">
        <v>39</v>
      </c>
      <c r="D1090">
        <v>0</v>
      </c>
    </row>
    <row r="1091" spans="1:4" x14ac:dyDescent="0.35">
      <c r="A1091" t="s">
        <v>7</v>
      </c>
      <c r="B1091" t="s">
        <v>5</v>
      </c>
      <c r="C1091" t="s">
        <v>7</v>
      </c>
      <c r="D1091">
        <v>133.18404470849964</v>
      </c>
    </row>
    <row r="1092" spans="1:4" x14ac:dyDescent="0.35">
      <c r="A1092" t="s">
        <v>8</v>
      </c>
      <c r="B1092" t="s">
        <v>5</v>
      </c>
      <c r="C1092" t="s">
        <v>7</v>
      </c>
      <c r="D1092">
        <v>0</v>
      </c>
    </row>
    <row r="1093" spans="1:4" x14ac:dyDescent="0.35">
      <c r="A1093" t="s">
        <v>9</v>
      </c>
      <c r="B1093" t="s">
        <v>5</v>
      </c>
      <c r="C1093" t="s">
        <v>7</v>
      </c>
      <c r="D1093">
        <v>285.48164351833242</v>
      </c>
    </row>
    <row r="1094" spans="1:4" x14ac:dyDescent="0.35">
      <c r="A1094" t="s">
        <v>10</v>
      </c>
      <c r="B1094" t="s">
        <v>5</v>
      </c>
      <c r="C1094" t="s">
        <v>7</v>
      </c>
      <c r="D1094">
        <v>8.564839984063223</v>
      </c>
    </row>
    <row r="1095" spans="1:4" x14ac:dyDescent="0.35">
      <c r="A1095" t="s">
        <v>11</v>
      </c>
      <c r="B1095" t="s">
        <v>5</v>
      </c>
      <c r="C1095" t="s">
        <v>7</v>
      </c>
      <c r="D1095">
        <v>0</v>
      </c>
    </row>
    <row r="1096" spans="1:4" x14ac:dyDescent="0.35">
      <c r="A1096" t="s">
        <v>12</v>
      </c>
      <c r="B1096" t="s">
        <v>5</v>
      </c>
      <c r="C1096" t="s">
        <v>7</v>
      </c>
      <c r="D1096">
        <v>0</v>
      </c>
    </row>
    <row r="1097" spans="1:4" x14ac:dyDescent="0.35">
      <c r="A1097" t="s">
        <v>13</v>
      </c>
      <c r="B1097" t="s">
        <v>5</v>
      </c>
      <c r="C1097" t="s">
        <v>7</v>
      </c>
      <c r="D1097">
        <v>0</v>
      </c>
    </row>
    <row r="1098" spans="1:4" x14ac:dyDescent="0.35">
      <c r="A1098" t="s">
        <v>14</v>
      </c>
      <c r="B1098" t="s">
        <v>5</v>
      </c>
      <c r="C1098" t="s">
        <v>7</v>
      </c>
      <c r="D1098">
        <v>23.191184794943172</v>
      </c>
    </row>
    <row r="1099" spans="1:4" x14ac:dyDescent="0.35">
      <c r="A1099" t="s">
        <v>15</v>
      </c>
      <c r="B1099" t="s">
        <v>5</v>
      </c>
      <c r="C1099" t="s">
        <v>7</v>
      </c>
      <c r="D1099">
        <v>5.0174661680520787</v>
      </c>
    </row>
    <row r="1100" spans="1:4" x14ac:dyDescent="0.35">
      <c r="A1100" t="s">
        <v>16</v>
      </c>
      <c r="B1100" t="s">
        <v>5</v>
      </c>
      <c r="C1100" t="s">
        <v>7</v>
      </c>
      <c r="D1100">
        <v>0</v>
      </c>
    </row>
    <row r="1101" spans="1:4" x14ac:dyDescent="0.35">
      <c r="A1101" t="s">
        <v>17</v>
      </c>
      <c r="B1101" t="s">
        <v>5</v>
      </c>
      <c r="C1101" t="s">
        <v>7</v>
      </c>
      <c r="D1101">
        <v>0</v>
      </c>
    </row>
    <row r="1102" spans="1:4" x14ac:dyDescent="0.35">
      <c r="A1102" t="s">
        <v>18</v>
      </c>
      <c r="B1102" t="s">
        <v>5</v>
      </c>
      <c r="C1102" t="s">
        <v>7</v>
      </c>
      <c r="D1102">
        <v>0</v>
      </c>
    </row>
    <row r="1103" spans="1:4" x14ac:dyDescent="0.35">
      <c r="A1103" t="s">
        <v>19</v>
      </c>
      <c r="B1103" t="s">
        <v>5</v>
      </c>
      <c r="C1103" t="s">
        <v>7</v>
      </c>
      <c r="D1103">
        <v>0</v>
      </c>
    </row>
    <row r="1104" spans="1:4" x14ac:dyDescent="0.35">
      <c r="A1104" t="s">
        <v>20</v>
      </c>
      <c r="B1104" t="s">
        <v>5</v>
      </c>
      <c r="C1104" t="s">
        <v>7</v>
      </c>
      <c r="D1104">
        <v>0</v>
      </c>
    </row>
    <row r="1105" spans="1:4" x14ac:dyDescent="0.35">
      <c r="A1105" t="s">
        <v>21</v>
      </c>
      <c r="B1105" t="s">
        <v>5</v>
      </c>
      <c r="C1105" t="s">
        <v>7</v>
      </c>
      <c r="D1105">
        <v>0</v>
      </c>
    </row>
    <row r="1106" spans="1:4" x14ac:dyDescent="0.35">
      <c r="A1106" t="s">
        <v>22</v>
      </c>
      <c r="B1106" t="s">
        <v>5</v>
      </c>
      <c r="C1106" t="s">
        <v>7</v>
      </c>
      <c r="D1106">
        <v>0</v>
      </c>
    </row>
    <row r="1107" spans="1:4" x14ac:dyDescent="0.35">
      <c r="A1107" t="s">
        <v>23</v>
      </c>
      <c r="B1107" t="s">
        <v>5</v>
      </c>
      <c r="C1107" t="s">
        <v>7</v>
      </c>
      <c r="D1107">
        <v>0.1257110497324507</v>
      </c>
    </row>
    <row r="1108" spans="1:4" x14ac:dyDescent="0.35">
      <c r="A1108" t="s">
        <v>24</v>
      </c>
      <c r="B1108" t="s">
        <v>5</v>
      </c>
      <c r="C1108" t="s">
        <v>7</v>
      </c>
      <c r="D1108">
        <v>0</v>
      </c>
    </row>
    <row r="1109" spans="1:4" x14ac:dyDescent="0.35">
      <c r="A1109" t="s">
        <v>25</v>
      </c>
      <c r="B1109" t="s">
        <v>5</v>
      </c>
      <c r="C1109" t="s">
        <v>7</v>
      </c>
      <c r="D1109">
        <v>0.96394709438912629</v>
      </c>
    </row>
    <row r="1110" spans="1:4" x14ac:dyDescent="0.35">
      <c r="A1110" t="s">
        <v>26</v>
      </c>
      <c r="B1110" t="s">
        <v>5</v>
      </c>
      <c r="C1110" t="s">
        <v>7</v>
      </c>
      <c r="D1110">
        <v>0</v>
      </c>
    </row>
    <row r="1111" spans="1:4" x14ac:dyDescent="0.35">
      <c r="A1111" t="s">
        <v>27</v>
      </c>
      <c r="B1111" t="s">
        <v>5</v>
      </c>
      <c r="C1111" t="s">
        <v>7</v>
      </c>
      <c r="D1111">
        <v>0.25805140231770551</v>
      </c>
    </row>
    <row r="1112" spans="1:4" x14ac:dyDescent="0.35">
      <c r="A1112" t="s">
        <v>28</v>
      </c>
      <c r="B1112" t="s">
        <v>5</v>
      </c>
      <c r="C1112" t="s">
        <v>7</v>
      </c>
      <c r="D1112">
        <v>0</v>
      </c>
    </row>
    <row r="1113" spans="1:4" x14ac:dyDescent="0.35">
      <c r="A1113" t="s">
        <v>29</v>
      </c>
      <c r="B1113" t="s">
        <v>5</v>
      </c>
      <c r="C1113" t="s">
        <v>7</v>
      </c>
      <c r="D1113">
        <v>0</v>
      </c>
    </row>
    <row r="1114" spans="1:4" x14ac:dyDescent="0.35">
      <c r="A1114" t="s">
        <v>30</v>
      </c>
      <c r="B1114" t="s">
        <v>5</v>
      </c>
      <c r="C1114" t="s">
        <v>7</v>
      </c>
      <c r="D1114">
        <v>0</v>
      </c>
    </row>
    <row r="1115" spans="1:4" x14ac:dyDescent="0.35">
      <c r="A1115" t="s">
        <v>31</v>
      </c>
      <c r="B1115" t="s">
        <v>5</v>
      </c>
      <c r="C1115" t="s">
        <v>7</v>
      </c>
      <c r="D1115">
        <v>2.5392218615837348E-2</v>
      </c>
    </row>
    <row r="1116" spans="1:4" x14ac:dyDescent="0.35">
      <c r="A1116" t="s">
        <v>32</v>
      </c>
      <c r="B1116" t="s">
        <v>5</v>
      </c>
      <c r="C1116" t="s">
        <v>7</v>
      </c>
      <c r="D1116">
        <v>0.75741019838939416</v>
      </c>
    </row>
    <row r="1117" spans="1:4" x14ac:dyDescent="0.35">
      <c r="A1117" t="s">
        <v>33</v>
      </c>
      <c r="B1117" t="s">
        <v>5</v>
      </c>
      <c r="C1117" t="s">
        <v>7</v>
      </c>
      <c r="D1117">
        <v>0</v>
      </c>
    </row>
    <row r="1118" spans="1:4" x14ac:dyDescent="0.35">
      <c r="A1118" t="s">
        <v>34</v>
      </c>
      <c r="B1118" t="s">
        <v>5</v>
      </c>
      <c r="C1118" t="s">
        <v>7</v>
      </c>
      <c r="D1118">
        <v>0.15416451616606403</v>
      </c>
    </row>
    <row r="1119" spans="1:4" x14ac:dyDescent="0.35">
      <c r="A1119" t="s">
        <v>35</v>
      </c>
      <c r="B1119" t="s">
        <v>5</v>
      </c>
      <c r="C1119" t="s">
        <v>7</v>
      </c>
      <c r="D1119">
        <v>0</v>
      </c>
    </row>
    <row r="1120" spans="1:4" x14ac:dyDescent="0.35">
      <c r="A1120" t="s">
        <v>36</v>
      </c>
      <c r="B1120" t="s">
        <v>5</v>
      </c>
      <c r="C1120" t="s">
        <v>7</v>
      </c>
      <c r="D1120">
        <v>0</v>
      </c>
    </row>
    <row r="1121" spans="1:4" x14ac:dyDescent="0.35">
      <c r="A1121" t="s">
        <v>37</v>
      </c>
      <c r="B1121" t="s">
        <v>5</v>
      </c>
      <c r="C1121" t="s">
        <v>7</v>
      </c>
      <c r="D1121">
        <v>0</v>
      </c>
    </row>
    <row r="1122" spans="1:4" x14ac:dyDescent="0.35">
      <c r="A1122" t="s">
        <v>38</v>
      </c>
      <c r="B1122" t="s">
        <v>5</v>
      </c>
      <c r="C1122" t="s">
        <v>7</v>
      </c>
      <c r="D1122">
        <v>0</v>
      </c>
    </row>
    <row r="1123" spans="1:4" x14ac:dyDescent="0.35">
      <c r="A1123" t="s">
        <v>39</v>
      </c>
      <c r="B1123" t="s">
        <v>5</v>
      </c>
      <c r="C1123" t="s">
        <v>7</v>
      </c>
      <c r="D1123">
        <v>0</v>
      </c>
    </row>
    <row r="1124" spans="1:4" x14ac:dyDescent="0.35">
      <c r="A1124" t="s">
        <v>7</v>
      </c>
      <c r="B1124" t="s">
        <v>5</v>
      </c>
      <c r="C1124" t="s">
        <v>8</v>
      </c>
      <c r="D1124">
        <v>0</v>
      </c>
    </row>
    <row r="1125" spans="1:4" x14ac:dyDescent="0.35">
      <c r="A1125" t="s">
        <v>8</v>
      </c>
      <c r="B1125" t="s">
        <v>5</v>
      </c>
      <c r="C1125" t="s">
        <v>8</v>
      </c>
      <c r="D1125">
        <v>603.58854957457311</v>
      </c>
    </row>
    <row r="1126" spans="1:4" x14ac:dyDescent="0.35">
      <c r="A1126" t="s">
        <v>9</v>
      </c>
      <c r="B1126" t="s">
        <v>5</v>
      </c>
      <c r="C1126" t="s">
        <v>8</v>
      </c>
      <c r="D1126">
        <v>0</v>
      </c>
    </row>
    <row r="1127" spans="1:4" x14ac:dyDescent="0.35">
      <c r="A1127" t="s">
        <v>10</v>
      </c>
      <c r="B1127" t="s">
        <v>5</v>
      </c>
      <c r="C1127" t="s">
        <v>8</v>
      </c>
      <c r="D1127">
        <v>0</v>
      </c>
    </row>
    <row r="1128" spans="1:4" x14ac:dyDescent="0.35">
      <c r="A1128" t="s">
        <v>11</v>
      </c>
      <c r="B1128" t="s">
        <v>5</v>
      </c>
      <c r="C1128" t="s">
        <v>8</v>
      </c>
      <c r="D1128">
        <v>0</v>
      </c>
    </row>
    <row r="1129" spans="1:4" x14ac:dyDescent="0.35">
      <c r="A1129" t="s">
        <v>12</v>
      </c>
      <c r="B1129" t="s">
        <v>5</v>
      </c>
      <c r="C1129" t="s">
        <v>8</v>
      </c>
      <c r="D1129">
        <v>0</v>
      </c>
    </row>
    <row r="1130" spans="1:4" x14ac:dyDescent="0.35">
      <c r="A1130" t="s">
        <v>13</v>
      </c>
      <c r="B1130" t="s">
        <v>5</v>
      </c>
      <c r="C1130" t="s">
        <v>8</v>
      </c>
      <c r="D1130">
        <v>0</v>
      </c>
    </row>
    <row r="1131" spans="1:4" x14ac:dyDescent="0.35">
      <c r="A1131" t="s">
        <v>14</v>
      </c>
      <c r="B1131" t="s">
        <v>5</v>
      </c>
      <c r="C1131" t="s">
        <v>8</v>
      </c>
      <c r="D1131">
        <v>313.28818853291824</v>
      </c>
    </row>
    <row r="1132" spans="1:4" x14ac:dyDescent="0.35">
      <c r="A1132" t="s">
        <v>15</v>
      </c>
      <c r="B1132" t="s">
        <v>5</v>
      </c>
      <c r="C1132" t="s">
        <v>8</v>
      </c>
      <c r="D1132">
        <v>0</v>
      </c>
    </row>
    <row r="1133" spans="1:4" x14ac:dyDescent="0.35">
      <c r="A1133" t="s">
        <v>16</v>
      </c>
      <c r="B1133" t="s">
        <v>5</v>
      </c>
      <c r="C1133" t="s">
        <v>8</v>
      </c>
      <c r="D1133">
        <v>0</v>
      </c>
    </row>
    <row r="1134" spans="1:4" x14ac:dyDescent="0.35">
      <c r="A1134" t="s">
        <v>17</v>
      </c>
      <c r="B1134" t="s">
        <v>5</v>
      </c>
      <c r="C1134" t="s">
        <v>8</v>
      </c>
      <c r="D1134">
        <v>0</v>
      </c>
    </row>
    <row r="1135" spans="1:4" x14ac:dyDescent="0.35">
      <c r="A1135" t="s">
        <v>18</v>
      </c>
      <c r="B1135" t="s">
        <v>5</v>
      </c>
      <c r="C1135" t="s">
        <v>8</v>
      </c>
      <c r="D1135">
        <v>0</v>
      </c>
    </row>
    <row r="1136" spans="1:4" x14ac:dyDescent="0.35">
      <c r="A1136" t="s">
        <v>19</v>
      </c>
      <c r="B1136" t="s">
        <v>5</v>
      </c>
      <c r="C1136" t="s">
        <v>8</v>
      </c>
      <c r="D1136">
        <v>0</v>
      </c>
    </row>
    <row r="1137" spans="1:4" x14ac:dyDescent="0.35">
      <c r="A1137" t="s">
        <v>20</v>
      </c>
      <c r="B1137" t="s">
        <v>5</v>
      </c>
      <c r="C1137" t="s">
        <v>8</v>
      </c>
      <c r="D1137">
        <v>0</v>
      </c>
    </row>
    <row r="1138" spans="1:4" x14ac:dyDescent="0.35">
      <c r="A1138" t="s">
        <v>21</v>
      </c>
      <c r="B1138" t="s">
        <v>5</v>
      </c>
      <c r="C1138" t="s">
        <v>8</v>
      </c>
      <c r="D1138">
        <v>0</v>
      </c>
    </row>
    <row r="1139" spans="1:4" x14ac:dyDescent="0.35">
      <c r="A1139" t="s">
        <v>22</v>
      </c>
      <c r="B1139" t="s">
        <v>5</v>
      </c>
      <c r="C1139" t="s">
        <v>8</v>
      </c>
      <c r="D1139">
        <v>33.903687126541151</v>
      </c>
    </row>
    <row r="1140" spans="1:4" x14ac:dyDescent="0.35">
      <c r="A1140" t="s">
        <v>23</v>
      </c>
      <c r="B1140" t="s">
        <v>5</v>
      </c>
      <c r="C1140" t="s">
        <v>8</v>
      </c>
      <c r="D1140">
        <v>1.2032187033417998</v>
      </c>
    </row>
    <row r="1141" spans="1:4" x14ac:dyDescent="0.35">
      <c r="A1141" t="s">
        <v>24</v>
      </c>
      <c r="B1141" t="s">
        <v>5</v>
      </c>
      <c r="C1141" t="s">
        <v>8</v>
      </c>
      <c r="D1141">
        <v>1.9398744150235665</v>
      </c>
    </row>
    <row r="1142" spans="1:4" x14ac:dyDescent="0.35">
      <c r="A1142" t="s">
        <v>25</v>
      </c>
      <c r="B1142" t="s">
        <v>5</v>
      </c>
      <c r="C1142" t="s">
        <v>8</v>
      </c>
      <c r="D1142">
        <v>2.8308251231463806</v>
      </c>
    </row>
    <row r="1143" spans="1:4" x14ac:dyDescent="0.35">
      <c r="A1143" t="s">
        <v>26</v>
      </c>
      <c r="B1143" t="s">
        <v>5</v>
      </c>
      <c r="C1143" t="s">
        <v>8</v>
      </c>
      <c r="D1143">
        <v>0</v>
      </c>
    </row>
    <row r="1144" spans="1:4" x14ac:dyDescent="0.35">
      <c r="A1144" t="s">
        <v>27</v>
      </c>
      <c r="B1144" t="s">
        <v>5</v>
      </c>
      <c r="C1144" t="s">
        <v>8</v>
      </c>
      <c r="D1144">
        <v>5.4327322987405821E-2</v>
      </c>
    </row>
    <row r="1145" spans="1:4" x14ac:dyDescent="0.35">
      <c r="A1145" t="s">
        <v>28</v>
      </c>
      <c r="B1145" t="s">
        <v>5</v>
      </c>
      <c r="C1145" t="s">
        <v>8</v>
      </c>
      <c r="D1145">
        <v>0</v>
      </c>
    </row>
    <row r="1146" spans="1:4" x14ac:dyDescent="0.35">
      <c r="A1146" t="s">
        <v>29</v>
      </c>
      <c r="B1146" t="s">
        <v>5</v>
      </c>
      <c r="C1146" t="s">
        <v>8</v>
      </c>
      <c r="D1146">
        <v>0.15495312669686231</v>
      </c>
    </row>
    <row r="1147" spans="1:4" x14ac:dyDescent="0.35">
      <c r="A1147" t="s">
        <v>30</v>
      </c>
      <c r="B1147" t="s">
        <v>5</v>
      </c>
      <c r="C1147" t="s">
        <v>8</v>
      </c>
      <c r="D1147">
        <v>0</v>
      </c>
    </row>
    <row r="1148" spans="1:4" x14ac:dyDescent="0.35">
      <c r="A1148" t="s">
        <v>31</v>
      </c>
      <c r="B1148" t="s">
        <v>5</v>
      </c>
      <c r="C1148" t="s">
        <v>8</v>
      </c>
      <c r="D1148">
        <v>0.70494523813713239</v>
      </c>
    </row>
    <row r="1149" spans="1:4" x14ac:dyDescent="0.35">
      <c r="A1149" t="s">
        <v>32</v>
      </c>
      <c r="B1149" t="s">
        <v>5</v>
      </c>
      <c r="C1149" t="s">
        <v>8</v>
      </c>
      <c r="D1149">
        <v>8.9039371708867598</v>
      </c>
    </row>
    <row r="1150" spans="1:4" x14ac:dyDescent="0.35">
      <c r="A1150" t="s">
        <v>33</v>
      </c>
      <c r="B1150" t="s">
        <v>5</v>
      </c>
      <c r="C1150" t="s">
        <v>8</v>
      </c>
      <c r="D1150">
        <v>0</v>
      </c>
    </row>
    <row r="1151" spans="1:4" x14ac:dyDescent="0.35">
      <c r="A1151" t="s">
        <v>34</v>
      </c>
      <c r="B1151" t="s">
        <v>5</v>
      </c>
      <c r="C1151" t="s">
        <v>8</v>
      </c>
      <c r="D1151">
        <v>1.5939822376022696</v>
      </c>
    </row>
    <row r="1152" spans="1:4" x14ac:dyDescent="0.35">
      <c r="A1152" t="s">
        <v>35</v>
      </c>
      <c r="B1152" t="s">
        <v>5</v>
      </c>
      <c r="C1152" t="s">
        <v>8</v>
      </c>
      <c r="D1152">
        <v>0.24217902889932696</v>
      </c>
    </row>
    <row r="1153" spans="1:4" x14ac:dyDescent="0.35">
      <c r="A1153" t="s">
        <v>36</v>
      </c>
      <c r="B1153" t="s">
        <v>5</v>
      </c>
      <c r="C1153" t="s">
        <v>8</v>
      </c>
      <c r="D1153">
        <v>2.4793810120646609</v>
      </c>
    </row>
    <row r="1154" spans="1:4" x14ac:dyDescent="0.35">
      <c r="A1154" t="s">
        <v>37</v>
      </c>
      <c r="B1154" t="s">
        <v>5</v>
      </c>
      <c r="C1154" t="s">
        <v>8</v>
      </c>
      <c r="D1154">
        <v>0</v>
      </c>
    </row>
    <row r="1155" spans="1:4" x14ac:dyDescent="0.35">
      <c r="A1155" t="s">
        <v>38</v>
      </c>
      <c r="B1155" t="s">
        <v>5</v>
      </c>
      <c r="C1155" t="s">
        <v>8</v>
      </c>
      <c r="D1155">
        <v>0.19240998021171082</v>
      </c>
    </row>
    <row r="1156" spans="1:4" x14ac:dyDescent="0.35">
      <c r="A1156" t="s">
        <v>39</v>
      </c>
      <c r="B1156" t="s">
        <v>5</v>
      </c>
      <c r="C1156" t="s">
        <v>8</v>
      </c>
      <c r="D1156">
        <v>0</v>
      </c>
    </row>
    <row r="1157" spans="1:4" x14ac:dyDescent="0.35">
      <c r="A1157" t="s">
        <v>7</v>
      </c>
      <c r="B1157" t="s">
        <v>5</v>
      </c>
      <c r="C1157" t="s">
        <v>9</v>
      </c>
      <c r="D1157">
        <v>2744.3959060896768</v>
      </c>
    </row>
    <row r="1158" spans="1:4" x14ac:dyDescent="0.35">
      <c r="A1158" t="s">
        <v>8</v>
      </c>
      <c r="B1158" t="s">
        <v>5</v>
      </c>
      <c r="C1158" t="s">
        <v>9</v>
      </c>
      <c r="D1158">
        <v>93.741166176026454</v>
      </c>
    </row>
    <row r="1159" spans="1:4" x14ac:dyDescent="0.35">
      <c r="A1159" t="s">
        <v>9</v>
      </c>
      <c r="B1159" t="s">
        <v>5</v>
      </c>
      <c r="C1159" t="s">
        <v>9</v>
      </c>
      <c r="D1159">
        <v>5670.9625583676707</v>
      </c>
    </row>
    <row r="1160" spans="1:4" x14ac:dyDescent="0.35">
      <c r="A1160" t="s">
        <v>10</v>
      </c>
      <c r="B1160" t="s">
        <v>5</v>
      </c>
      <c r="C1160" t="s">
        <v>9</v>
      </c>
      <c r="D1160">
        <v>35.559399262525041</v>
      </c>
    </row>
    <row r="1161" spans="1:4" x14ac:dyDescent="0.35">
      <c r="A1161" t="s">
        <v>11</v>
      </c>
      <c r="B1161" t="s">
        <v>5</v>
      </c>
      <c r="C1161" t="s">
        <v>9</v>
      </c>
      <c r="D1161">
        <v>0</v>
      </c>
    </row>
    <row r="1162" spans="1:4" x14ac:dyDescent="0.35">
      <c r="A1162" t="s">
        <v>12</v>
      </c>
      <c r="B1162" t="s">
        <v>5</v>
      </c>
      <c r="C1162" t="s">
        <v>9</v>
      </c>
      <c r="D1162">
        <v>0</v>
      </c>
    </row>
    <row r="1163" spans="1:4" x14ac:dyDescent="0.35">
      <c r="A1163" t="s">
        <v>13</v>
      </c>
      <c r="B1163" t="s">
        <v>5</v>
      </c>
      <c r="C1163" t="s">
        <v>9</v>
      </c>
      <c r="D1163">
        <v>118.79296977279591</v>
      </c>
    </row>
    <row r="1164" spans="1:4" x14ac:dyDescent="0.35">
      <c r="A1164" t="s">
        <v>14</v>
      </c>
      <c r="B1164" t="s">
        <v>5</v>
      </c>
      <c r="C1164" t="s">
        <v>9</v>
      </c>
      <c r="D1164">
        <v>261.93934679433966</v>
      </c>
    </row>
    <row r="1165" spans="1:4" x14ac:dyDescent="0.35">
      <c r="A1165" t="s">
        <v>15</v>
      </c>
      <c r="B1165" t="s">
        <v>5</v>
      </c>
      <c r="C1165" t="s">
        <v>9</v>
      </c>
      <c r="D1165">
        <v>76.295316993089827</v>
      </c>
    </row>
    <row r="1166" spans="1:4" x14ac:dyDescent="0.35">
      <c r="A1166" t="s">
        <v>16</v>
      </c>
      <c r="B1166" t="s">
        <v>5</v>
      </c>
      <c r="C1166" t="s">
        <v>9</v>
      </c>
      <c r="D1166">
        <v>845.36128926604465</v>
      </c>
    </row>
    <row r="1167" spans="1:4" x14ac:dyDescent="0.35">
      <c r="A1167" t="s">
        <v>17</v>
      </c>
      <c r="B1167" t="s">
        <v>5</v>
      </c>
      <c r="C1167" t="s">
        <v>9</v>
      </c>
      <c r="D1167">
        <v>1.5678365109790195</v>
      </c>
    </row>
    <row r="1168" spans="1:4" x14ac:dyDescent="0.35">
      <c r="A1168" t="s">
        <v>18</v>
      </c>
      <c r="B1168" t="s">
        <v>5</v>
      </c>
      <c r="C1168" t="s">
        <v>9</v>
      </c>
      <c r="D1168">
        <v>11.529858390174757</v>
      </c>
    </row>
    <row r="1169" spans="1:4" x14ac:dyDescent="0.35">
      <c r="A1169" t="s">
        <v>19</v>
      </c>
      <c r="B1169" t="s">
        <v>5</v>
      </c>
      <c r="C1169" t="s">
        <v>9</v>
      </c>
      <c r="D1169">
        <v>111.56292239746982</v>
      </c>
    </row>
    <row r="1170" spans="1:4" x14ac:dyDescent="0.35">
      <c r="A1170" t="s">
        <v>20</v>
      </c>
      <c r="B1170" t="s">
        <v>5</v>
      </c>
      <c r="C1170" t="s">
        <v>9</v>
      </c>
      <c r="D1170">
        <v>0</v>
      </c>
    </row>
    <row r="1171" spans="1:4" x14ac:dyDescent="0.35">
      <c r="A1171" t="s">
        <v>21</v>
      </c>
      <c r="B1171" t="s">
        <v>5</v>
      </c>
      <c r="C1171" t="s">
        <v>9</v>
      </c>
      <c r="D1171">
        <v>104.59226828816092</v>
      </c>
    </row>
    <row r="1172" spans="1:4" x14ac:dyDescent="0.35">
      <c r="A1172" t="s">
        <v>22</v>
      </c>
      <c r="B1172" t="s">
        <v>5</v>
      </c>
      <c r="C1172" t="s">
        <v>9</v>
      </c>
      <c r="D1172">
        <v>65.243756273523701</v>
      </c>
    </row>
    <row r="1173" spans="1:4" x14ac:dyDescent="0.35">
      <c r="A1173" t="s">
        <v>23</v>
      </c>
      <c r="B1173" t="s">
        <v>5</v>
      </c>
      <c r="C1173" t="s">
        <v>9</v>
      </c>
      <c r="D1173">
        <v>4.6325325934340285</v>
      </c>
    </row>
    <row r="1174" spans="1:4" x14ac:dyDescent="0.35">
      <c r="A1174" t="s">
        <v>24</v>
      </c>
      <c r="B1174" t="s">
        <v>5</v>
      </c>
      <c r="C1174" t="s">
        <v>9</v>
      </c>
      <c r="D1174">
        <v>1.6612074728313255</v>
      </c>
    </row>
    <row r="1175" spans="1:4" x14ac:dyDescent="0.35">
      <c r="A1175" t="s">
        <v>25</v>
      </c>
      <c r="B1175" t="s">
        <v>5</v>
      </c>
      <c r="C1175" t="s">
        <v>9</v>
      </c>
      <c r="D1175">
        <v>32.969272565090378</v>
      </c>
    </row>
    <row r="1176" spans="1:4" x14ac:dyDescent="0.35">
      <c r="A1176" t="s">
        <v>26</v>
      </c>
      <c r="B1176" t="s">
        <v>5</v>
      </c>
      <c r="C1176" t="s">
        <v>9</v>
      </c>
      <c r="D1176">
        <v>0</v>
      </c>
    </row>
    <row r="1177" spans="1:4" x14ac:dyDescent="0.35">
      <c r="A1177" t="s">
        <v>27</v>
      </c>
      <c r="B1177" t="s">
        <v>5</v>
      </c>
      <c r="C1177" t="s">
        <v>9</v>
      </c>
      <c r="D1177">
        <v>1.1722653309777313</v>
      </c>
    </row>
    <row r="1178" spans="1:4" x14ac:dyDescent="0.35">
      <c r="A1178" t="s">
        <v>28</v>
      </c>
      <c r="B1178" t="s">
        <v>5</v>
      </c>
      <c r="C1178" t="s">
        <v>9</v>
      </c>
      <c r="D1178">
        <v>0</v>
      </c>
    </row>
    <row r="1179" spans="1:4" x14ac:dyDescent="0.35">
      <c r="A1179" t="s">
        <v>29</v>
      </c>
      <c r="B1179" t="s">
        <v>5</v>
      </c>
      <c r="C1179" t="s">
        <v>9</v>
      </c>
      <c r="D1179">
        <v>2.1203204809417482</v>
      </c>
    </row>
    <row r="1180" spans="1:4" x14ac:dyDescent="0.35">
      <c r="A1180" t="s">
        <v>30</v>
      </c>
      <c r="B1180" t="s">
        <v>5</v>
      </c>
      <c r="C1180" t="s">
        <v>9</v>
      </c>
      <c r="D1180">
        <v>2.0977794159396779</v>
      </c>
    </row>
    <row r="1181" spans="1:4" x14ac:dyDescent="0.35">
      <c r="A1181" t="s">
        <v>31</v>
      </c>
      <c r="B1181" t="s">
        <v>5</v>
      </c>
      <c r="C1181" t="s">
        <v>9</v>
      </c>
      <c r="D1181">
        <v>0.58550515819951565</v>
      </c>
    </row>
    <row r="1182" spans="1:4" x14ac:dyDescent="0.35">
      <c r="A1182" t="s">
        <v>32</v>
      </c>
      <c r="B1182" t="s">
        <v>5</v>
      </c>
      <c r="C1182" t="s">
        <v>9</v>
      </c>
      <c r="D1182">
        <v>1.1628802047208524</v>
      </c>
    </row>
    <row r="1183" spans="1:4" x14ac:dyDescent="0.35">
      <c r="A1183" t="s">
        <v>33</v>
      </c>
      <c r="B1183" t="s">
        <v>5</v>
      </c>
      <c r="C1183" t="s">
        <v>9</v>
      </c>
      <c r="D1183">
        <v>2.6747923547838632</v>
      </c>
    </row>
    <row r="1184" spans="1:4" x14ac:dyDescent="0.35">
      <c r="A1184" t="s">
        <v>34</v>
      </c>
      <c r="B1184" t="s">
        <v>5</v>
      </c>
      <c r="C1184" t="s">
        <v>9</v>
      </c>
      <c r="D1184">
        <v>3.222547289822324</v>
      </c>
    </row>
    <row r="1185" spans="1:4" x14ac:dyDescent="0.35">
      <c r="A1185" t="s">
        <v>35</v>
      </c>
      <c r="B1185" t="s">
        <v>5</v>
      </c>
      <c r="C1185" t="s">
        <v>9</v>
      </c>
      <c r="D1185">
        <v>0.43934430749189818</v>
      </c>
    </row>
    <row r="1186" spans="1:4" x14ac:dyDescent="0.35">
      <c r="A1186" t="s">
        <v>36</v>
      </c>
      <c r="B1186" t="s">
        <v>5</v>
      </c>
      <c r="C1186" t="s">
        <v>9</v>
      </c>
      <c r="D1186">
        <v>3.0378800046839785</v>
      </c>
    </row>
    <row r="1187" spans="1:4" x14ac:dyDescent="0.35">
      <c r="A1187" t="s">
        <v>37</v>
      </c>
      <c r="B1187" t="s">
        <v>5</v>
      </c>
      <c r="C1187" t="s">
        <v>9</v>
      </c>
      <c r="D1187">
        <v>5.664036481047037E-2</v>
      </c>
    </row>
    <row r="1188" spans="1:4" x14ac:dyDescent="0.35">
      <c r="A1188" t="s">
        <v>38</v>
      </c>
      <c r="B1188" t="s">
        <v>5</v>
      </c>
      <c r="C1188" t="s">
        <v>9</v>
      </c>
      <c r="D1188">
        <v>0.12682721894342644</v>
      </c>
    </row>
    <row r="1189" spans="1:4" x14ac:dyDescent="0.35">
      <c r="A1189" t="s">
        <v>39</v>
      </c>
      <c r="B1189" t="s">
        <v>5</v>
      </c>
      <c r="C1189" t="s">
        <v>9</v>
      </c>
      <c r="D1189">
        <v>0</v>
      </c>
    </row>
    <row r="1190" spans="1:4" x14ac:dyDescent="0.35">
      <c r="A1190" t="s">
        <v>7</v>
      </c>
      <c r="B1190" t="s">
        <v>5</v>
      </c>
      <c r="C1190" t="s">
        <v>10</v>
      </c>
      <c r="D1190">
        <v>0.74734367895107146</v>
      </c>
    </row>
    <row r="1191" spans="1:4" x14ac:dyDescent="0.35">
      <c r="A1191" t="s">
        <v>8</v>
      </c>
      <c r="B1191" t="s">
        <v>5</v>
      </c>
      <c r="C1191" t="s">
        <v>10</v>
      </c>
      <c r="D1191">
        <v>0</v>
      </c>
    </row>
    <row r="1192" spans="1:4" x14ac:dyDescent="0.35">
      <c r="A1192" t="s">
        <v>9</v>
      </c>
      <c r="B1192" t="s">
        <v>5</v>
      </c>
      <c r="C1192" t="s">
        <v>10</v>
      </c>
      <c r="D1192">
        <v>0</v>
      </c>
    </row>
    <row r="1193" spans="1:4" x14ac:dyDescent="0.35">
      <c r="A1193" t="s">
        <v>10</v>
      </c>
      <c r="B1193" t="s">
        <v>5</v>
      </c>
      <c r="C1193" t="s">
        <v>10</v>
      </c>
      <c r="D1193">
        <v>739.30801082224013</v>
      </c>
    </row>
    <row r="1194" spans="1:4" x14ac:dyDescent="0.35">
      <c r="A1194" t="s">
        <v>11</v>
      </c>
      <c r="B1194" t="s">
        <v>5</v>
      </c>
      <c r="C1194" t="s">
        <v>10</v>
      </c>
      <c r="D1194">
        <v>4.7043782144950988E-2</v>
      </c>
    </row>
    <row r="1195" spans="1:4" x14ac:dyDescent="0.35">
      <c r="A1195" t="s">
        <v>12</v>
      </c>
      <c r="B1195" t="s">
        <v>5</v>
      </c>
      <c r="C1195" t="s">
        <v>10</v>
      </c>
      <c r="D1195">
        <v>0</v>
      </c>
    </row>
    <row r="1196" spans="1:4" x14ac:dyDescent="0.35">
      <c r="A1196" t="s">
        <v>13</v>
      </c>
      <c r="B1196" t="s">
        <v>5</v>
      </c>
      <c r="C1196" t="s">
        <v>10</v>
      </c>
      <c r="D1196">
        <v>2.843488518690755</v>
      </c>
    </row>
    <row r="1197" spans="1:4" x14ac:dyDescent="0.35">
      <c r="A1197" t="s">
        <v>14</v>
      </c>
      <c r="B1197" t="s">
        <v>5</v>
      </c>
      <c r="C1197" t="s">
        <v>10</v>
      </c>
      <c r="D1197">
        <v>4.7096951502069375</v>
      </c>
    </row>
    <row r="1198" spans="1:4" x14ac:dyDescent="0.35">
      <c r="A1198" t="s">
        <v>15</v>
      </c>
      <c r="B1198" t="s">
        <v>5</v>
      </c>
      <c r="C1198" t="s">
        <v>10</v>
      </c>
      <c r="D1198">
        <v>1.5291392431469477</v>
      </c>
    </row>
    <row r="1199" spans="1:4" x14ac:dyDescent="0.35">
      <c r="A1199" t="s">
        <v>16</v>
      </c>
      <c r="B1199" t="s">
        <v>5</v>
      </c>
      <c r="C1199" t="s">
        <v>10</v>
      </c>
      <c r="D1199">
        <v>20.607160857663409</v>
      </c>
    </row>
    <row r="1200" spans="1:4" x14ac:dyDescent="0.35">
      <c r="A1200" t="s">
        <v>17</v>
      </c>
      <c r="B1200" t="s">
        <v>5</v>
      </c>
      <c r="C1200" t="s">
        <v>10</v>
      </c>
      <c r="D1200">
        <v>4.0316595054930229</v>
      </c>
    </row>
    <row r="1201" spans="1:4" x14ac:dyDescent="0.35">
      <c r="A1201" t="s">
        <v>18</v>
      </c>
      <c r="B1201" t="s">
        <v>5</v>
      </c>
      <c r="C1201" t="s">
        <v>10</v>
      </c>
      <c r="D1201">
        <v>63.041091032694176</v>
      </c>
    </row>
    <row r="1202" spans="1:4" x14ac:dyDescent="0.35">
      <c r="A1202" t="s">
        <v>19</v>
      </c>
      <c r="B1202" t="s">
        <v>5</v>
      </c>
      <c r="C1202" t="s">
        <v>10</v>
      </c>
      <c r="D1202">
        <v>1.7705358350732372</v>
      </c>
    </row>
    <row r="1203" spans="1:4" x14ac:dyDescent="0.35">
      <c r="A1203" t="s">
        <v>20</v>
      </c>
      <c r="B1203" t="s">
        <v>5</v>
      </c>
      <c r="C1203" t="s">
        <v>10</v>
      </c>
      <c r="D1203">
        <v>0</v>
      </c>
    </row>
    <row r="1204" spans="1:4" x14ac:dyDescent="0.35">
      <c r="A1204" t="s">
        <v>21</v>
      </c>
      <c r="B1204" t="s">
        <v>5</v>
      </c>
      <c r="C1204" t="s">
        <v>10</v>
      </c>
      <c r="D1204">
        <v>4.108358756231496</v>
      </c>
    </row>
    <row r="1205" spans="1:4" x14ac:dyDescent="0.35">
      <c r="A1205" t="s">
        <v>22</v>
      </c>
      <c r="B1205" t="s">
        <v>5</v>
      </c>
      <c r="C1205" t="s">
        <v>10</v>
      </c>
      <c r="D1205">
        <v>29.107886206374744</v>
      </c>
    </row>
    <row r="1206" spans="1:4" x14ac:dyDescent="0.35">
      <c r="A1206" t="s">
        <v>23</v>
      </c>
      <c r="B1206" t="s">
        <v>5</v>
      </c>
      <c r="C1206" t="s">
        <v>10</v>
      </c>
      <c r="D1206">
        <v>0.4296777087689776</v>
      </c>
    </row>
    <row r="1207" spans="1:4" x14ac:dyDescent="0.35">
      <c r="A1207" t="s">
        <v>24</v>
      </c>
      <c r="B1207" t="s">
        <v>5</v>
      </c>
      <c r="C1207" t="s">
        <v>10</v>
      </c>
      <c r="D1207">
        <v>1.0346780006236815</v>
      </c>
    </row>
    <row r="1208" spans="1:4" x14ac:dyDescent="0.35">
      <c r="A1208" t="s">
        <v>25</v>
      </c>
      <c r="B1208" t="s">
        <v>5</v>
      </c>
      <c r="C1208" t="s">
        <v>10</v>
      </c>
      <c r="D1208">
        <v>4.7862412753584298</v>
      </c>
    </row>
    <row r="1209" spans="1:4" x14ac:dyDescent="0.35">
      <c r="A1209" t="s">
        <v>26</v>
      </c>
      <c r="B1209" t="s">
        <v>5</v>
      </c>
      <c r="C1209" t="s">
        <v>10</v>
      </c>
      <c r="D1209">
        <v>0</v>
      </c>
    </row>
    <row r="1210" spans="1:4" x14ac:dyDescent="0.35">
      <c r="A1210" t="s">
        <v>27</v>
      </c>
      <c r="B1210" t="s">
        <v>5</v>
      </c>
      <c r="C1210" t="s">
        <v>10</v>
      </c>
      <c r="D1210">
        <v>2.8262114267046161E-2</v>
      </c>
    </row>
    <row r="1211" spans="1:4" x14ac:dyDescent="0.35">
      <c r="A1211" t="s">
        <v>28</v>
      </c>
      <c r="B1211" t="s">
        <v>5</v>
      </c>
      <c r="C1211" t="s">
        <v>10</v>
      </c>
      <c r="D1211">
        <v>0</v>
      </c>
    </row>
    <row r="1212" spans="1:4" x14ac:dyDescent="0.35">
      <c r="A1212" t="s">
        <v>29</v>
      </c>
      <c r="B1212" t="s">
        <v>5</v>
      </c>
      <c r="C1212" t="s">
        <v>10</v>
      </c>
      <c r="D1212">
        <v>0.36676557405035104</v>
      </c>
    </row>
    <row r="1213" spans="1:4" x14ac:dyDescent="0.35">
      <c r="A1213" t="s">
        <v>30</v>
      </c>
      <c r="B1213" t="s">
        <v>5</v>
      </c>
      <c r="C1213" t="s">
        <v>10</v>
      </c>
      <c r="D1213">
        <v>0.10577571548743504</v>
      </c>
    </row>
    <row r="1214" spans="1:4" x14ac:dyDescent="0.35">
      <c r="A1214" t="s">
        <v>31</v>
      </c>
      <c r="B1214" t="s">
        <v>5</v>
      </c>
      <c r="C1214" t="s">
        <v>10</v>
      </c>
      <c r="D1214">
        <v>0.12088987819284562</v>
      </c>
    </row>
    <row r="1215" spans="1:4" x14ac:dyDescent="0.35">
      <c r="A1215" t="s">
        <v>32</v>
      </c>
      <c r="B1215" t="s">
        <v>5</v>
      </c>
      <c r="C1215" t="s">
        <v>10</v>
      </c>
      <c r="D1215">
        <v>0.18733824432233706</v>
      </c>
    </row>
    <row r="1216" spans="1:4" x14ac:dyDescent="0.35">
      <c r="A1216" t="s">
        <v>33</v>
      </c>
      <c r="B1216" t="s">
        <v>5</v>
      </c>
      <c r="C1216" t="s">
        <v>10</v>
      </c>
      <c r="D1216">
        <v>1.6659862485532904</v>
      </c>
    </row>
    <row r="1217" spans="1:4" x14ac:dyDescent="0.35">
      <c r="A1217" t="s">
        <v>34</v>
      </c>
      <c r="B1217" t="s">
        <v>5</v>
      </c>
      <c r="C1217" t="s">
        <v>10</v>
      </c>
      <c r="D1217">
        <v>0.22432332045755182</v>
      </c>
    </row>
    <row r="1218" spans="1:4" x14ac:dyDescent="0.35">
      <c r="A1218" t="s">
        <v>35</v>
      </c>
      <c r="B1218" t="s">
        <v>5</v>
      </c>
      <c r="C1218" t="s">
        <v>10</v>
      </c>
      <c r="D1218">
        <v>0.25378042409724511</v>
      </c>
    </row>
    <row r="1219" spans="1:4" x14ac:dyDescent="0.35">
      <c r="A1219" t="s">
        <v>36</v>
      </c>
      <c r="B1219" t="s">
        <v>5</v>
      </c>
      <c r="C1219" t="s">
        <v>10</v>
      </c>
      <c r="D1219">
        <v>0</v>
      </c>
    </row>
    <row r="1220" spans="1:4" x14ac:dyDescent="0.35">
      <c r="A1220" t="s">
        <v>37</v>
      </c>
      <c r="B1220" t="s">
        <v>5</v>
      </c>
      <c r="C1220" t="s">
        <v>10</v>
      </c>
      <c r="D1220">
        <v>4.2507157824654756E-3</v>
      </c>
    </row>
    <row r="1221" spans="1:4" x14ac:dyDescent="0.35">
      <c r="A1221" t="s">
        <v>38</v>
      </c>
      <c r="B1221" t="s">
        <v>5</v>
      </c>
      <c r="C1221" t="s">
        <v>10</v>
      </c>
      <c r="D1221">
        <v>6.7154612013824097E-2</v>
      </c>
    </row>
    <row r="1222" spans="1:4" x14ac:dyDescent="0.35">
      <c r="A1222" t="s">
        <v>39</v>
      </c>
      <c r="B1222" t="s">
        <v>5</v>
      </c>
      <c r="C1222" t="s">
        <v>10</v>
      </c>
      <c r="D1222">
        <v>0</v>
      </c>
    </row>
    <row r="1223" spans="1:4" x14ac:dyDescent="0.35">
      <c r="A1223" t="s">
        <v>7</v>
      </c>
      <c r="B1223" t="s">
        <v>5</v>
      </c>
      <c r="C1223" t="s">
        <v>11</v>
      </c>
      <c r="D1223">
        <v>0</v>
      </c>
    </row>
    <row r="1224" spans="1:4" x14ac:dyDescent="0.35">
      <c r="A1224" t="s">
        <v>8</v>
      </c>
      <c r="B1224" t="s">
        <v>5</v>
      </c>
      <c r="C1224" t="s">
        <v>11</v>
      </c>
      <c r="D1224">
        <v>0</v>
      </c>
    </row>
    <row r="1225" spans="1:4" x14ac:dyDescent="0.35">
      <c r="A1225" t="s">
        <v>9</v>
      </c>
      <c r="B1225" t="s">
        <v>5</v>
      </c>
      <c r="C1225" t="s">
        <v>11</v>
      </c>
      <c r="D1225">
        <v>0</v>
      </c>
    </row>
    <row r="1226" spans="1:4" x14ac:dyDescent="0.35">
      <c r="A1226" t="s">
        <v>10</v>
      </c>
      <c r="B1226" t="s">
        <v>5</v>
      </c>
      <c r="C1226" t="s">
        <v>11</v>
      </c>
      <c r="D1226">
        <v>2.3715243708137486</v>
      </c>
    </row>
    <row r="1227" spans="1:4" x14ac:dyDescent="0.35">
      <c r="A1227" t="s">
        <v>11</v>
      </c>
      <c r="B1227" t="s">
        <v>5</v>
      </c>
      <c r="C1227" t="s">
        <v>11</v>
      </c>
      <c r="D1227">
        <v>4.630532837112324</v>
      </c>
    </row>
    <row r="1228" spans="1:4" x14ac:dyDescent="0.35">
      <c r="A1228" t="s">
        <v>12</v>
      </c>
      <c r="B1228" t="s">
        <v>5</v>
      </c>
      <c r="C1228" t="s">
        <v>11</v>
      </c>
      <c r="D1228">
        <v>0</v>
      </c>
    </row>
    <row r="1229" spans="1:4" x14ac:dyDescent="0.35">
      <c r="A1229" t="s">
        <v>13</v>
      </c>
      <c r="B1229" t="s">
        <v>5</v>
      </c>
      <c r="C1229" t="s">
        <v>11</v>
      </c>
      <c r="D1229">
        <v>0.15857169742703964</v>
      </c>
    </row>
    <row r="1230" spans="1:4" x14ac:dyDescent="0.35">
      <c r="A1230" t="s">
        <v>14</v>
      </c>
      <c r="B1230" t="s">
        <v>5</v>
      </c>
      <c r="C1230" t="s">
        <v>11</v>
      </c>
      <c r="D1230">
        <v>7.6970211219492227E-2</v>
      </c>
    </row>
    <row r="1231" spans="1:4" x14ac:dyDescent="0.35">
      <c r="A1231" t="s">
        <v>15</v>
      </c>
      <c r="B1231" t="s">
        <v>5</v>
      </c>
      <c r="C1231" t="s">
        <v>11</v>
      </c>
      <c r="D1231">
        <v>0.62298411935767906</v>
      </c>
    </row>
    <row r="1232" spans="1:4" x14ac:dyDescent="0.35">
      <c r="A1232" t="s">
        <v>16</v>
      </c>
      <c r="B1232" t="s">
        <v>5</v>
      </c>
      <c r="C1232" t="s">
        <v>11</v>
      </c>
      <c r="D1232">
        <v>0.39403938351959705</v>
      </c>
    </row>
    <row r="1233" spans="1:4" x14ac:dyDescent="0.35">
      <c r="A1233" t="s">
        <v>17</v>
      </c>
      <c r="B1233" t="s">
        <v>5</v>
      </c>
      <c r="C1233" t="s">
        <v>11</v>
      </c>
      <c r="D1233">
        <v>0.20092052311881312</v>
      </c>
    </row>
    <row r="1234" spans="1:4" x14ac:dyDescent="0.35">
      <c r="A1234" t="s">
        <v>18</v>
      </c>
      <c r="B1234" t="s">
        <v>5</v>
      </c>
      <c r="C1234" t="s">
        <v>11</v>
      </c>
      <c r="D1234">
        <v>0</v>
      </c>
    </row>
    <row r="1235" spans="1:4" x14ac:dyDescent="0.35">
      <c r="A1235" t="s">
        <v>19</v>
      </c>
      <c r="B1235" t="s">
        <v>5</v>
      </c>
      <c r="C1235" t="s">
        <v>11</v>
      </c>
      <c r="D1235">
        <v>1.8554368086065032E-2</v>
      </c>
    </row>
    <row r="1236" spans="1:4" x14ac:dyDescent="0.35">
      <c r="A1236" t="s">
        <v>20</v>
      </c>
      <c r="B1236" t="s">
        <v>5</v>
      </c>
      <c r="C1236" t="s">
        <v>11</v>
      </c>
      <c r="D1236">
        <v>0</v>
      </c>
    </row>
    <row r="1237" spans="1:4" x14ac:dyDescent="0.35">
      <c r="A1237" t="s">
        <v>21</v>
      </c>
      <c r="B1237" t="s">
        <v>5</v>
      </c>
      <c r="C1237" t="s">
        <v>11</v>
      </c>
      <c r="D1237">
        <v>2.1264599066173569E-2</v>
      </c>
    </row>
    <row r="1238" spans="1:4" x14ac:dyDescent="0.35">
      <c r="A1238" t="s">
        <v>22</v>
      </c>
      <c r="B1238" t="s">
        <v>5</v>
      </c>
      <c r="C1238" t="s">
        <v>11</v>
      </c>
      <c r="D1238">
        <v>0.6968530078930798</v>
      </c>
    </row>
    <row r="1239" spans="1:4" x14ac:dyDescent="0.35">
      <c r="A1239" t="s">
        <v>23</v>
      </c>
      <c r="B1239" t="s">
        <v>5</v>
      </c>
      <c r="C1239" t="s">
        <v>11</v>
      </c>
      <c r="D1239">
        <v>2.638846916747204E-3</v>
      </c>
    </row>
    <row r="1240" spans="1:4" x14ac:dyDescent="0.35">
      <c r="A1240" t="s">
        <v>24</v>
      </c>
      <c r="B1240" t="s">
        <v>5</v>
      </c>
      <c r="C1240" t="s">
        <v>11</v>
      </c>
      <c r="D1240">
        <v>1.2211298744210879E-2</v>
      </c>
    </row>
    <row r="1241" spans="1:4" x14ac:dyDescent="0.35">
      <c r="A1241" t="s">
        <v>25</v>
      </c>
      <c r="B1241" t="s">
        <v>5</v>
      </c>
      <c r="C1241" t="s">
        <v>11</v>
      </c>
      <c r="D1241">
        <v>2.5326218435027029E-2</v>
      </c>
    </row>
    <row r="1242" spans="1:4" x14ac:dyDescent="0.35">
      <c r="A1242" t="s">
        <v>26</v>
      </c>
      <c r="B1242" t="s">
        <v>5</v>
      </c>
      <c r="C1242" t="s">
        <v>11</v>
      </c>
      <c r="D1242">
        <v>0</v>
      </c>
    </row>
    <row r="1243" spans="1:4" x14ac:dyDescent="0.35">
      <c r="A1243" t="s">
        <v>27</v>
      </c>
      <c r="B1243" t="s">
        <v>5</v>
      </c>
      <c r="C1243" t="s">
        <v>11</v>
      </c>
      <c r="D1243">
        <v>0</v>
      </c>
    </row>
    <row r="1244" spans="1:4" x14ac:dyDescent="0.35">
      <c r="A1244" t="s">
        <v>28</v>
      </c>
      <c r="B1244" t="s">
        <v>5</v>
      </c>
      <c r="C1244" t="s">
        <v>11</v>
      </c>
      <c r="D1244">
        <v>0</v>
      </c>
    </row>
    <row r="1245" spans="1:4" x14ac:dyDescent="0.35">
      <c r="A1245" t="s">
        <v>29</v>
      </c>
      <c r="B1245" t="s">
        <v>5</v>
      </c>
      <c r="C1245" t="s">
        <v>11</v>
      </c>
      <c r="D1245">
        <v>3.3844416752238974E-3</v>
      </c>
    </row>
    <row r="1246" spans="1:4" x14ac:dyDescent="0.35">
      <c r="A1246" t="s">
        <v>30</v>
      </c>
      <c r="B1246" t="s">
        <v>5</v>
      </c>
      <c r="C1246" t="s">
        <v>11</v>
      </c>
      <c r="D1246">
        <v>7.1065465465723595E-3</v>
      </c>
    </row>
    <row r="1247" spans="1:4" x14ac:dyDescent="0.35">
      <c r="A1247" t="s">
        <v>31</v>
      </c>
      <c r="B1247" t="s">
        <v>5</v>
      </c>
      <c r="C1247" t="s">
        <v>11</v>
      </c>
      <c r="D1247">
        <v>3.4043750169424048E-3</v>
      </c>
    </row>
    <row r="1248" spans="1:4" x14ac:dyDescent="0.35">
      <c r="A1248" t="s">
        <v>32</v>
      </c>
      <c r="B1248" t="s">
        <v>5</v>
      </c>
      <c r="C1248" t="s">
        <v>11</v>
      </c>
      <c r="D1248">
        <v>2.5263969826728608E-3</v>
      </c>
    </row>
    <row r="1249" spans="1:4" x14ac:dyDescent="0.35">
      <c r="A1249" t="s">
        <v>33</v>
      </c>
      <c r="B1249" t="s">
        <v>5</v>
      </c>
      <c r="C1249" t="s">
        <v>11</v>
      </c>
      <c r="D1249">
        <v>1.9662016368930783E-2</v>
      </c>
    </row>
    <row r="1250" spans="1:4" x14ac:dyDescent="0.35">
      <c r="A1250" t="s">
        <v>34</v>
      </c>
      <c r="B1250" t="s">
        <v>5</v>
      </c>
      <c r="C1250" t="s">
        <v>11</v>
      </c>
      <c r="D1250">
        <v>8.1087574529157755E-3</v>
      </c>
    </row>
    <row r="1251" spans="1:4" x14ac:dyDescent="0.35">
      <c r="A1251" t="s">
        <v>35</v>
      </c>
      <c r="B1251" t="s">
        <v>5</v>
      </c>
      <c r="C1251" t="s">
        <v>11</v>
      </c>
      <c r="D1251">
        <v>1.4576265148021207E-3</v>
      </c>
    </row>
    <row r="1252" spans="1:4" x14ac:dyDescent="0.35">
      <c r="A1252" t="s">
        <v>36</v>
      </c>
      <c r="B1252" t="s">
        <v>5</v>
      </c>
      <c r="C1252" t="s">
        <v>11</v>
      </c>
      <c r="D1252">
        <v>0</v>
      </c>
    </row>
    <row r="1253" spans="1:4" x14ac:dyDescent="0.35">
      <c r="A1253" t="s">
        <v>37</v>
      </c>
      <c r="B1253" t="s">
        <v>5</v>
      </c>
      <c r="C1253" t="s">
        <v>11</v>
      </c>
      <c r="D1253">
        <v>8.3782337177904767E-4</v>
      </c>
    </row>
    <row r="1254" spans="1:4" x14ac:dyDescent="0.35">
      <c r="A1254" t="s">
        <v>38</v>
      </c>
      <c r="B1254" t="s">
        <v>5</v>
      </c>
      <c r="C1254" t="s">
        <v>11</v>
      </c>
      <c r="D1254">
        <v>0</v>
      </c>
    </row>
    <row r="1255" spans="1:4" x14ac:dyDescent="0.35">
      <c r="A1255" t="s">
        <v>39</v>
      </c>
      <c r="B1255" t="s">
        <v>5</v>
      </c>
      <c r="C1255" t="s">
        <v>11</v>
      </c>
      <c r="D1255">
        <v>0</v>
      </c>
    </row>
    <row r="1256" spans="1:4" x14ac:dyDescent="0.35">
      <c r="A1256" t="s">
        <v>7</v>
      </c>
      <c r="B1256" t="s">
        <v>5</v>
      </c>
      <c r="C1256" t="s">
        <v>12</v>
      </c>
      <c r="D1256">
        <v>44.02340633607195</v>
      </c>
    </row>
    <row r="1257" spans="1:4" x14ac:dyDescent="0.35">
      <c r="A1257" t="s">
        <v>8</v>
      </c>
      <c r="B1257" t="s">
        <v>5</v>
      </c>
      <c r="C1257" t="s">
        <v>12</v>
      </c>
      <c r="D1257">
        <v>5.6557813937277137</v>
      </c>
    </row>
    <row r="1258" spans="1:4" x14ac:dyDescent="0.35">
      <c r="A1258" t="s">
        <v>9</v>
      </c>
      <c r="B1258" t="s">
        <v>5</v>
      </c>
      <c r="C1258" t="s">
        <v>12</v>
      </c>
      <c r="D1258">
        <v>1.519044291549891E-2</v>
      </c>
    </row>
    <row r="1259" spans="1:4" x14ac:dyDescent="0.35">
      <c r="A1259" t="s">
        <v>10</v>
      </c>
      <c r="B1259" t="s">
        <v>5</v>
      </c>
      <c r="C1259" t="s">
        <v>12</v>
      </c>
      <c r="D1259">
        <v>21.106787962237629</v>
      </c>
    </row>
    <row r="1260" spans="1:4" x14ac:dyDescent="0.35">
      <c r="A1260" t="s">
        <v>11</v>
      </c>
      <c r="B1260" t="s">
        <v>5</v>
      </c>
      <c r="C1260" t="s">
        <v>12</v>
      </c>
      <c r="D1260">
        <v>0</v>
      </c>
    </row>
    <row r="1261" spans="1:4" x14ac:dyDescent="0.35">
      <c r="A1261" t="s">
        <v>12</v>
      </c>
      <c r="B1261" t="s">
        <v>5</v>
      </c>
      <c r="C1261" t="s">
        <v>12</v>
      </c>
      <c r="D1261">
        <v>262.3462423216813</v>
      </c>
    </row>
    <row r="1262" spans="1:4" x14ac:dyDescent="0.35">
      <c r="A1262" t="s">
        <v>13</v>
      </c>
      <c r="B1262" t="s">
        <v>5</v>
      </c>
      <c r="C1262" t="s">
        <v>12</v>
      </c>
      <c r="D1262">
        <v>14.755522022291554</v>
      </c>
    </row>
    <row r="1263" spans="1:4" x14ac:dyDescent="0.35">
      <c r="A1263" t="s">
        <v>14</v>
      </c>
      <c r="B1263" t="s">
        <v>5</v>
      </c>
      <c r="C1263" t="s">
        <v>12</v>
      </c>
      <c r="D1263">
        <v>6.0148880563980143</v>
      </c>
    </row>
    <row r="1264" spans="1:4" x14ac:dyDescent="0.35">
      <c r="A1264" t="s">
        <v>15</v>
      </c>
      <c r="B1264" t="s">
        <v>5</v>
      </c>
      <c r="C1264" t="s">
        <v>12</v>
      </c>
      <c r="D1264">
        <v>307.13035882859435</v>
      </c>
    </row>
    <row r="1265" spans="1:4" x14ac:dyDescent="0.35">
      <c r="A1265" t="s">
        <v>16</v>
      </c>
      <c r="B1265" t="s">
        <v>5</v>
      </c>
      <c r="C1265" t="s">
        <v>12</v>
      </c>
      <c r="D1265">
        <v>48.095124042568735</v>
      </c>
    </row>
    <row r="1266" spans="1:4" x14ac:dyDescent="0.35">
      <c r="A1266" t="s">
        <v>17</v>
      </c>
      <c r="B1266" t="s">
        <v>5</v>
      </c>
      <c r="C1266" t="s">
        <v>12</v>
      </c>
      <c r="D1266">
        <v>13.51413993484479</v>
      </c>
    </row>
    <row r="1267" spans="1:4" x14ac:dyDescent="0.35">
      <c r="A1267" t="s">
        <v>18</v>
      </c>
      <c r="B1267" t="s">
        <v>5</v>
      </c>
      <c r="C1267" t="s">
        <v>12</v>
      </c>
      <c r="D1267">
        <v>83.213386840244169</v>
      </c>
    </row>
    <row r="1268" spans="1:4" x14ac:dyDescent="0.35">
      <c r="A1268" t="s">
        <v>19</v>
      </c>
      <c r="B1268" t="s">
        <v>5</v>
      </c>
      <c r="C1268" t="s">
        <v>12</v>
      </c>
      <c r="D1268">
        <v>10.688856717234675</v>
      </c>
    </row>
    <row r="1269" spans="1:4" x14ac:dyDescent="0.35">
      <c r="A1269" t="s">
        <v>20</v>
      </c>
      <c r="B1269" t="s">
        <v>5</v>
      </c>
      <c r="C1269" t="s">
        <v>12</v>
      </c>
      <c r="D1269">
        <v>0</v>
      </c>
    </row>
    <row r="1270" spans="1:4" x14ac:dyDescent="0.35">
      <c r="A1270" t="s">
        <v>21</v>
      </c>
      <c r="B1270" t="s">
        <v>5</v>
      </c>
      <c r="C1270" t="s">
        <v>12</v>
      </c>
      <c r="D1270">
        <v>5.1597921853729316</v>
      </c>
    </row>
    <row r="1271" spans="1:4" x14ac:dyDescent="0.35">
      <c r="A1271" t="s">
        <v>22</v>
      </c>
      <c r="B1271" t="s">
        <v>5</v>
      </c>
      <c r="C1271" t="s">
        <v>12</v>
      </c>
      <c r="D1271">
        <v>8.8251855816111888</v>
      </c>
    </row>
    <row r="1272" spans="1:4" x14ac:dyDescent="0.35">
      <c r="A1272" t="s">
        <v>23</v>
      </c>
      <c r="B1272" t="s">
        <v>5</v>
      </c>
      <c r="C1272" t="s">
        <v>12</v>
      </c>
      <c r="D1272">
        <v>0.19217932368259236</v>
      </c>
    </row>
    <row r="1273" spans="1:4" x14ac:dyDescent="0.35">
      <c r="A1273" t="s">
        <v>24</v>
      </c>
      <c r="B1273" t="s">
        <v>5</v>
      </c>
      <c r="C1273" t="s">
        <v>12</v>
      </c>
      <c r="D1273">
        <v>9.4272451666931753E-2</v>
      </c>
    </row>
    <row r="1274" spans="1:4" x14ac:dyDescent="0.35">
      <c r="A1274" t="s">
        <v>25</v>
      </c>
      <c r="B1274" t="s">
        <v>5</v>
      </c>
      <c r="C1274" t="s">
        <v>12</v>
      </c>
      <c r="D1274">
        <v>3.5488940557190585</v>
      </c>
    </row>
    <row r="1275" spans="1:4" x14ac:dyDescent="0.35">
      <c r="A1275" t="s">
        <v>26</v>
      </c>
      <c r="B1275" t="s">
        <v>5</v>
      </c>
      <c r="C1275" t="s">
        <v>12</v>
      </c>
      <c r="D1275">
        <v>0</v>
      </c>
    </row>
    <row r="1276" spans="1:4" x14ac:dyDescent="0.35">
      <c r="A1276" t="s">
        <v>27</v>
      </c>
      <c r="B1276" t="s">
        <v>5</v>
      </c>
      <c r="C1276" t="s">
        <v>12</v>
      </c>
      <c r="D1276">
        <v>0.27214987025357745</v>
      </c>
    </row>
    <row r="1277" spans="1:4" x14ac:dyDescent="0.35">
      <c r="A1277" t="s">
        <v>28</v>
      </c>
      <c r="B1277" t="s">
        <v>5</v>
      </c>
      <c r="C1277" t="s">
        <v>12</v>
      </c>
      <c r="D1277">
        <v>0</v>
      </c>
    </row>
    <row r="1278" spans="1:4" x14ac:dyDescent="0.35">
      <c r="A1278" t="s">
        <v>29</v>
      </c>
      <c r="B1278" t="s">
        <v>5</v>
      </c>
      <c r="C1278" t="s">
        <v>12</v>
      </c>
      <c r="D1278">
        <v>0.15372268539224013</v>
      </c>
    </row>
    <row r="1279" spans="1:4" x14ac:dyDescent="0.35">
      <c r="A1279" t="s">
        <v>30</v>
      </c>
      <c r="B1279" t="s">
        <v>5</v>
      </c>
      <c r="C1279" t="s">
        <v>12</v>
      </c>
      <c r="D1279">
        <v>8.5613325648119465E-2</v>
      </c>
    </row>
    <row r="1280" spans="1:4" x14ac:dyDescent="0.35">
      <c r="A1280" t="s">
        <v>31</v>
      </c>
      <c r="B1280" t="s">
        <v>5</v>
      </c>
      <c r="C1280" t="s">
        <v>12</v>
      </c>
      <c r="D1280">
        <v>7.8748756487009894E-2</v>
      </c>
    </row>
    <row r="1281" spans="1:4" x14ac:dyDescent="0.35">
      <c r="A1281" t="s">
        <v>32</v>
      </c>
      <c r="B1281" t="s">
        <v>5</v>
      </c>
      <c r="C1281" t="s">
        <v>12</v>
      </c>
      <c r="D1281">
        <v>0.28785132192048862</v>
      </c>
    </row>
    <row r="1282" spans="1:4" x14ac:dyDescent="0.35">
      <c r="A1282" t="s">
        <v>33</v>
      </c>
      <c r="B1282" t="s">
        <v>5</v>
      </c>
      <c r="C1282" t="s">
        <v>12</v>
      </c>
      <c r="D1282">
        <v>1.7117631362397161</v>
      </c>
    </row>
    <row r="1283" spans="1:4" x14ac:dyDescent="0.35">
      <c r="A1283" t="s">
        <v>34</v>
      </c>
      <c r="B1283" t="s">
        <v>5</v>
      </c>
      <c r="C1283" t="s">
        <v>12</v>
      </c>
      <c r="D1283">
        <v>0.12507842101619532</v>
      </c>
    </row>
    <row r="1284" spans="1:4" x14ac:dyDescent="0.35">
      <c r="A1284" t="s">
        <v>35</v>
      </c>
      <c r="B1284" t="s">
        <v>5</v>
      </c>
      <c r="C1284" t="s">
        <v>12</v>
      </c>
      <c r="D1284">
        <v>0.38294255067990185</v>
      </c>
    </row>
    <row r="1285" spans="1:4" x14ac:dyDescent="0.35">
      <c r="A1285" t="s">
        <v>36</v>
      </c>
      <c r="B1285" t="s">
        <v>5</v>
      </c>
      <c r="C1285" t="s">
        <v>12</v>
      </c>
      <c r="D1285">
        <v>0.15603727316633792</v>
      </c>
    </row>
    <row r="1286" spans="1:4" x14ac:dyDescent="0.35">
      <c r="A1286" t="s">
        <v>37</v>
      </c>
      <c r="B1286" t="s">
        <v>5</v>
      </c>
      <c r="C1286" t="s">
        <v>12</v>
      </c>
      <c r="D1286">
        <v>1.661249078998521E-2</v>
      </c>
    </row>
    <row r="1287" spans="1:4" x14ac:dyDescent="0.35">
      <c r="A1287" t="s">
        <v>38</v>
      </c>
      <c r="B1287" t="s">
        <v>5</v>
      </c>
      <c r="C1287" t="s">
        <v>12</v>
      </c>
      <c r="D1287">
        <v>0</v>
      </c>
    </row>
    <row r="1288" spans="1:4" x14ac:dyDescent="0.35">
      <c r="A1288" t="s">
        <v>39</v>
      </c>
      <c r="B1288" t="s">
        <v>5</v>
      </c>
      <c r="C1288" t="s">
        <v>12</v>
      </c>
      <c r="D1288">
        <v>0</v>
      </c>
    </row>
    <row r="1289" spans="1:4" x14ac:dyDescent="0.35">
      <c r="A1289" t="s">
        <v>7</v>
      </c>
      <c r="B1289" t="s">
        <v>5</v>
      </c>
      <c r="C1289" t="s">
        <v>13</v>
      </c>
      <c r="D1289">
        <v>0</v>
      </c>
    </row>
    <row r="1290" spans="1:4" x14ac:dyDescent="0.35">
      <c r="A1290" t="s">
        <v>8</v>
      </c>
      <c r="B1290" t="s">
        <v>5</v>
      </c>
      <c r="C1290" t="s">
        <v>13</v>
      </c>
      <c r="D1290">
        <v>0</v>
      </c>
    </row>
    <row r="1291" spans="1:4" x14ac:dyDescent="0.35">
      <c r="A1291" t="s">
        <v>9</v>
      </c>
      <c r="B1291" t="s">
        <v>5</v>
      </c>
      <c r="C1291" t="s">
        <v>13</v>
      </c>
      <c r="D1291">
        <v>0.15669614280493713</v>
      </c>
    </row>
    <row r="1292" spans="1:4" x14ac:dyDescent="0.35">
      <c r="A1292" t="s">
        <v>10</v>
      </c>
      <c r="B1292" t="s">
        <v>5</v>
      </c>
      <c r="C1292" t="s">
        <v>13</v>
      </c>
      <c r="D1292">
        <v>12.660214668846729</v>
      </c>
    </row>
    <row r="1293" spans="1:4" x14ac:dyDescent="0.35">
      <c r="A1293" t="s">
        <v>11</v>
      </c>
      <c r="B1293" t="s">
        <v>5</v>
      </c>
      <c r="C1293" t="s">
        <v>13</v>
      </c>
      <c r="D1293">
        <v>42.976103700443971</v>
      </c>
    </row>
    <row r="1294" spans="1:4" x14ac:dyDescent="0.35">
      <c r="A1294" t="s">
        <v>12</v>
      </c>
      <c r="B1294" t="s">
        <v>5</v>
      </c>
      <c r="C1294" t="s">
        <v>13</v>
      </c>
      <c r="D1294">
        <v>10.646442174272268</v>
      </c>
    </row>
    <row r="1295" spans="1:4" x14ac:dyDescent="0.35">
      <c r="A1295" t="s">
        <v>13</v>
      </c>
      <c r="B1295" t="s">
        <v>5</v>
      </c>
      <c r="C1295" t="s">
        <v>13</v>
      </c>
      <c r="D1295">
        <v>1203.8224234505328</v>
      </c>
    </row>
    <row r="1296" spans="1:4" x14ac:dyDescent="0.35">
      <c r="A1296" t="s">
        <v>14</v>
      </c>
      <c r="B1296" t="s">
        <v>5</v>
      </c>
      <c r="C1296" t="s">
        <v>13</v>
      </c>
      <c r="D1296">
        <v>9.5937416412825591</v>
      </c>
    </row>
    <row r="1297" spans="1:4" x14ac:dyDescent="0.35">
      <c r="A1297" t="s">
        <v>15</v>
      </c>
      <c r="B1297" t="s">
        <v>5</v>
      </c>
      <c r="C1297" t="s">
        <v>13</v>
      </c>
      <c r="D1297">
        <v>275.39392457799715</v>
      </c>
    </row>
    <row r="1298" spans="1:4" x14ac:dyDescent="0.35">
      <c r="A1298" t="s">
        <v>16</v>
      </c>
      <c r="B1298" t="s">
        <v>5</v>
      </c>
      <c r="C1298" t="s">
        <v>13</v>
      </c>
      <c r="D1298">
        <v>104.23802533062823</v>
      </c>
    </row>
    <row r="1299" spans="1:4" x14ac:dyDescent="0.35">
      <c r="A1299" t="s">
        <v>17</v>
      </c>
      <c r="B1299" t="s">
        <v>5</v>
      </c>
      <c r="C1299" t="s">
        <v>13</v>
      </c>
      <c r="D1299">
        <v>0</v>
      </c>
    </row>
    <row r="1300" spans="1:4" x14ac:dyDescent="0.35">
      <c r="A1300" t="s">
        <v>18</v>
      </c>
      <c r="B1300" t="s">
        <v>5</v>
      </c>
      <c r="C1300" t="s">
        <v>13</v>
      </c>
      <c r="D1300">
        <v>23.745811769410508</v>
      </c>
    </row>
    <row r="1301" spans="1:4" x14ac:dyDescent="0.35">
      <c r="A1301" t="s">
        <v>19</v>
      </c>
      <c r="B1301" t="s">
        <v>5</v>
      </c>
      <c r="C1301" t="s">
        <v>13</v>
      </c>
      <c r="D1301">
        <v>28.550593228933106</v>
      </c>
    </row>
    <row r="1302" spans="1:4" x14ac:dyDescent="0.35">
      <c r="A1302" t="s">
        <v>20</v>
      </c>
      <c r="B1302" t="s">
        <v>5</v>
      </c>
      <c r="C1302" t="s">
        <v>13</v>
      </c>
      <c r="D1302">
        <v>1.2692988645319002E-2</v>
      </c>
    </row>
    <row r="1303" spans="1:4" x14ac:dyDescent="0.35">
      <c r="A1303" t="s">
        <v>21</v>
      </c>
      <c r="B1303" t="s">
        <v>5</v>
      </c>
      <c r="C1303" t="s">
        <v>13</v>
      </c>
      <c r="D1303">
        <v>9.3926029591517217</v>
      </c>
    </row>
    <row r="1304" spans="1:4" x14ac:dyDescent="0.35">
      <c r="A1304" t="s">
        <v>22</v>
      </c>
      <c r="B1304" t="s">
        <v>5</v>
      </c>
      <c r="C1304" t="s">
        <v>13</v>
      </c>
      <c r="D1304">
        <v>61.91548197803592</v>
      </c>
    </row>
    <row r="1305" spans="1:4" x14ac:dyDescent="0.35">
      <c r="A1305" t="s">
        <v>23</v>
      </c>
      <c r="B1305" t="s">
        <v>5</v>
      </c>
      <c r="C1305" t="s">
        <v>13</v>
      </c>
      <c r="D1305">
        <v>1.4734892382796181</v>
      </c>
    </row>
    <row r="1306" spans="1:4" x14ac:dyDescent="0.35">
      <c r="A1306" t="s">
        <v>24</v>
      </c>
      <c r="B1306" t="s">
        <v>5</v>
      </c>
      <c r="C1306" t="s">
        <v>13</v>
      </c>
      <c r="D1306">
        <v>0.48168860510733358</v>
      </c>
    </row>
    <row r="1307" spans="1:4" x14ac:dyDescent="0.35">
      <c r="A1307" t="s">
        <v>25</v>
      </c>
      <c r="B1307" t="s">
        <v>5</v>
      </c>
      <c r="C1307" t="s">
        <v>13</v>
      </c>
      <c r="D1307">
        <v>11.078049768167508</v>
      </c>
    </row>
    <row r="1308" spans="1:4" x14ac:dyDescent="0.35">
      <c r="A1308" t="s">
        <v>26</v>
      </c>
      <c r="B1308" t="s">
        <v>5</v>
      </c>
      <c r="C1308" t="s">
        <v>13</v>
      </c>
      <c r="D1308">
        <v>0</v>
      </c>
    </row>
    <row r="1309" spans="1:4" x14ac:dyDescent="0.35">
      <c r="A1309" t="s">
        <v>27</v>
      </c>
      <c r="B1309" t="s">
        <v>5</v>
      </c>
      <c r="C1309" t="s">
        <v>13</v>
      </c>
      <c r="D1309">
        <v>0.35740223754160072</v>
      </c>
    </row>
    <row r="1310" spans="1:4" x14ac:dyDescent="0.35">
      <c r="A1310" t="s">
        <v>28</v>
      </c>
      <c r="B1310" t="s">
        <v>5</v>
      </c>
      <c r="C1310" t="s">
        <v>13</v>
      </c>
      <c r="D1310">
        <v>0</v>
      </c>
    </row>
    <row r="1311" spans="1:4" x14ac:dyDescent="0.35">
      <c r="A1311" t="s">
        <v>29</v>
      </c>
      <c r="B1311" t="s">
        <v>5</v>
      </c>
      <c r="C1311" t="s">
        <v>13</v>
      </c>
      <c r="D1311">
        <v>0.44631185462788281</v>
      </c>
    </row>
    <row r="1312" spans="1:4" x14ac:dyDescent="0.35">
      <c r="A1312" t="s">
        <v>30</v>
      </c>
      <c r="B1312" t="s">
        <v>5</v>
      </c>
      <c r="C1312" t="s">
        <v>13</v>
      </c>
      <c r="D1312">
        <v>0.44144132835289362</v>
      </c>
    </row>
    <row r="1313" spans="1:4" x14ac:dyDescent="0.35">
      <c r="A1313" t="s">
        <v>31</v>
      </c>
      <c r="B1313" t="s">
        <v>5</v>
      </c>
      <c r="C1313" t="s">
        <v>13</v>
      </c>
      <c r="D1313">
        <v>1.0697868290567292</v>
      </c>
    </row>
    <row r="1314" spans="1:4" x14ac:dyDescent="0.35">
      <c r="A1314" t="s">
        <v>32</v>
      </c>
      <c r="B1314" t="s">
        <v>5</v>
      </c>
      <c r="C1314" t="s">
        <v>13</v>
      </c>
      <c r="D1314">
        <v>0.60685276834611779</v>
      </c>
    </row>
    <row r="1315" spans="1:4" x14ac:dyDescent="0.35">
      <c r="A1315" t="s">
        <v>33</v>
      </c>
      <c r="B1315" t="s">
        <v>5</v>
      </c>
      <c r="C1315" t="s">
        <v>13</v>
      </c>
      <c r="D1315">
        <v>1.2832951093502059</v>
      </c>
    </row>
    <row r="1316" spans="1:4" x14ac:dyDescent="0.35">
      <c r="A1316" t="s">
        <v>34</v>
      </c>
      <c r="B1316" t="s">
        <v>5</v>
      </c>
      <c r="C1316" t="s">
        <v>13</v>
      </c>
      <c r="D1316">
        <v>1.4410840383927053</v>
      </c>
    </row>
    <row r="1317" spans="1:4" x14ac:dyDescent="0.35">
      <c r="A1317" t="s">
        <v>35</v>
      </c>
      <c r="B1317" t="s">
        <v>5</v>
      </c>
      <c r="C1317" t="s">
        <v>13</v>
      </c>
      <c r="D1317">
        <v>0.53987838038677727</v>
      </c>
    </row>
    <row r="1318" spans="1:4" x14ac:dyDescent="0.35">
      <c r="A1318" t="s">
        <v>36</v>
      </c>
      <c r="B1318" t="s">
        <v>5</v>
      </c>
      <c r="C1318" t="s">
        <v>13</v>
      </c>
      <c r="D1318">
        <v>1.2110503825931493</v>
      </c>
    </row>
    <row r="1319" spans="1:4" x14ac:dyDescent="0.35">
      <c r="A1319" t="s">
        <v>37</v>
      </c>
      <c r="B1319" t="s">
        <v>5</v>
      </c>
      <c r="C1319" t="s">
        <v>13</v>
      </c>
      <c r="D1319">
        <v>2.9896504189208729E-2</v>
      </c>
    </row>
    <row r="1320" spans="1:4" x14ac:dyDescent="0.35">
      <c r="A1320" t="s">
        <v>38</v>
      </c>
      <c r="B1320" t="s">
        <v>5</v>
      </c>
      <c r="C1320" t="s">
        <v>13</v>
      </c>
      <c r="D1320">
        <v>0.16414201701788755</v>
      </c>
    </row>
    <row r="1321" spans="1:4" x14ac:dyDescent="0.35">
      <c r="A1321" t="s">
        <v>39</v>
      </c>
      <c r="B1321" t="s">
        <v>5</v>
      </c>
      <c r="C1321" t="s">
        <v>13</v>
      </c>
      <c r="D1321">
        <v>0</v>
      </c>
    </row>
    <row r="1322" spans="1:4" x14ac:dyDescent="0.35">
      <c r="A1322" t="s">
        <v>7</v>
      </c>
      <c r="B1322" t="s">
        <v>5</v>
      </c>
      <c r="C1322" t="s">
        <v>14</v>
      </c>
      <c r="D1322">
        <v>0</v>
      </c>
    </row>
    <row r="1323" spans="1:4" x14ac:dyDescent="0.35">
      <c r="A1323" t="s">
        <v>8</v>
      </c>
      <c r="B1323" t="s">
        <v>5</v>
      </c>
      <c r="C1323" t="s">
        <v>14</v>
      </c>
      <c r="D1323">
        <v>20572.875019951127</v>
      </c>
    </row>
    <row r="1324" spans="1:4" x14ac:dyDescent="0.35">
      <c r="A1324" t="s">
        <v>9</v>
      </c>
      <c r="B1324" t="s">
        <v>5</v>
      </c>
      <c r="C1324" t="s">
        <v>14</v>
      </c>
      <c r="D1324">
        <v>0</v>
      </c>
    </row>
    <row r="1325" spans="1:4" x14ac:dyDescent="0.35">
      <c r="A1325" t="s">
        <v>10</v>
      </c>
      <c r="B1325" t="s">
        <v>5</v>
      </c>
      <c r="C1325" t="s">
        <v>14</v>
      </c>
      <c r="D1325">
        <v>1.2510717548870082E-3</v>
      </c>
    </row>
    <row r="1326" spans="1:4" x14ac:dyDescent="0.35">
      <c r="A1326" t="s">
        <v>11</v>
      </c>
      <c r="B1326" t="s">
        <v>5</v>
      </c>
      <c r="C1326" t="s">
        <v>14</v>
      </c>
      <c r="D1326">
        <v>0</v>
      </c>
    </row>
    <row r="1327" spans="1:4" x14ac:dyDescent="0.35">
      <c r="A1327" t="s">
        <v>12</v>
      </c>
      <c r="B1327" t="s">
        <v>5</v>
      </c>
      <c r="C1327" t="s">
        <v>14</v>
      </c>
      <c r="D1327">
        <v>0</v>
      </c>
    </row>
    <row r="1328" spans="1:4" x14ac:dyDescent="0.35">
      <c r="A1328" t="s">
        <v>13</v>
      </c>
      <c r="B1328" t="s">
        <v>5</v>
      </c>
      <c r="C1328" t="s">
        <v>14</v>
      </c>
      <c r="D1328">
        <v>8.607415250350979E-2</v>
      </c>
    </row>
    <row r="1329" spans="1:4" x14ac:dyDescent="0.35">
      <c r="A1329" t="s">
        <v>14</v>
      </c>
      <c r="B1329" t="s">
        <v>5</v>
      </c>
      <c r="C1329" t="s">
        <v>14</v>
      </c>
      <c r="D1329">
        <v>1019.621759247397</v>
      </c>
    </row>
    <row r="1330" spans="1:4" x14ac:dyDescent="0.35">
      <c r="A1330" t="s">
        <v>15</v>
      </c>
      <c r="B1330" t="s">
        <v>5</v>
      </c>
      <c r="C1330" t="s">
        <v>14</v>
      </c>
      <c r="D1330">
        <v>538.56753376196002</v>
      </c>
    </row>
    <row r="1331" spans="1:4" x14ac:dyDescent="0.35">
      <c r="A1331" t="s">
        <v>16</v>
      </c>
      <c r="B1331" t="s">
        <v>5</v>
      </c>
      <c r="C1331" t="s">
        <v>14</v>
      </c>
      <c r="D1331">
        <v>159.40473042239987</v>
      </c>
    </row>
    <row r="1332" spans="1:4" x14ac:dyDescent="0.35">
      <c r="A1332" t="s">
        <v>17</v>
      </c>
      <c r="B1332" t="s">
        <v>5</v>
      </c>
      <c r="C1332" t="s">
        <v>14</v>
      </c>
      <c r="D1332">
        <v>0</v>
      </c>
    </row>
    <row r="1333" spans="1:4" x14ac:dyDescent="0.35">
      <c r="A1333" t="s">
        <v>18</v>
      </c>
      <c r="B1333" t="s">
        <v>5</v>
      </c>
      <c r="C1333" t="s">
        <v>14</v>
      </c>
      <c r="D1333">
        <v>0</v>
      </c>
    </row>
    <row r="1334" spans="1:4" x14ac:dyDescent="0.35">
      <c r="A1334" t="s">
        <v>19</v>
      </c>
      <c r="B1334" t="s">
        <v>5</v>
      </c>
      <c r="C1334" t="s">
        <v>14</v>
      </c>
      <c r="D1334">
        <v>0</v>
      </c>
    </row>
    <row r="1335" spans="1:4" x14ac:dyDescent="0.35">
      <c r="A1335" t="s">
        <v>20</v>
      </c>
      <c r="B1335" t="s">
        <v>5</v>
      </c>
      <c r="C1335" t="s">
        <v>14</v>
      </c>
      <c r="D1335">
        <v>0</v>
      </c>
    </row>
    <row r="1336" spans="1:4" x14ac:dyDescent="0.35">
      <c r="A1336" t="s">
        <v>21</v>
      </c>
      <c r="B1336" t="s">
        <v>5</v>
      </c>
      <c r="C1336" t="s">
        <v>14</v>
      </c>
      <c r="D1336">
        <v>48.153276907345216</v>
      </c>
    </row>
    <row r="1337" spans="1:4" x14ac:dyDescent="0.35">
      <c r="A1337" t="s">
        <v>22</v>
      </c>
      <c r="B1337" t="s">
        <v>5</v>
      </c>
      <c r="C1337" t="s">
        <v>14</v>
      </c>
      <c r="D1337">
        <v>36.921098395834562</v>
      </c>
    </row>
    <row r="1338" spans="1:4" x14ac:dyDescent="0.35">
      <c r="A1338" t="s">
        <v>23</v>
      </c>
      <c r="B1338" t="s">
        <v>5</v>
      </c>
      <c r="C1338" t="s">
        <v>14</v>
      </c>
      <c r="D1338">
        <v>1.8512570329472047</v>
      </c>
    </row>
    <row r="1339" spans="1:4" x14ac:dyDescent="0.35">
      <c r="A1339" t="s">
        <v>24</v>
      </c>
      <c r="B1339" t="s">
        <v>5</v>
      </c>
      <c r="C1339" t="s">
        <v>14</v>
      </c>
      <c r="D1339">
        <v>3.1072239648505626E-5</v>
      </c>
    </row>
    <row r="1340" spans="1:4" x14ac:dyDescent="0.35">
      <c r="A1340" t="s">
        <v>25</v>
      </c>
      <c r="B1340" t="s">
        <v>5</v>
      </c>
      <c r="C1340" t="s">
        <v>14</v>
      </c>
      <c r="D1340">
        <v>4.4164337728515308</v>
      </c>
    </row>
    <row r="1341" spans="1:4" x14ac:dyDescent="0.35">
      <c r="A1341" t="s">
        <v>26</v>
      </c>
      <c r="B1341" t="s">
        <v>5</v>
      </c>
      <c r="C1341" t="s">
        <v>14</v>
      </c>
      <c r="D1341">
        <v>0</v>
      </c>
    </row>
    <row r="1342" spans="1:4" x14ac:dyDescent="0.35">
      <c r="A1342" t="s">
        <v>27</v>
      </c>
      <c r="B1342" t="s">
        <v>5</v>
      </c>
      <c r="C1342" t="s">
        <v>14</v>
      </c>
      <c r="D1342">
        <v>0</v>
      </c>
    </row>
    <row r="1343" spans="1:4" x14ac:dyDescent="0.35">
      <c r="A1343" t="s">
        <v>28</v>
      </c>
      <c r="B1343" t="s">
        <v>5</v>
      </c>
      <c r="C1343" t="s">
        <v>14</v>
      </c>
      <c r="D1343">
        <v>0</v>
      </c>
    </row>
    <row r="1344" spans="1:4" x14ac:dyDescent="0.35">
      <c r="A1344" t="s">
        <v>29</v>
      </c>
      <c r="B1344" t="s">
        <v>5</v>
      </c>
      <c r="C1344" t="s">
        <v>14</v>
      </c>
      <c r="D1344">
        <v>0.15666417673128244</v>
      </c>
    </row>
    <row r="1345" spans="1:4" x14ac:dyDescent="0.35">
      <c r="A1345" t="s">
        <v>30</v>
      </c>
      <c r="B1345" t="s">
        <v>5</v>
      </c>
      <c r="C1345" t="s">
        <v>14</v>
      </c>
      <c r="D1345">
        <v>3.9222102174317083E-2</v>
      </c>
    </row>
    <row r="1346" spans="1:4" x14ac:dyDescent="0.35">
      <c r="A1346" t="s">
        <v>31</v>
      </c>
      <c r="B1346" t="s">
        <v>5</v>
      </c>
      <c r="C1346" t="s">
        <v>14</v>
      </c>
      <c r="D1346">
        <v>1.2531815504900755E-2</v>
      </c>
    </row>
    <row r="1347" spans="1:4" x14ac:dyDescent="0.35">
      <c r="A1347" t="s">
        <v>32</v>
      </c>
      <c r="B1347" t="s">
        <v>5</v>
      </c>
      <c r="C1347" t="s">
        <v>14</v>
      </c>
      <c r="D1347">
        <v>5.8560567587684069</v>
      </c>
    </row>
    <row r="1348" spans="1:4" x14ac:dyDescent="0.35">
      <c r="A1348" t="s">
        <v>33</v>
      </c>
      <c r="B1348" t="s">
        <v>5</v>
      </c>
      <c r="C1348" t="s">
        <v>14</v>
      </c>
      <c r="D1348">
        <v>1.2794005055504988E-2</v>
      </c>
    </row>
    <row r="1349" spans="1:4" x14ac:dyDescent="0.35">
      <c r="A1349" t="s">
        <v>34</v>
      </c>
      <c r="B1349" t="s">
        <v>5</v>
      </c>
      <c r="C1349" t="s">
        <v>14</v>
      </c>
      <c r="D1349">
        <v>4.8108489638764067E-2</v>
      </c>
    </row>
    <row r="1350" spans="1:4" x14ac:dyDescent="0.35">
      <c r="A1350" t="s">
        <v>35</v>
      </c>
      <c r="B1350" t="s">
        <v>5</v>
      </c>
      <c r="C1350" t="s">
        <v>14</v>
      </c>
      <c r="D1350">
        <v>6.3615061814486867E-2</v>
      </c>
    </row>
    <row r="1351" spans="1:4" x14ac:dyDescent="0.35">
      <c r="A1351" t="s">
        <v>36</v>
      </c>
      <c r="B1351" t="s">
        <v>5</v>
      </c>
      <c r="C1351" t="s">
        <v>14</v>
      </c>
      <c r="D1351">
        <v>0.90226019551490122</v>
      </c>
    </row>
    <row r="1352" spans="1:4" x14ac:dyDescent="0.35">
      <c r="A1352" t="s">
        <v>37</v>
      </c>
      <c r="B1352" t="s">
        <v>5</v>
      </c>
      <c r="C1352" t="s">
        <v>14</v>
      </c>
      <c r="D1352">
        <v>1.6712702512669247E-3</v>
      </c>
    </row>
    <row r="1353" spans="1:4" x14ac:dyDescent="0.35">
      <c r="A1353" t="s">
        <v>38</v>
      </c>
      <c r="B1353" t="s">
        <v>5</v>
      </c>
      <c r="C1353" t="s">
        <v>14</v>
      </c>
      <c r="D1353">
        <v>3.0239171700891049E-2</v>
      </c>
    </row>
    <row r="1354" spans="1:4" x14ac:dyDescent="0.35">
      <c r="A1354" t="s">
        <v>39</v>
      </c>
      <c r="B1354" t="s">
        <v>5</v>
      </c>
      <c r="C1354" t="s">
        <v>14</v>
      </c>
      <c r="D1354">
        <v>0</v>
      </c>
    </row>
    <row r="1355" spans="1:4" x14ac:dyDescent="0.35">
      <c r="A1355" t="s">
        <v>7</v>
      </c>
      <c r="B1355" t="s">
        <v>5</v>
      </c>
      <c r="C1355" t="s">
        <v>15</v>
      </c>
      <c r="D1355">
        <v>0</v>
      </c>
    </row>
    <row r="1356" spans="1:4" x14ac:dyDescent="0.35">
      <c r="A1356" t="s">
        <v>8</v>
      </c>
      <c r="B1356" t="s">
        <v>5</v>
      </c>
      <c r="C1356" t="s">
        <v>15</v>
      </c>
      <c r="D1356">
        <v>20.780698067484213</v>
      </c>
    </row>
    <row r="1357" spans="1:4" x14ac:dyDescent="0.35">
      <c r="A1357" t="s">
        <v>9</v>
      </c>
      <c r="B1357" t="s">
        <v>5</v>
      </c>
      <c r="C1357" t="s">
        <v>15</v>
      </c>
      <c r="D1357">
        <v>29.189182785541526</v>
      </c>
    </row>
    <row r="1358" spans="1:4" x14ac:dyDescent="0.35">
      <c r="A1358" t="s">
        <v>10</v>
      </c>
      <c r="B1358" t="s">
        <v>5</v>
      </c>
      <c r="C1358" t="s">
        <v>15</v>
      </c>
      <c r="D1358">
        <v>3.4396972715213128</v>
      </c>
    </row>
    <row r="1359" spans="1:4" x14ac:dyDescent="0.35">
      <c r="A1359" t="s">
        <v>11</v>
      </c>
      <c r="B1359" t="s">
        <v>5</v>
      </c>
      <c r="C1359" t="s">
        <v>15</v>
      </c>
      <c r="D1359">
        <v>0</v>
      </c>
    </row>
    <row r="1360" spans="1:4" x14ac:dyDescent="0.35">
      <c r="A1360" t="s">
        <v>12</v>
      </c>
      <c r="B1360" t="s">
        <v>5</v>
      </c>
      <c r="C1360" t="s">
        <v>15</v>
      </c>
      <c r="D1360">
        <v>0</v>
      </c>
    </row>
    <row r="1361" spans="1:4" x14ac:dyDescent="0.35">
      <c r="A1361" t="s">
        <v>13</v>
      </c>
      <c r="B1361" t="s">
        <v>5</v>
      </c>
      <c r="C1361" t="s">
        <v>15</v>
      </c>
      <c r="D1361">
        <v>17.199236509287214</v>
      </c>
    </row>
    <row r="1362" spans="1:4" x14ac:dyDescent="0.35">
      <c r="A1362" t="s">
        <v>14</v>
      </c>
      <c r="B1362" t="s">
        <v>5</v>
      </c>
      <c r="C1362" t="s">
        <v>15</v>
      </c>
      <c r="D1362">
        <v>87.464072625411902</v>
      </c>
    </row>
    <row r="1363" spans="1:4" x14ac:dyDescent="0.35">
      <c r="A1363" t="s">
        <v>15</v>
      </c>
      <c r="B1363" t="s">
        <v>5</v>
      </c>
      <c r="C1363" t="s">
        <v>15</v>
      </c>
      <c r="D1363">
        <v>3980.3412901518227</v>
      </c>
    </row>
    <row r="1364" spans="1:4" x14ac:dyDescent="0.35">
      <c r="A1364" t="s">
        <v>16</v>
      </c>
      <c r="B1364" t="s">
        <v>5</v>
      </c>
      <c r="C1364" t="s">
        <v>15</v>
      </c>
      <c r="D1364">
        <v>371.95443456237433</v>
      </c>
    </row>
    <row r="1365" spans="1:4" x14ac:dyDescent="0.35">
      <c r="A1365" t="s">
        <v>17</v>
      </c>
      <c r="B1365" t="s">
        <v>5</v>
      </c>
      <c r="C1365" t="s">
        <v>15</v>
      </c>
      <c r="D1365">
        <v>97.543063473483514</v>
      </c>
    </row>
    <row r="1366" spans="1:4" x14ac:dyDescent="0.35">
      <c r="A1366" t="s">
        <v>18</v>
      </c>
      <c r="B1366" t="s">
        <v>5</v>
      </c>
      <c r="C1366" t="s">
        <v>15</v>
      </c>
      <c r="D1366">
        <v>1.3580893919699684</v>
      </c>
    </row>
    <row r="1367" spans="1:4" x14ac:dyDescent="0.35">
      <c r="A1367" t="s">
        <v>19</v>
      </c>
      <c r="B1367" t="s">
        <v>5</v>
      </c>
      <c r="C1367" t="s">
        <v>15</v>
      </c>
      <c r="D1367">
        <v>31.64671958022247</v>
      </c>
    </row>
    <row r="1368" spans="1:4" x14ac:dyDescent="0.35">
      <c r="A1368" t="s">
        <v>20</v>
      </c>
      <c r="B1368" t="s">
        <v>5</v>
      </c>
      <c r="C1368" t="s">
        <v>15</v>
      </c>
      <c r="D1368">
        <v>0.16256937894342088</v>
      </c>
    </row>
    <row r="1369" spans="1:4" x14ac:dyDescent="0.35">
      <c r="A1369" t="s">
        <v>21</v>
      </c>
      <c r="B1369" t="s">
        <v>5</v>
      </c>
      <c r="C1369" t="s">
        <v>15</v>
      </c>
      <c r="D1369">
        <v>54.545758778591164</v>
      </c>
    </row>
    <row r="1370" spans="1:4" x14ac:dyDescent="0.35">
      <c r="A1370" t="s">
        <v>22</v>
      </c>
      <c r="B1370" t="s">
        <v>5</v>
      </c>
      <c r="C1370" t="s">
        <v>15</v>
      </c>
      <c r="D1370">
        <v>41.104548299529256</v>
      </c>
    </row>
    <row r="1371" spans="1:4" x14ac:dyDescent="0.35">
      <c r="A1371" t="s">
        <v>23</v>
      </c>
      <c r="B1371" t="s">
        <v>5</v>
      </c>
      <c r="C1371" t="s">
        <v>15</v>
      </c>
      <c r="D1371">
        <v>1.1335922599420185</v>
      </c>
    </row>
    <row r="1372" spans="1:4" x14ac:dyDescent="0.35">
      <c r="A1372" t="s">
        <v>24</v>
      </c>
      <c r="B1372" t="s">
        <v>5</v>
      </c>
      <c r="C1372" t="s">
        <v>15</v>
      </c>
      <c r="D1372">
        <v>0.29259888698804137</v>
      </c>
    </row>
    <row r="1373" spans="1:4" x14ac:dyDescent="0.35">
      <c r="A1373" t="s">
        <v>25</v>
      </c>
      <c r="B1373" t="s">
        <v>5</v>
      </c>
      <c r="C1373" t="s">
        <v>15</v>
      </c>
      <c r="D1373">
        <v>11.654935005960995</v>
      </c>
    </row>
    <row r="1374" spans="1:4" x14ac:dyDescent="0.35">
      <c r="A1374" t="s">
        <v>26</v>
      </c>
      <c r="B1374" t="s">
        <v>5</v>
      </c>
      <c r="C1374" t="s">
        <v>15</v>
      </c>
      <c r="D1374">
        <v>0</v>
      </c>
    </row>
    <row r="1375" spans="1:4" x14ac:dyDescent="0.35">
      <c r="A1375" t="s">
        <v>27</v>
      </c>
      <c r="B1375" t="s">
        <v>5</v>
      </c>
      <c r="C1375" t="s">
        <v>15</v>
      </c>
      <c r="D1375">
        <v>0.34549915568460959</v>
      </c>
    </row>
    <row r="1376" spans="1:4" x14ac:dyDescent="0.35">
      <c r="A1376" t="s">
        <v>28</v>
      </c>
      <c r="B1376" t="s">
        <v>5</v>
      </c>
      <c r="C1376" t="s">
        <v>15</v>
      </c>
      <c r="D1376">
        <v>0</v>
      </c>
    </row>
    <row r="1377" spans="1:4" x14ac:dyDescent="0.35">
      <c r="A1377" t="s">
        <v>29</v>
      </c>
      <c r="B1377" t="s">
        <v>5</v>
      </c>
      <c r="C1377" t="s">
        <v>15</v>
      </c>
      <c r="D1377">
        <v>13.097787231572747</v>
      </c>
    </row>
    <row r="1378" spans="1:4" x14ac:dyDescent="0.35">
      <c r="A1378" t="s">
        <v>30</v>
      </c>
      <c r="B1378" t="s">
        <v>5</v>
      </c>
      <c r="C1378" t="s">
        <v>15</v>
      </c>
      <c r="D1378">
        <v>1.2412215339183152</v>
      </c>
    </row>
    <row r="1379" spans="1:4" x14ac:dyDescent="0.35">
      <c r="A1379" t="s">
        <v>31</v>
      </c>
      <c r="B1379" t="s">
        <v>5</v>
      </c>
      <c r="C1379" t="s">
        <v>15</v>
      </c>
      <c r="D1379">
        <v>0.65840247459239065</v>
      </c>
    </row>
    <row r="1380" spans="1:4" x14ac:dyDescent="0.35">
      <c r="A1380" t="s">
        <v>32</v>
      </c>
      <c r="B1380" t="s">
        <v>5</v>
      </c>
      <c r="C1380" t="s">
        <v>15</v>
      </c>
      <c r="D1380">
        <v>0.5135318497980027</v>
      </c>
    </row>
    <row r="1381" spans="1:4" x14ac:dyDescent="0.35">
      <c r="A1381" t="s">
        <v>33</v>
      </c>
      <c r="B1381" t="s">
        <v>5</v>
      </c>
      <c r="C1381" t="s">
        <v>15</v>
      </c>
      <c r="D1381">
        <v>0.45378899800550737</v>
      </c>
    </row>
    <row r="1382" spans="1:4" x14ac:dyDescent="0.35">
      <c r="A1382" t="s">
        <v>34</v>
      </c>
      <c r="B1382" t="s">
        <v>5</v>
      </c>
      <c r="C1382" t="s">
        <v>15</v>
      </c>
      <c r="D1382">
        <v>2.92179108036858</v>
      </c>
    </row>
    <row r="1383" spans="1:4" x14ac:dyDescent="0.35">
      <c r="A1383" t="s">
        <v>35</v>
      </c>
      <c r="B1383" t="s">
        <v>5</v>
      </c>
      <c r="C1383" t="s">
        <v>15</v>
      </c>
      <c r="D1383">
        <v>0.20903796739331604</v>
      </c>
    </row>
    <row r="1384" spans="1:4" x14ac:dyDescent="0.35">
      <c r="A1384" t="s">
        <v>36</v>
      </c>
      <c r="B1384" t="s">
        <v>5</v>
      </c>
      <c r="C1384" t="s">
        <v>15</v>
      </c>
      <c r="D1384">
        <v>1.7583241879846514</v>
      </c>
    </row>
    <row r="1385" spans="1:4" x14ac:dyDescent="0.35">
      <c r="A1385" t="s">
        <v>37</v>
      </c>
      <c r="B1385" t="s">
        <v>5</v>
      </c>
      <c r="C1385" t="s">
        <v>15</v>
      </c>
      <c r="D1385">
        <v>6.91403061978179E-3</v>
      </c>
    </row>
    <row r="1386" spans="1:4" x14ac:dyDescent="0.35">
      <c r="A1386" t="s">
        <v>38</v>
      </c>
      <c r="B1386" t="s">
        <v>5</v>
      </c>
      <c r="C1386" t="s">
        <v>15</v>
      </c>
      <c r="D1386">
        <v>1.0379574495066799</v>
      </c>
    </row>
    <row r="1387" spans="1:4" x14ac:dyDescent="0.35">
      <c r="A1387" t="s">
        <v>39</v>
      </c>
      <c r="B1387" t="s">
        <v>5</v>
      </c>
      <c r="C1387" t="s">
        <v>15</v>
      </c>
      <c r="D1387">
        <v>0</v>
      </c>
    </row>
    <row r="1388" spans="1:4" x14ac:dyDescent="0.35">
      <c r="A1388" t="s">
        <v>7</v>
      </c>
      <c r="B1388" t="s">
        <v>5</v>
      </c>
      <c r="C1388" t="s">
        <v>16</v>
      </c>
      <c r="D1388">
        <v>4.9315527430491199</v>
      </c>
    </row>
    <row r="1389" spans="1:4" x14ac:dyDescent="0.35">
      <c r="A1389" t="s">
        <v>8</v>
      </c>
      <c r="B1389" t="s">
        <v>5</v>
      </c>
      <c r="C1389" t="s">
        <v>16</v>
      </c>
      <c r="D1389">
        <v>0</v>
      </c>
    </row>
    <row r="1390" spans="1:4" x14ac:dyDescent="0.35">
      <c r="A1390" t="s">
        <v>9</v>
      </c>
      <c r="B1390" t="s">
        <v>5</v>
      </c>
      <c r="C1390" t="s">
        <v>16</v>
      </c>
      <c r="D1390">
        <v>0</v>
      </c>
    </row>
    <row r="1391" spans="1:4" x14ac:dyDescent="0.35">
      <c r="A1391" t="s">
        <v>10</v>
      </c>
      <c r="B1391" t="s">
        <v>5</v>
      </c>
      <c r="C1391" t="s">
        <v>16</v>
      </c>
      <c r="D1391">
        <v>0.24176252207755394</v>
      </c>
    </row>
    <row r="1392" spans="1:4" x14ac:dyDescent="0.35">
      <c r="A1392" t="s">
        <v>11</v>
      </c>
      <c r="B1392" t="s">
        <v>5</v>
      </c>
      <c r="C1392" t="s">
        <v>16</v>
      </c>
      <c r="D1392">
        <v>0</v>
      </c>
    </row>
    <row r="1393" spans="1:4" x14ac:dyDescent="0.35">
      <c r="A1393" t="s">
        <v>12</v>
      </c>
      <c r="B1393" t="s">
        <v>5</v>
      </c>
      <c r="C1393" t="s">
        <v>16</v>
      </c>
      <c r="D1393">
        <v>0</v>
      </c>
    </row>
    <row r="1394" spans="1:4" x14ac:dyDescent="0.35">
      <c r="A1394" t="s">
        <v>13</v>
      </c>
      <c r="B1394" t="s">
        <v>5</v>
      </c>
      <c r="C1394" t="s">
        <v>16</v>
      </c>
      <c r="D1394">
        <v>9.6995893648524252</v>
      </c>
    </row>
    <row r="1395" spans="1:4" x14ac:dyDescent="0.35">
      <c r="A1395" t="s">
        <v>14</v>
      </c>
      <c r="B1395" t="s">
        <v>5</v>
      </c>
      <c r="C1395" t="s">
        <v>16</v>
      </c>
      <c r="D1395">
        <v>6.6588120173946495</v>
      </c>
    </row>
    <row r="1396" spans="1:4" x14ac:dyDescent="0.35">
      <c r="A1396" t="s">
        <v>15</v>
      </c>
      <c r="B1396" t="s">
        <v>5</v>
      </c>
      <c r="C1396" t="s">
        <v>16</v>
      </c>
      <c r="D1396">
        <v>1653.0387604305045</v>
      </c>
    </row>
    <row r="1397" spans="1:4" x14ac:dyDescent="0.35">
      <c r="A1397" t="s">
        <v>16</v>
      </c>
      <c r="B1397" t="s">
        <v>5</v>
      </c>
      <c r="C1397" t="s">
        <v>16</v>
      </c>
      <c r="D1397">
        <v>460.84113262974824</v>
      </c>
    </row>
    <row r="1398" spans="1:4" x14ac:dyDescent="0.35">
      <c r="A1398" t="s">
        <v>17</v>
      </c>
      <c r="B1398" t="s">
        <v>5</v>
      </c>
      <c r="C1398" t="s">
        <v>16</v>
      </c>
      <c r="D1398">
        <v>2.1840967696031188</v>
      </c>
    </row>
    <row r="1399" spans="1:4" x14ac:dyDescent="0.35">
      <c r="A1399" t="s">
        <v>18</v>
      </c>
      <c r="B1399" t="s">
        <v>5</v>
      </c>
      <c r="C1399" t="s">
        <v>16</v>
      </c>
      <c r="D1399">
        <v>292.48203536095082</v>
      </c>
    </row>
    <row r="1400" spans="1:4" x14ac:dyDescent="0.35">
      <c r="A1400" t="s">
        <v>19</v>
      </c>
      <c r="B1400" t="s">
        <v>5</v>
      </c>
      <c r="C1400" t="s">
        <v>16</v>
      </c>
      <c r="D1400">
        <v>13.139471027058361</v>
      </c>
    </row>
    <row r="1401" spans="1:4" x14ac:dyDescent="0.35">
      <c r="A1401" t="s">
        <v>20</v>
      </c>
      <c r="B1401" t="s">
        <v>5</v>
      </c>
      <c r="C1401" t="s">
        <v>16</v>
      </c>
      <c r="D1401">
        <v>14.586324928951607</v>
      </c>
    </row>
    <row r="1402" spans="1:4" x14ac:dyDescent="0.35">
      <c r="A1402" t="s">
        <v>21</v>
      </c>
      <c r="B1402" t="s">
        <v>5</v>
      </c>
      <c r="C1402" t="s">
        <v>16</v>
      </c>
      <c r="D1402">
        <v>20.995605270095968</v>
      </c>
    </row>
    <row r="1403" spans="1:4" x14ac:dyDescent="0.35">
      <c r="A1403" t="s">
        <v>22</v>
      </c>
      <c r="B1403" t="s">
        <v>5</v>
      </c>
      <c r="C1403" t="s">
        <v>16</v>
      </c>
      <c r="D1403">
        <v>15.468478980576871</v>
      </c>
    </row>
    <row r="1404" spans="1:4" x14ac:dyDescent="0.35">
      <c r="A1404" t="s">
        <v>23</v>
      </c>
      <c r="B1404" t="s">
        <v>5</v>
      </c>
      <c r="C1404" t="s">
        <v>16</v>
      </c>
      <c r="D1404">
        <v>1.3529399438409919</v>
      </c>
    </row>
    <row r="1405" spans="1:4" x14ac:dyDescent="0.35">
      <c r="A1405" t="s">
        <v>24</v>
      </c>
      <c r="B1405" t="s">
        <v>5</v>
      </c>
      <c r="C1405" t="s">
        <v>16</v>
      </c>
      <c r="D1405">
        <v>0.30766815216915633</v>
      </c>
    </row>
    <row r="1406" spans="1:4" x14ac:dyDescent="0.35">
      <c r="A1406" t="s">
        <v>25</v>
      </c>
      <c r="B1406" t="s">
        <v>5</v>
      </c>
      <c r="C1406" t="s">
        <v>16</v>
      </c>
      <c r="D1406">
        <v>6.4226179497400118</v>
      </c>
    </row>
    <row r="1407" spans="1:4" x14ac:dyDescent="0.35">
      <c r="A1407" t="s">
        <v>26</v>
      </c>
      <c r="B1407" t="s">
        <v>5</v>
      </c>
      <c r="C1407" t="s">
        <v>16</v>
      </c>
      <c r="D1407">
        <v>0</v>
      </c>
    </row>
    <row r="1408" spans="1:4" x14ac:dyDescent="0.35">
      <c r="A1408" t="s">
        <v>27</v>
      </c>
      <c r="B1408" t="s">
        <v>5</v>
      </c>
      <c r="C1408" t="s">
        <v>16</v>
      </c>
      <c r="D1408">
        <v>0.40149401074176383</v>
      </c>
    </row>
    <row r="1409" spans="1:4" x14ac:dyDescent="0.35">
      <c r="A1409" t="s">
        <v>28</v>
      </c>
      <c r="B1409" t="s">
        <v>5</v>
      </c>
      <c r="C1409" t="s">
        <v>16</v>
      </c>
      <c r="D1409">
        <v>0</v>
      </c>
    </row>
    <row r="1410" spans="1:4" x14ac:dyDescent="0.35">
      <c r="A1410" t="s">
        <v>29</v>
      </c>
      <c r="B1410" t="s">
        <v>5</v>
      </c>
      <c r="C1410" t="s">
        <v>16</v>
      </c>
      <c r="D1410">
        <v>0.37086317231188587</v>
      </c>
    </row>
    <row r="1411" spans="1:4" x14ac:dyDescent="0.35">
      <c r="A1411" t="s">
        <v>30</v>
      </c>
      <c r="B1411" t="s">
        <v>5</v>
      </c>
      <c r="C1411" t="s">
        <v>16</v>
      </c>
      <c r="D1411">
        <v>0.62110991274084959</v>
      </c>
    </row>
    <row r="1412" spans="1:4" x14ac:dyDescent="0.35">
      <c r="A1412" t="s">
        <v>31</v>
      </c>
      <c r="B1412" t="s">
        <v>5</v>
      </c>
      <c r="C1412" t="s">
        <v>16</v>
      </c>
      <c r="D1412">
        <v>0.12013546102976359</v>
      </c>
    </row>
    <row r="1413" spans="1:4" x14ac:dyDescent="0.35">
      <c r="A1413" t="s">
        <v>32</v>
      </c>
      <c r="B1413" t="s">
        <v>5</v>
      </c>
      <c r="C1413" t="s">
        <v>16</v>
      </c>
      <c r="D1413">
        <v>1.4353884340416356</v>
      </c>
    </row>
    <row r="1414" spans="1:4" x14ac:dyDescent="0.35">
      <c r="A1414" t="s">
        <v>33</v>
      </c>
      <c r="B1414" t="s">
        <v>5</v>
      </c>
      <c r="C1414" t="s">
        <v>16</v>
      </c>
      <c r="D1414">
        <v>0.49539171638195939</v>
      </c>
    </row>
    <row r="1415" spans="1:4" x14ac:dyDescent="0.35">
      <c r="A1415" t="s">
        <v>34</v>
      </c>
      <c r="B1415" t="s">
        <v>5</v>
      </c>
      <c r="C1415" t="s">
        <v>16</v>
      </c>
      <c r="D1415">
        <v>0.33664682143853353</v>
      </c>
    </row>
    <row r="1416" spans="1:4" x14ac:dyDescent="0.35">
      <c r="A1416" t="s">
        <v>35</v>
      </c>
      <c r="B1416" t="s">
        <v>5</v>
      </c>
      <c r="C1416" t="s">
        <v>16</v>
      </c>
      <c r="D1416">
        <v>0.14617418894101092</v>
      </c>
    </row>
    <row r="1417" spans="1:4" x14ac:dyDescent="0.35">
      <c r="A1417" t="s">
        <v>36</v>
      </c>
      <c r="B1417" t="s">
        <v>5</v>
      </c>
      <c r="C1417" t="s">
        <v>16</v>
      </c>
      <c r="D1417">
        <v>0.4114731355178986</v>
      </c>
    </row>
    <row r="1418" spans="1:4" x14ac:dyDescent="0.35">
      <c r="A1418" t="s">
        <v>37</v>
      </c>
      <c r="B1418" t="s">
        <v>5</v>
      </c>
      <c r="C1418" t="s">
        <v>16</v>
      </c>
      <c r="D1418">
        <v>1.3216875724834808E-2</v>
      </c>
    </row>
    <row r="1419" spans="1:4" x14ac:dyDescent="0.35">
      <c r="A1419" t="s">
        <v>38</v>
      </c>
      <c r="B1419" t="s">
        <v>5</v>
      </c>
      <c r="C1419" t="s">
        <v>16</v>
      </c>
      <c r="D1419">
        <v>5.7390175419228473E-2</v>
      </c>
    </row>
    <row r="1420" spans="1:4" x14ac:dyDescent="0.35">
      <c r="A1420" t="s">
        <v>39</v>
      </c>
      <c r="B1420" t="s">
        <v>5</v>
      </c>
      <c r="C1420" t="s">
        <v>16</v>
      </c>
      <c r="D1420">
        <v>0</v>
      </c>
    </row>
    <row r="1421" spans="1:4" x14ac:dyDescent="0.35">
      <c r="A1421" t="s">
        <v>7</v>
      </c>
      <c r="B1421" t="s">
        <v>5</v>
      </c>
      <c r="C1421" t="s">
        <v>17</v>
      </c>
      <c r="D1421">
        <v>0</v>
      </c>
    </row>
    <row r="1422" spans="1:4" x14ac:dyDescent="0.35">
      <c r="A1422" t="s">
        <v>8</v>
      </c>
      <c r="B1422" t="s">
        <v>5</v>
      </c>
      <c r="C1422" t="s">
        <v>17</v>
      </c>
      <c r="D1422">
        <v>275.12943325825529</v>
      </c>
    </row>
    <row r="1423" spans="1:4" x14ac:dyDescent="0.35">
      <c r="A1423" t="s">
        <v>9</v>
      </c>
      <c r="B1423" t="s">
        <v>5</v>
      </c>
      <c r="C1423" t="s">
        <v>17</v>
      </c>
      <c r="D1423">
        <v>0</v>
      </c>
    </row>
    <row r="1424" spans="1:4" x14ac:dyDescent="0.35">
      <c r="A1424" t="s">
        <v>10</v>
      </c>
      <c r="B1424" t="s">
        <v>5</v>
      </c>
      <c r="C1424" t="s">
        <v>17</v>
      </c>
      <c r="D1424">
        <v>2.7839004010772492</v>
      </c>
    </row>
    <row r="1425" spans="1:4" x14ac:dyDescent="0.35">
      <c r="A1425" t="s">
        <v>11</v>
      </c>
      <c r="B1425" t="s">
        <v>5</v>
      </c>
      <c r="C1425" t="s">
        <v>17</v>
      </c>
      <c r="D1425">
        <v>0</v>
      </c>
    </row>
    <row r="1426" spans="1:4" x14ac:dyDescent="0.35">
      <c r="A1426" t="s">
        <v>12</v>
      </c>
      <c r="B1426" t="s">
        <v>5</v>
      </c>
      <c r="C1426" t="s">
        <v>17</v>
      </c>
      <c r="D1426">
        <v>1.5197341504232118</v>
      </c>
    </row>
    <row r="1427" spans="1:4" x14ac:dyDescent="0.35">
      <c r="A1427" t="s">
        <v>13</v>
      </c>
      <c r="B1427" t="s">
        <v>5</v>
      </c>
      <c r="C1427" t="s">
        <v>17</v>
      </c>
      <c r="D1427">
        <v>12.275333305157615</v>
      </c>
    </row>
    <row r="1428" spans="1:4" x14ac:dyDescent="0.35">
      <c r="A1428" t="s">
        <v>14</v>
      </c>
      <c r="B1428" t="s">
        <v>5</v>
      </c>
      <c r="C1428" t="s">
        <v>17</v>
      </c>
      <c r="D1428">
        <v>282.39202189917665</v>
      </c>
    </row>
    <row r="1429" spans="1:4" x14ac:dyDescent="0.35">
      <c r="A1429" t="s">
        <v>15</v>
      </c>
      <c r="B1429" t="s">
        <v>5</v>
      </c>
      <c r="C1429" t="s">
        <v>17</v>
      </c>
      <c r="D1429">
        <v>222.3963513994004</v>
      </c>
    </row>
    <row r="1430" spans="1:4" x14ac:dyDescent="0.35">
      <c r="A1430" t="s">
        <v>16</v>
      </c>
      <c r="B1430" t="s">
        <v>5</v>
      </c>
      <c r="C1430" t="s">
        <v>17</v>
      </c>
      <c r="D1430">
        <v>93.512571400341926</v>
      </c>
    </row>
    <row r="1431" spans="1:4" x14ac:dyDescent="0.35">
      <c r="A1431" t="s">
        <v>17</v>
      </c>
      <c r="B1431" t="s">
        <v>5</v>
      </c>
      <c r="C1431" t="s">
        <v>17</v>
      </c>
      <c r="D1431">
        <v>589.08389327236148</v>
      </c>
    </row>
    <row r="1432" spans="1:4" x14ac:dyDescent="0.35">
      <c r="A1432" t="s">
        <v>18</v>
      </c>
      <c r="B1432" t="s">
        <v>5</v>
      </c>
      <c r="C1432" t="s">
        <v>17</v>
      </c>
      <c r="D1432">
        <v>101.02884589968706</v>
      </c>
    </row>
    <row r="1433" spans="1:4" x14ac:dyDescent="0.35">
      <c r="A1433" t="s">
        <v>19</v>
      </c>
      <c r="B1433" t="s">
        <v>5</v>
      </c>
      <c r="C1433" t="s">
        <v>17</v>
      </c>
      <c r="D1433">
        <v>255.64552341142786</v>
      </c>
    </row>
    <row r="1434" spans="1:4" x14ac:dyDescent="0.35">
      <c r="A1434" t="s">
        <v>20</v>
      </c>
      <c r="B1434" t="s">
        <v>5</v>
      </c>
      <c r="C1434" t="s">
        <v>17</v>
      </c>
      <c r="D1434">
        <v>0</v>
      </c>
    </row>
    <row r="1435" spans="1:4" x14ac:dyDescent="0.35">
      <c r="A1435" t="s">
        <v>21</v>
      </c>
      <c r="B1435" t="s">
        <v>5</v>
      </c>
      <c r="C1435" t="s">
        <v>17</v>
      </c>
      <c r="D1435">
        <v>98.759454188821124</v>
      </c>
    </row>
    <row r="1436" spans="1:4" x14ac:dyDescent="0.35">
      <c r="A1436" t="s">
        <v>22</v>
      </c>
      <c r="B1436" t="s">
        <v>5</v>
      </c>
      <c r="C1436" t="s">
        <v>17</v>
      </c>
      <c r="D1436">
        <v>56.365109040646047</v>
      </c>
    </row>
    <row r="1437" spans="1:4" x14ac:dyDescent="0.35">
      <c r="A1437" t="s">
        <v>23</v>
      </c>
      <c r="B1437" t="s">
        <v>5</v>
      </c>
      <c r="C1437" t="s">
        <v>17</v>
      </c>
      <c r="D1437">
        <v>2.214156059444111</v>
      </c>
    </row>
    <row r="1438" spans="1:4" x14ac:dyDescent="0.35">
      <c r="A1438" t="s">
        <v>24</v>
      </c>
      <c r="B1438" t="s">
        <v>5</v>
      </c>
      <c r="C1438" t="s">
        <v>17</v>
      </c>
      <c r="D1438">
        <v>0.66506033183128332</v>
      </c>
    </row>
    <row r="1439" spans="1:4" x14ac:dyDescent="0.35">
      <c r="A1439" t="s">
        <v>25</v>
      </c>
      <c r="B1439" t="s">
        <v>5</v>
      </c>
      <c r="C1439" t="s">
        <v>17</v>
      </c>
      <c r="D1439">
        <v>10.055340829571612</v>
      </c>
    </row>
    <row r="1440" spans="1:4" x14ac:dyDescent="0.35">
      <c r="A1440" t="s">
        <v>26</v>
      </c>
      <c r="B1440" t="s">
        <v>5</v>
      </c>
      <c r="C1440" t="s">
        <v>17</v>
      </c>
      <c r="D1440">
        <v>0</v>
      </c>
    </row>
    <row r="1441" spans="1:4" x14ac:dyDescent="0.35">
      <c r="A1441" t="s">
        <v>27</v>
      </c>
      <c r="B1441" t="s">
        <v>5</v>
      </c>
      <c r="C1441" t="s">
        <v>17</v>
      </c>
      <c r="D1441">
        <v>1.1049563756735641</v>
      </c>
    </row>
    <row r="1442" spans="1:4" x14ac:dyDescent="0.35">
      <c r="A1442" t="s">
        <v>28</v>
      </c>
      <c r="B1442" t="s">
        <v>5</v>
      </c>
      <c r="C1442" t="s">
        <v>17</v>
      </c>
      <c r="D1442">
        <v>0</v>
      </c>
    </row>
    <row r="1443" spans="1:4" x14ac:dyDescent="0.35">
      <c r="A1443" t="s">
        <v>29</v>
      </c>
      <c r="B1443" t="s">
        <v>5</v>
      </c>
      <c r="C1443" t="s">
        <v>17</v>
      </c>
      <c r="D1443">
        <v>3.9550790324730718</v>
      </c>
    </row>
    <row r="1444" spans="1:4" x14ac:dyDescent="0.35">
      <c r="A1444" t="s">
        <v>30</v>
      </c>
      <c r="B1444" t="s">
        <v>5</v>
      </c>
      <c r="C1444" t="s">
        <v>17</v>
      </c>
      <c r="D1444">
        <v>0.95292996911604622</v>
      </c>
    </row>
    <row r="1445" spans="1:4" x14ac:dyDescent="0.35">
      <c r="A1445" t="s">
        <v>31</v>
      </c>
      <c r="B1445" t="s">
        <v>5</v>
      </c>
      <c r="C1445" t="s">
        <v>17</v>
      </c>
      <c r="D1445">
        <v>0.2531940051360943</v>
      </c>
    </row>
    <row r="1446" spans="1:4" x14ac:dyDescent="0.35">
      <c r="A1446" t="s">
        <v>32</v>
      </c>
      <c r="B1446" t="s">
        <v>5</v>
      </c>
      <c r="C1446" t="s">
        <v>17</v>
      </c>
      <c r="D1446">
        <v>4.1517391548278626</v>
      </c>
    </row>
    <row r="1447" spans="1:4" x14ac:dyDescent="0.35">
      <c r="A1447" t="s">
        <v>33</v>
      </c>
      <c r="B1447" t="s">
        <v>5</v>
      </c>
      <c r="C1447" t="s">
        <v>17</v>
      </c>
      <c r="D1447">
        <v>1.0708465499619251</v>
      </c>
    </row>
    <row r="1448" spans="1:4" x14ac:dyDescent="0.35">
      <c r="A1448" t="s">
        <v>34</v>
      </c>
      <c r="B1448" t="s">
        <v>5</v>
      </c>
      <c r="C1448" t="s">
        <v>17</v>
      </c>
      <c r="D1448">
        <v>0.93788595953400966</v>
      </c>
    </row>
    <row r="1449" spans="1:4" x14ac:dyDescent="0.35">
      <c r="A1449" t="s">
        <v>35</v>
      </c>
      <c r="B1449" t="s">
        <v>5</v>
      </c>
      <c r="C1449" t="s">
        <v>17</v>
      </c>
      <c r="D1449">
        <v>0.39524676067202202</v>
      </c>
    </row>
    <row r="1450" spans="1:4" x14ac:dyDescent="0.35">
      <c r="A1450" t="s">
        <v>36</v>
      </c>
      <c r="B1450" t="s">
        <v>5</v>
      </c>
      <c r="C1450" t="s">
        <v>17</v>
      </c>
      <c r="D1450">
        <v>1.0616241845372916</v>
      </c>
    </row>
    <row r="1451" spans="1:4" x14ac:dyDescent="0.35">
      <c r="A1451" t="s">
        <v>37</v>
      </c>
      <c r="B1451" t="s">
        <v>5</v>
      </c>
      <c r="C1451" t="s">
        <v>17</v>
      </c>
      <c r="D1451">
        <v>4.71588467571682E-2</v>
      </c>
    </row>
    <row r="1452" spans="1:4" x14ac:dyDescent="0.35">
      <c r="A1452" t="s">
        <v>38</v>
      </c>
      <c r="B1452" t="s">
        <v>5</v>
      </c>
      <c r="C1452" t="s">
        <v>17</v>
      </c>
      <c r="D1452">
        <v>0</v>
      </c>
    </row>
    <row r="1453" spans="1:4" x14ac:dyDescent="0.35">
      <c r="A1453" t="s">
        <v>39</v>
      </c>
      <c r="B1453" t="s">
        <v>5</v>
      </c>
      <c r="C1453" t="s">
        <v>17</v>
      </c>
      <c r="D1453">
        <v>0</v>
      </c>
    </row>
    <row r="1454" spans="1:4" x14ac:dyDescent="0.35">
      <c r="A1454" t="s">
        <v>7</v>
      </c>
      <c r="B1454" t="s">
        <v>5</v>
      </c>
      <c r="C1454" t="s">
        <v>18</v>
      </c>
      <c r="D1454">
        <v>0</v>
      </c>
    </row>
    <row r="1455" spans="1:4" x14ac:dyDescent="0.35">
      <c r="A1455" t="s">
        <v>8</v>
      </c>
      <c r="B1455" t="s">
        <v>5</v>
      </c>
      <c r="C1455" t="s">
        <v>18</v>
      </c>
      <c r="D1455">
        <v>21.912022931928984</v>
      </c>
    </row>
    <row r="1456" spans="1:4" x14ac:dyDescent="0.35">
      <c r="A1456" t="s">
        <v>9</v>
      </c>
      <c r="B1456" t="s">
        <v>5</v>
      </c>
      <c r="C1456" t="s">
        <v>18</v>
      </c>
      <c r="D1456">
        <v>2.6615441314722572</v>
      </c>
    </row>
    <row r="1457" spans="1:4" x14ac:dyDescent="0.35">
      <c r="A1457" t="s">
        <v>10</v>
      </c>
      <c r="B1457" t="s">
        <v>5</v>
      </c>
      <c r="C1457" t="s">
        <v>18</v>
      </c>
      <c r="D1457">
        <v>13.270102309906578</v>
      </c>
    </row>
    <row r="1458" spans="1:4" x14ac:dyDescent="0.35">
      <c r="A1458" t="s">
        <v>11</v>
      </c>
      <c r="B1458" t="s">
        <v>5</v>
      </c>
      <c r="C1458" t="s">
        <v>18</v>
      </c>
      <c r="D1458">
        <v>0</v>
      </c>
    </row>
    <row r="1459" spans="1:4" x14ac:dyDescent="0.35">
      <c r="A1459" t="s">
        <v>12</v>
      </c>
      <c r="B1459" t="s">
        <v>5</v>
      </c>
      <c r="C1459" t="s">
        <v>18</v>
      </c>
      <c r="D1459">
        <v>71.273079450174762</v>
      </c>
    </row>
    <row r="1460" spans="1:4" x14ac:dyDescent="0.35">
      <c r="A1460" t="s">
        <v>13</v>
      </c>
      <c r="B1460" t="s">
        <v>5</v>
      </c>
      <c r="C1460" t="s">
        <v>18</v>
      </c>
      <c r="D1460">
        <v>98.265212795730193</v>
      </c>
    </row>
    <row r="1461" spans="1:4" x14ac:dyDescent="0.35">
      <c r="A1461" t="s">
        <v>14</v>
      </c>
      <c r="B1461" t="s">
        <v>5</v>
      </c>
      <c r="C1461" t="s">
        <v>18</v>
      </c>
      <c r="D1461">
        <v>182.77563311067513</v>
      </c>
    </row>
    <row r="1462" spans="1:4" x14ac:dyDescent="0.35">
      <c r="A1462" t="s">
        <v>15</v>
      </c>
      <c r="B1462" t="s">
        <v>5</v>
      </c>
      <c r="C1462" t="s">
        <v>18</v>
      </c>
      <c r="D1462">
        <v>952.03730772049414</v>
      </c>
    </row>
    <row r="1463" spans="1:4" x14ac:dyDescent="0.35">
      <c r="A1463" t="s">
        <v>16</v>
      </c>
      <c r="B1463" t="s">
        <v>5</v>
      </c>
      <c r="C1463" t="s">
        <v>18</v>
      </c>
      <c r="D1463">
        <v>178.97449680323663</v>
      </c>
    </row>
    <row r="1464" spans="1:4" x14ac:dyDescent="0.35">
      <c r="A1464" t="s">
        <v>17</v>
      </c>
      <c r="B1464" t="s">
        <v>5</v>
      </c>
      <c r="C1464" t="s">
        <v>18</v>
      </c>
      <c r="D1464">
        <v>109.62520535204567</v>
      </c>
    </row>
    <row r="1465" spans="1:4" x14ac:dyDescent="0.35">
      <c r="A1465" t="s">
        <v>18</v>
      </c>
      <c r="B1465" t="s">
        <v>5</v>
      </c>
      <c r="C1465" t="s">
        <v>18</v>
      </c>
      <c r="D1465">
        <v>11277.235034571131</v>
      </c>
    </row>
    <row r="1466" spans="1:4" x14ac:dyDescent="0.35">
      <c r="A1466" t="s">
        <v>19</v>
      </c>
      <c r="B1466" t="s">
        <v>5</v>
      </c>
      <c r="C1466" t="s">
        <v>18</v>
      </c>
      <c r="D1466">
        <v>596.05874530104063</v>
      </c>
    </row>
    <row r="1467" spans="1:4" x14ac:dyDescent="0.35">
      <c r="A1467" t="s">
        <v>20</v>
      </c>
      <c r="B1467" t="s">
        <v>5</v>
      </c>
      <c r="C1467" t="s">
        <v>18</v>
      </c>
      <c r="D1467">
        <v>1.4139909029354107</v>
      </c>
    </row>
    <row r="1468" spans="1:4" x14ac:dyDescent="0.35">
      <c r="A1468" t="s">
        <v>21</v>
      </c>
      <c r="B1468" t="s">
        <v>5</v>
      </c>
      <c r="C1468" t="s">
        <v>18</v>
      </c>
      <c r="D1468">
        <v>278.56947852686608</v>
      </c>
    </row>
    <row r="1469" spans="1:4" x14ac:dyDescent="0.35">
      <c r="A1469" t="s">
        <v>22</v>
      </c>
      <c r="B1469" t="s">
        <v>5</v>
      </c>
      <c r="C1469" t="s">
        <v>18</v>
      </c>
      <c r="D1469">
        <v>342.17542593015759</v>
      </c>
    </row>
    <row r="1470" spans="1:4" x14ac:dyDescent="0.35">
      <c r="A1470" t="s">
        <v>23</v>
      </c>
      <c r="B1470" t="s">
        <v>5</v>
      </c>
      <c r="C1470" t="s">
        <v>18</v>
      </c>
      <c r="D1470">
        <v>18.16418268899557</v>
      </c>
    </row>
    <row r="1471" spans="1:4" x14ac:dyDescent="0.35">
      <c r="A1471" t="s">
        <v>24</v>
      </c>
      <c r="B1471" t="s">
        <v>5</v>
      </c>
      <c r="C1471" t="s">
        <v>18</v>
      </c>
      <c r="D1471">
        <v>3.0804423457317034</v>
      </c>
    </row>
    <row r="1472" spans="1:4" x14ac:dyDescent="0.35">
      <c r="A1472" t="s">
        <v>25</v>
      </c>
      <c r="B1472" t="s">
        <v>5</v>
      </c>
      <c r="C1472" t="s">
        <v>18</v>
      </c>
      <c r="D1472">
        <v>38.445256943821889</v>
      </c>
    </row>
    <row r="1473" spans="1:4" x14ac:dyDescent="0.35">
      <c r="A1473" t="s">
        <v>26</v>
      </c>
      <c r="B1473" t="s">
        <v>5</v>
      </c>
      <c r="C1473" t="s">
        <v>18</v>
      </c>
      <c r="D1473">
        <v>0</v>
      </c>
    </row>
    <row r="1474" spans="1:4" x14ac:dyDescent="0.35">
      <c r="A1474" t="s">
        <v>27</v>
      </c>
      <c r="B1474" t="s">
        <v>5</v>
      </c>
      <c r="C1474" t="s">
        <v>18</v>
      </c>
      <c r="D1474">
        <v>1.8987001016802194</v>
      </c>
    </row>
    <row r="1475" spans="1:4" x14ac:dyDescent="0.35">
      <c r="A1475" t="s">
        <v>28</v>
      </c>
      <c r="B1475" t="s">
        <v>5</v>
      </c>
      <c r="C1475" t="s">
        <v>18</v>
      </c>
      <c r="D1475">
        <v>0</v>
      </c>
    </row>
    <row r="1476" spans="1:4" x14ac:dyDescent="0.35">
      <c r="A1476" t="s">
        <v>29</v>
      </c>
      <c r="B1476" t="s">
        <v>5</v>
      </c>
      <c r="C1476" t="s">
        <v>18</v>
      </c>
      <c r="D1476">
        <v>11.092710349823987</v>
      </c>
    </row>
    <row r="1477" spans="1:4" x14ac:dyDescent="0.35">
      <c r="A1477" t="s">
        <v>30</v>
      </c>
      <c r="B1477" t="s">
        <v>5</v>
      </c>
      <c r="C1477" t="s">
        <v>18</v>
      </c>
      <c r="D1477">
        <v>1.8227804332713586</v>
      </c>
    </row>
    <row r="1478" spans="1:4" x14ac:dyDescent="0.35">
      <c r="A1478" t="s">
        <v>31</v>
      </c>
      <c r="B1478" t="s">
        <v>5</v>
      </c>
      <c r="C1478" t="s">
        <v>18</v>
      </c>
      <c r="D1478">
        <v>1.1912802338119033</v>
      </c>
    </row>
    <row r="1479" spans="1:4" x14ac:dyDescent="0.35">
      <c r="A1479" t="s">
        <v>32</v>
      </c>
      <c r="B1479" t="s">
        <v>5</v>
      </c>
      <c r="C1479" t="s">
        <v>18</v>
      </c>
      <c r="D1479">
        <v>4.739607341529692</v>
      </c>
    </row>
    <row r="1480" spans="1:4" x14ac:dyDescent="0.35">
      <c r="A1480" t="s">
        <v>33</v>
      </c>
      <c r="B1480" t="s">
        <v>5</v>
      </c>
      <c r="C1480" t="s">
        <v>18</v>
      </c>
      <c r="D1480">
        <v>4.9599726527065373</v>
      </c>
    </row>
    <row r="1481" spans="1:4" x14ac:dyDescent="0.35">
      <c r="A1481" t="s">
        <v>34</v>
      </c>
      <c r="B1481" t="s">
        <v>5</v>
      </c>
      <c r="C1481" t="s">
        <v>18</v>
      </c>
      <c r="D1481">
        <v>4.4605206673128928</v>
      </c>
    </row>
    <row r="1482" spans="1:4" x14ac:dyDescent="0.35">
      <c r="A1482" t="s">
        <v>35</v>
      </c>
      <c r="B1482" t="s">
        <v>5</v>
      </c>
      <c r="C1482" t="s">
        <v>18</v>
      </c>
      <c r="D1482">
        <v>0.15725765393636137</v>
      </c>
    </row>
    <row r="1483" spans="1:4" x14ac:dyDescent="0.35">
      <c r="A1483" t="s">
        <v>36</v>
      </c>
      <c r="B1483" t="s">
        <v>5</v>
      </c>
      <c r="C1483" t="s">
        <v>18</v>
      </c>
      <c r="D1483">
        <v>15.288308648916789</v>
      </c>
    </row>
    <row r="1484" spans="1:4" x14ac:dyDescent="0.35">
      <c r="A1484" t="s">
        <v>37</v>
      </c>
      <c r="B1484" t="s">
        <v>5</v>
      </c>
      <c r="C1484" t="s">
        <v>18</v>
      </c>
      <c r="D1484">
        <v>0.30429677672472527</v>
      </c>
    </row>
    <row r="1485" spans="1:4" x14ac:dyDescent="0.35">
      <c r="A1485" t="s">
        <v>38</v>
      </c>
      <c r="B1485" t="s">
        <v>5</v>
      </c>
      <c r="C1485" t="s">
        <v>18</v>
      </c>
      <c r="D1485">
        <v>0.56508047963610197</v>
      </c>
    </row>
    <row r="1486" spans="1:4" x14ac:dyDescent="0.35">
      <c r="A1486" t="s">
        <v>39</v>
      </c>
      <c r="B1486" t="s">
        <v>5</v>
      </c>
      <c r="C1486" t="s">
        <v>18</v>
      </c>
      <c r="D1486">
        <v>0</v>
      </c>
    </row>
    <row r="1487" spans="1:4" x14ac:dyDescent="0.35">
      <c r="A1487" t="s">
        <v>7</v>
      </c>
      <c r="B1487" t="s">
        <v>5</v>
      </c>
      <c r="C1487" t="s">
        <v>19</v>
      </c>
      <c r="D1487">
        <v>0</v>
      </c>
    </row>
    <row r="1488" spans="1:4" x14ac:dyDescent="0.35">
      <c r="A1488" t="s">
        <v>8</v>
      </c>
      <c r="B1488" t="s">
        <v>5</v>
      </c>
      <c r="C1488" t="s">
        <v>19</v>
      </c>
      <c r="D1488">
        <v>2.2477095210599981E-2</v>
      </c>
    </row>
    <row r="1489" spans="1:4" x14ac:dyDescent="0.35">
      <c r="A1489" t="s">
        <v>9</v>
      </c>
      <c r="B1489" t="s">
        <v>5</v>
      </c>
      <c r="C1489" t="s">
        <v>19</v>
      </c>
      <c r="D1489">
        <v>0</v>
      </c>
    </row>
    <row r="1490" spans="1:4" x14ac:dyDescent="0.35">
      <c r="A1490" t="s">
        <v>10</v>
      </c>
      <c r="B1490" t="s">
        <v>5</v>
      </c>
      <c r="C1490" t="s">
        <v>19</v>
      </c>
      <c r="D1490">
        <v>3.902232850482596</v>
      </c>
    </row>
    <row r="1491" spans="1:4" x14ac:dyDescent="0.35">
      <c r="A1491" t="s">
        <v>11</v>
      </c>
      <c r="B1491" t="s">
        <v>5</v>
      </c>
      <c r="C1491" t="s">
        <v>19</v>
      </c>
      <c r="D1491">
        <v>0</v>
      </c>
    </row>
    <row r="1492" spans="1:4" x14ac:dyDescent="0.35">
      <c r="A1492" t="s">
        <v>12</v>
      </c>
      <c r="B1492" t="s">
        <v>5</v>
      </c>
      <c r="C1492" t="s">
        <v>19</v>
      </c>
      <c r="D1492">
        <v>0</v>
      </c>
    </row>
    <row r="1493" spans="1:4" x14ac:dyDescent="0.35">
      <c r="A1493" t="s">
        <v>13</v>
      </c>
      <c r="B1493" t="s">
        <v>5</v>
      </c>
      <c r="C1493" t="s">
        <v>19</v>
      </c>
      <c r="D1493">
        <v>3.3329605037774241</v>
      </c>
    </row>
    <row r="1494" spans="1:4" x14ac:dyDescent="0.35">
      <c r="A1494" t="s">
        <v>14</v>
      </c>
      <c r="B1494" t="s">
        <v>5</v>
      </c>
      <c r="C1494" t="s">
        <v>19</v>
      </c>
      <c r="D1494">
        <v>37.073553341562771</v>
      </c>
    </row>
    <row r="1495" spans="1:4" x14ac:dyDescent="0.35">
      <c r="A1495" t="s">
        <v>15</v>
      </c>
      <c r="B1495" t="s">
        <v>5</v>
      </c>
      <c r="C1495" t="s">
        <v>19</v>
      </c>
      <c r="D1495">
        <v>3.6657874465456888</v>
      </c>
    </row>
    <row r="1496" spans="1:4" x14ac:dyDescent="0.35">
      <c r="A1496" t="s">
        <v>16</v>
      </c>
      <c r="B1496" t="s">
        <v>5</v>
      </c>
      <c r="C1496" t="s">
        <v>19</v>
      </c>
      <c r="D1496">
        <v>10.467100529638644</v>
      </c>
    </row>
    <row r="1497" spans="1:4" x14ac:dyDescent="0.35">
      <c r="A1497" t="s">
        <v>17</v>
      </c>
      <c r="B1497" t="s">
        <v>5</v>
      </c>
      <c r="C1497" t="s">
        <v>19</v>
      </c>
      <c r="D1497">
        <v>0</v>
      </c>
    </row>
    <row r="1498" spans="1:4" x14ac:dyDescent="0.35">
      <c r="A1498" t="s">
        <v>18</v>
      </c>
      <c r="B1498" t="s">
        <v>5</v>
      </c>
      <c r="C1498" t="s">
        <v>19</v>
      </c>
      <c r="D1498">
        <v>1409.133407182549</v>
      </c>
    </row>
    <row r="1499" spans="1:4" x14ac:dyDescent="0.35">
      <c r="A1499" t="s">
        <v>19</v>
      </c>
      <c r="B1499" t="s">
        <v>5</v>
      </c>
      <c r="C1499" t="s">
        <v>19</v>
      </c>
      <c r="D1499">
        <v>839.9936203708196</v>
      </c>
    </row>
    <row r="1500" spans="1:4" x14ac:dyDescent="0.35">
      <c r="A1500" t="s">
        <v>20</v>
      </c>
      <c r="B1500" t="s">
        <v>5</v>
      </c>
      <c r="C1500" t="s">
        <v>19</v>
      </c>
      <c r="D1500">
        <v>447.36413248951732</v>
      </c>
    </row>
    <row r="1501" spans="1:4" x14ac:dyDescent="0.35">
      <c r="A1501" t="s">
        <v>21</v>
      </c>
      <c r="B1501" t="s">
        <v>5</v>
      </c>
      <c r="C1501" t="s">
        <v>19</v>
      </c>
      <c r="D1501">
        <v>61.451854548697995</v>
      </c>
    </row>
    <row r="1502" spans="1:4" x14ac:dyDescent="0.35">
      <c r="A1502" t="s">
        <v>22</v>
      </c>
      <c r="B1502" t="s">
        <v>5</v>
      </c>
      <c r="C1502" t="s">
        <v>19</v>
      </c>
      <c r="D1502">
        <v>9.8254305194231772</v>
      </c>
    </row>
    <row r="1503" spans="1:4" x14ac:dyDescent="0.35">
      <c r="A1503" t="s">
        <v>23</v>
      </c>
      <c r="B1503" t="s">
        <v>5</v>
      </c>
      <c r="C1503" t="s">
        <v>19</v>
      </c>
      <c r="D1503">
        <v>0.38211894620021658</v>
      </c>
    </row>
    <row r="1504" spans="1:4" x14ac:dyDescent="0.35">
      <c r="A1504" t="s">
        <v>24</v>
      </c>
      <c r="B1504" t="s">
        <v>5</v>
      </c>
      <c r="C1504" t="s">
        <v>19</v>
      </c>
      <c r="D1504">
        <v>0</v>
      </c>
    </row>
    <row r="1505" spans="1:4" x14ac:dyDescent="0.35">
      <c r="A1505" t="s">
        <v>25</v>
      </c>
      <c r="B1505" t="s">
        <v>5</v>
      </c>
      <c r="C1505" t="s">
        <v>19</v>
      </c>
      <c r="D1505">
        <v>6.3798915993228889</v>
      </c>
    </row>
    <row r="1506" spans="1:4" x14ac:dyDescent="0.35">
      <c r="A1506" t="s">
        <v>26</v>
      </c>
      <c r="B1506" t="s">
        <v>5</v>
      </c>
      <c r="C1506" t="s">
        <v>19</v>
      </c>
      <c r="D1506">
        <v>0</v>
      </c>
    </row>
    <row r="1507" spans="1:4" x14ac:dyDescent="0.35">
      <c r="A1507" t="s">
        <v>27</v>
      </c>
      <c r="B1507" t="s">
        <v>5</v>
      </c>
      <c r="C1507" t="s">
        <v>19</v>
      </c>
      <c r="D1507">
        <v>0.49806286737489736</v>
      </c>
    </row>
    <row r="1508" spans="1:4" x14ac:dyDescent="0.35">
      <c r="A1508" t="s">
        <v>28</v>
      </c>
      <c r="B1508" t="s">
        <v>5</v>
      </c>
      <c r="C1508" t="s">
        <v>19</v>
      </c>
      <c r="D1508">
        <v>0</v>
      </c>
    </row>
    <row r="1509" spans="1:4" x14ac:dyDescent="0.35">
      <c r="A1509" t="s">
        <v>29</v>
      </c>
      <c r="B1509" t="s">
        <v>5</v>
      </c>
      <c r="C1509" t="s">
        <v>19</v>
      </c>
      <c r="D1509">
        <v>2.967624892157954</v>
      </c>
    </row>
    <row r="1510" spans="1:4" x14ac:dyDescent="0.35">
      <c r="A1510" t="s">
        <v>30</v>
      </c>
      <c r="B1510" t="s">
        <v>5</v>
      </c>
      <c r="C1510" t="s">
        <v>19</v>
      </c>
      <c r="D1510">
        <v>0.59762201787483105</v>
      </c>
    </row>
    <row r="1511" spans="1:4" x14ac:dyDescent="0.35">
      <c r="A1511" t="s">
        <v>31</v>
      </c>
      <c r="B1511" t="s">
        <v>5</v>
      </c>
      <c r="C1511" t="s">
        <v>19</v>
      </c>
      <c r="D1511">
        <v>0.36646304816200787</v>
      </c>
    </row>
    <row r="1512" spans="1:4" x14ac:dyDescent="0.35">
      <c r="A1512" t="s">
        <v>32</v>
      </c>
      <c r="B1512" t="s">
        <v>5</v>
      </c>
      <c r="C1512" t="s">
        <v>19</v>
      </c>
      <c r="D1512">
        <v>0.78547601852059556</v>
      </c>
    </row>
    <row r="1513" spans="1:4" x14ac:dyDescent="0.35">
      <c r="A1513" t="s">
        <v>33</v>
      </c>
      <c r="B1513" t="s">
        <v>5</v>
      </c>
      <c r="C1513" t="s">
        <v>19</v>
      </c>
      <c r="D1513">
        <v>0.73892874521567709</v>
      </c>
    </row>
    <row r="1514" spans="1:4" x14ac:dyDescent="0.35">
      <c r="A1514" t="s">
        <v>34</v>
      </c>
      <c r="B1514" t="s">
        <v>5</v>
      </c>
      <c r="C1514" t="s">
        <v>19</v>
      </c>
      <c r="D1514">
        <v>1.2634956820384811</v>
      </c>
    </row>
    <row r="1515" spans="1:4" x14ac:dyDescent="0.35">
      <c r="A1515" t="s">
        <v>35</v>
      </c>
      <c r="B1515" t="s">
        <v>5</v>
      </c>
      <c r="C1515" t="s">
        <v>19</v>
      </c>
      <c r="D1515">
        <v>0.5211663390773198</v>
      </c>
    </row>
    <row r="1516" spans="1:4" x14ac:dyDescent="0.35">
      <c r="A1516" t="s">
        <v>36</v>
      </c>
      <c r="B1516" t="s">
        <v>5</v>
      </c>
      <c r="C1516" t="s">
        <v>19</v>
      </c>
      <c r="D1516">
        <v>11.008091261486088</v>
      </c>
    </row>
    <row r="1517" spans="1:4" x14ac:dyDescent="0.35">
      <c r="A1517" t="s">
        <v>37</v>
      </c>
      <c r="B1517" t="s">
        <v>5</v>
      </c>
      <c r="C1517" t="s">
        <v>19</v>
      </c>
      <c r="D1517">
        <v>2.6219567640470058E-2</v>
      </c>
    </row>
    <row r="1518" spans="1:4" x14ac:dyDescent="0.35">
      <c r="A1518" t="s">
        <v>38</v>
      </c>
      <c r="B1518" t="s">
        <v>5</v>
      </c>
      <c r="C1518" t="s">
        <v>19</v>
      </c>
      <c r="D1518">
        <v>0.11687569103477126</v>
      </c>
    </row>
    <row r="1519" spans="1:4" x14ac:dyDescent="0.35">
      <c r="A1519" t="s">
        <v>39</v>
      </c>
      <c r="B1519" t="s">
        <v>5</v>
      </c>
      <c r="C1519" t="s">
        <v>19</v>
      </c>
      <c r="D1519">
        <v>0</v>
      </c>
    </row>
    <row r="1520" spans="1:4" x14ac:dyDescent="0.35">
      <c r="A1520" t="s">
        <v>7</v>
      </c>
      <c r="B1520" t="s">
        <v>5</v>
      </c>
      <c r="C1520" t="s">
        <v>20</v>
      </c>
      <c r="D1520">
        <v>0</v>
      </c>
    </row>
    <row r="1521" spans="1:4" x14ac:dyDescent="0.35">
      <c r="A1521" t="s">
        <v>8</v>
      </c>
      <c r="B1521" t="s">
        <v>5</v>
      </c>
      <c r="C1521" t="s">
        <v>20</v>
      </c>
      <c r="D1521">
        <v>0</v>
      </c>
    </row>
    <row r="1522" spans="1:4" x14ac:dyDescent="0.35">
      <c r="A1522" t="s">
        <v>9</v>
      </c>
      <c r="B1522" t="s">
        <v>5</v>
      </c>
      <c r="C1522" t="s">
        <v>20</v>
      </c>
      <c r="D1522">
        <v>0.24092109966799585</v>
      </c>
    </row>
    <row r="1523" spans="1:4" x14ac:dyDescent="0.35">
      <c r="A1523" t="s">
        <v>10</v>
      </c>
      <c r="B1523" t="s">
        <v>5</v>
      </c>
      <c r="C1523" t="s">
        <v>20</v>
      </c>
      <c r="D1523">
        <v>2.3254251891855917</v>
      </c>
    </row>
    <row r="1524" spans="1:4" x14ac:dyDescent="0.35">
      <c r="A1524" t="s">
        <v>11</v>
      </c>
      <c r="B1524" t="s">
        <v>5</v>
      </c>
      <c r="C1524" t="s">
        <v>20</v>
      </c>
      <c r="D1524">
        <v>0.72965168596816155</v>
      </c>
    </row>
    <row r="1525" spans="1:4" x14ac:dyDescent="0.35">
      <c r="A1525" t="s">
        <v>12</v>
      </c>
      <c r="B1525" t="s">
        <v>5</v>
      </c>
      <c r="C1525" t="s">
        <v>20</v>
      </c>
      <c r="D1525">
        <v>7.9437573085661626</v>
      </c>
    </row>
    <row r="1526" spans="1:4" x14ac:dyDescent="0.35">
      <c r="A1526" t="s">
        <v>13</v>
      </c>
      <c r="B1526" t="s">
        <v>5</v>
      </c>
      <c r="C1526" t="s">
        <v>20</v>
      </c>
      <c r="D1526">
        <v>4.2133845020682008</v>
      </c>
    </row>
    <row r="1527" spans="1:4" x14ac:dyDescent="0.35">
      <c r="A1527" t="s">
        <v>14</v>
      </c>
      <c r="B1527" t="s">
        <v>5</v>
      </c>
      <c r="C1527" t="s">
        <v>20</v>
      </c>
      <c r="D1527">
        <v>14.85621711727836</v>
      </c>
    </row>
    <row r="1528" spans="1:4" x14ac:dyDescent="0.35">
      <c r="A1528" t="s">
        <v>15</v>
      </c>
      <c r="B1528" t="s">
        <v>5</v>
      </c>
      <c r="C1528" t="s">
        <v>20</v>
      </c>
      <c r="D1528">
        <v>270.03664642816005</v>
      </c>
    </row>
    <row r="1529" spans="1:4" x14ac:dyDescent="0.35">
      <c r="A1529" t="s">
        <v>16</v>
      </c>
      <c r="B1529" t="s">
        <v>5</v>
      </c>
      <c r="C1529" t="s">
        <v>20</v>
      </c>
      <c r="D1529">
        <v>127.97415131893537</v>
      </c>
    </row>
    <row r="1530" spans="1:4" x14ac:dyDescent="0.35">
      <c r="A1530" t="s">
        <v>17</v>
      </c>
      <c r="B1530" t="s">
        <v>5</v>
      </c>
      <c r="C1530" t="s">
        <v>20</v>
      </c>
      <c r="D1530">
        <v>0</v>
      </c>
    </row>
    <row r="1531" spans="1:4" x14ac:dyDescent="0.35">
      <c r="A1531" t="s">
        <v>18</v>
      </c>
      <c r="B1531" t="s">
        <v>5</v>
      </c>
      <c r="C1531" t="s">
        <v>20</v>
      </c>
      <c r="D1531">
        <v>2038.8512168662417</v>
      </c>
    </row>
    <row r="1532" spans="1:4" x14ac:dyDescent="0.35">
      <c r="A1532" t="s">
        <v>19</v>
      </c>
      <c r="B1532" t="s">
        <v>5</v>
      </c>
      <c r="C1532" t="s">
        <v>20</v>
      </c>
      <c r="D1532">
        <v>123.93037797378905</v>
      </c>
    </row>
    <row r="1533" spans="1:4" x14ac:dyDescent="0.35">
      <c r="A1533" t="s">
        <v>20</v>
      </c>
      <c r="B1533" t="s">
        <v>5</v>
      </c>
      <c r="C1533" t="s">
        <v>20</v>
      </c>
      <c r="D1533">
        <v>271.99304810098329</v>
      </c>
    </row>
    <row r="1534" spans="1:4" x14ac:dyDescent="0.35">
      <c r="A1534" t="s">
        <v>21</v>
      </c>
      <c r="B1534" t="s">
        <v>5</v>
      </c>
      <c r="C1534" t="s">
        <v>20</v>
      </c>
      <c r="D1534">
        <v>103.588708497672</v>
      </c>
    </row>
    <row r="1535" spans="1:4" x14ac:dyDescent="0.35">
      <c r="A1535" t="s">
        <v>22</v>
      </c>
      <c r="B1535" t="s">
        <v>5</v>
      </c>
      <c r="C1535" t="s">
        <v>20</v>
      </c>
      <c r="D1535">
        <v>15.753681465244714</v>
      </c>
    </row>
    <row r="1536" spans="1:4" x14ac:dyDescent="0.35">
      <c r="A1536" t="s">
        <v>23</v>
      </c>
      <c r="B1536" t="s">
        <v>5</v>
      </c>
      <c r="C1536" t="s">
        <v>20</v>
      </c>
      <c r="D1536">
        <v>0.3211344930218698</v>
      </c>
    </row>
    <row r="1537" spans="1:4" x14ac:dyDescent="0.35">
      <c r="A1537" t="s">
        <v>24</v>
      </c>
      <c r="B1537" t="s">
        <v>5</v>
      </c>
      <c r="C1537" t="s">
        <v>20</v>
      </c>
      <c r="D1537">
        <v>0.21342310858065902</v>
      </c>
    </row>
    <row r="1538" spans="1:4" x14ac:dyDescent="0.35">
      <c r="A1538" t="s">
        <v>25</v>
      </c>
      <c r="B1538" t="s">
        <v>5</v>
      </c>
      <c r="C1538" t="s">
        <v>20</v>
      </c>
      <c r="D1538">
        <v>6.2856633632564431</v>
      </c>
    </row>
    <row r="1539" spans="1:4" x14ac:dyDescent="0.35">
      <c r="A1539" t="s">
        <v>26</v>
      </c>
      <c r="B1539" t="s">
        <v>5</v>
      </c>
      <c r="C1539" t="s">
        <v>20</v>
      </c>
      <c r="D1539">
        <v>0</v>
      </c>
    </row>
    <row r="1540" spans="1:4" x14ac:dyDescent="0.35">
      <c r="A1540" t="s">
        <v>27</v>
      </c>
      <c r="B1540" t="s">
        <v>5</v>
      </c>
      <c r="C1540" t="s">
        <v>20</v>
      </c>
      <c r="D1540">
        <v>0.4020949161533719</v>
      </c>
    </row>
    <row r="1541" spans="1:4" x14ac:dyDescent="0.35">
      <c r="A1541" t="s">
        <v>28</v>
      </c>
      <c r="B1541" t="s">
        <v>5</v>
      </c>
      <c r="C1541" t="s">
        <v>20</v>
      </c>
      <c r="D1541">
        <v>0</v>
      </c>
    </row>
    <row r="1542" spans="1:4" x14ac:dyDescent="0.35">
      <c r="A1542" t="s">
        <v>29</v>
      </c>
      <c r="B1542" t="s">
        <v>5</v>
      </c>
      <c r="C1542" t="s">
        <v>20</v>
      </c>
      <c r="D1542">
        <v>1.8942115446910124</v>
      </c>
    </row>
    <row r="1543" spans="1:4" x14ac:dyDescent="0.35">
      <c r="A1543" t="s">
        <v>30</v>
      </c>
      <c r="B1543" t="s">
        <v>5</v>
      </c>
      <c r="C1543" t="s">
        <v>20</v>
      </c>
      <c r="D1543">
        <v>0.17655165820628282</v>
      </c>
    </row>
    <row r="1544" spans="1:4" x14ac:dyDescent="0.35">
      <c r="A1544" t="s">
        <v>31</v>
      </c>
      <c r="B1544" t="s">
        <v>5</v>
      </c>
      <c r="C1544" t="s">
        <v>20</v>
      </c>
      <c r="D1544">
        <v>0.29907532774631118</v>
      </c>
    </row>
    <row r="1545" spans="1:4" x14ac:dyDescent="0.35">
      <c r="A1545" t="s">
        <v>32</v>
      </c>
      <c r="B1545" t="s">
        <v>5</v>
      </c>
      <c r="C1545" t="s">
        <v>20</v>
      </c>
      <c r="D1545">
        <v>0.50460966476730063</v>
      </c>
    </row>
    <row r="1546" spans="1:4" x14ac:dyDescent="0.35">
      <c r="A1546" t="s">
        <v>33</v>
      </c>
      <c r="B1546" t="s">
        <v>5</v>
      </c>
      <c r="C1546" t="s">
        <v>20</v>
      </c>
      <c r="D1546">
        <v>0.72625281756664661</v>
      </c>
    </row>
    <row r="1547" spans="1:4" x14ac:dyDescent="0.35">
      <c r="A1547" t="s">
        <v>34</v>
      </c>
      <c r="B1547" t="s">
        <v>5</v>
      </c>
      <c r="C1547" t="s">
        <v>20</v>
      </c>
      <c r="D1547">
        <v>0.35881811178160467</v>
      </c>
    </row>
    <row r="1548" spans="1:4" x14ac:dyDescent="0.35">
      <c r="A1548" t="s">
        <v>35</v>
      </c>
      <c r="B1548" t="s">
        <v>5</v>
      </c>
      <c r="C1548" t="s">
        <v>20</v>
      </c>
      <c r="D1548">
        <v>0.36638499843996875</v>
      </c>
    </row>
    <row r="1549" spans="1:4" x14ac:dyDescent="0.35">
      <c r="A1549" t="s">
        <v>36</v>
      </c>
      <c r="B1549" t="s">
        <v>5</v>
      </c>
      <c r="C1549" t="s">
        <v>20</v>
      </c>
      <c r="D1549">
        <v>2.6347466043395413</v>
      </c>
    </row>
    <row r="1550" spans="1:4" x14ac:dyDescent="0.35">
      <c r="A1550" t="s">
        <v>37</v>
      </c>
      <c r="B1550" t="s">
        <v>5</v>
      </c>
      <c r="C1550" t="s">
        <v>20</v>
      </c>
      <c r="D1550">
        <v>7.1591454475028859E-3</v>
      </c>
    </row>
    <row r="1551" spans="1:4" x14ac:dyDescent="0.35">
      <c r="A1551" t="s">
        <v>38</v>
      </c>
      <c r="B1551" t="s">
        <v>5</v>
      </c>
      <c r="C1551" t="s">
        <v>20</v>
      </c>
      <c r="D1551">
        <v>0.2384040667765315</v>
      </c>
    </row>
    <row r="1552" spans="1:4" x14ac:dyDescent="0.35">
      <c r="A1552" t="s">
        <v>39</v>
      </c>
      <c r="B1552" t="s">
        <v>5</v>
      </c>
      <c r="C1552" t="s">
        <v>20</v>
      </c>
      <c r="D1552">
        <v>0</v>
      </c>
    </row>
    <row r="1553" spans="1:4" x14ac:dyDescent="0.35">
      <c r="A1553" t="s">
        <v>7</v>
      </c>
      <c r="B1553" t="s">
        <v>5</v>
      </c>
      <c r="C1553" t="s">
        <v>21</v>
      </c>
      <c r="D1553">
        <v>0</v>
      </c>
    </row>
    <row r="1554" spans="1:4" x14ac:dyDescent="0.35">
      <c r="A1554" t="s">
        <v>8</v>
      </c>
      <c r="B1554" t="s">
        <v>5</v>
      </c>
      <c r="C1554" t="s">
        <v>21</v>
      </c>
      <c r="D1554">
        <v>0</v>
      </c>
    </row>
    <row r="1555" spans="1:4" x14ac:dyDescent="0.35">
      <c r="A1555" t="s">
        <v>9</v>
      </c>
      <c r="B1555" t="s">
        <v>5</v>
      </c>
      <c r="C1555" t="s">
        <v>21</v>
      </c>
      <c r="D1555">
        <v>5.5819649677987131E-2</v>
      </c>
    </row>
    <row r="1556" spans="1:4" x14ac:dyDescent="0.35">
      <c r="A1556" t="s">
        <v>10</v>
      </c>
      <c r="B1556" t="s">
        <v>5</v>
      </c>
      <c r="C1556" t="s">
        <v>21</v>
      </c>
      <c r="D1556">
        <v>60.784699540489228</v>
      </c>
    </row>
    <row r="1557" spans="1:4" x14ac:dyDescent="0.35">
      <c r="A1557" t="s">
        <v>11</v>
      </c>
      <c r="B1557" t="s">
        <v>5</v>
      </c>
      <c r="C1557" t="s">
        <v>21</v>
      </c>
      <c r="D1557">
        <v>0</v>
      </c>
    </row>
    <row r="1558" spans="1:4" x14ac:dyDescent="0.35">
      <c r="A1558" t="s">
        <v>12</v>
      </c>
      <c r="B1558" t="s">
        <v>5</v>
      </c>
      <c r="C1558" t="s">
        <v>21</v>
      </c>
      <c r="D1558">
        <v>0.29898227243938075</v>
      </c>
    </row>
    <row r="1559" spans="1:4" x14ac:dyDescent="0.35">
      <c r="A1559" t="s">
        <v>13</v>
      </c>
      <c r="B1559" t="s">
        <v>5</v>
      </c>
      <c r="C1559" t="s">
        <v>21</v>
      </c>
      <c r="D1559">
        <v>0.20729184690689392</v>
      </c>
    </row>
    <row r="1560" spans="1:4" x14ac:dyDescent="0.35">
      <c r="A1560" t="s">
        <v>14</v>
      </c>
      <c r="B1560" t="s">
        <v>5</v>
      </c>
      <c r="C1560" t="s">
        <v>21</v>
      </c>
      <c r="D1560">
        <v>5.7738212712782886</v>
      </c>
    </row>
    <row r="1561" spans="1:4" x14ac:dyDescent="0.35">
      <c r="A1561" t="s">
        <v>15</v>
      </c>
      <c r="B1561" t="s">
        <v>5</v>
      </c>
      <c r="C1561" t="s">
        <v>21</v>
      </c>
      <c r="D1561">
        <v>64.602084710303359</v>
      </c>
    </row>
    <row r="1562" spans="1:4" x14ac:dyDescent="0.35">
      <c r="A1562" t="s">
        <v>16</v>
      </c>
      <c r="B1562" t="s">
        <v>5</v>
      </c>
      <c r="C1562" t="s">
        <v>21</v>
      </c>
      <c r="D1562">
        <v>22.979095921112052</v>
      </c>
    </row>
    <row r="1563" spans="1:4" x14ac:dyDescent="0.35">
      <c r="A1563" t="s">
        <v>17</v>
      </c>
      <c r="B1563" t="s">
        <v>5</v>
      </c>
      <c r="C1563" t="s">
        <v>21</v>
      </c>
      <c r="D1563">
        <v>1.7432439154980337</v>
      </c>
    </row>
    <row r="1564" spans="1:4" x14ac:dyDescent="0.35">
      <c r="A1564" t="s">
        <v>18</v>
      </c>
      <c r="B1564" t="s">
        <v>5</v>
      </c>
      <c r="C1564" t="s">
        <v>21</v>
      </c>
      <c r="D1564">
        <v>177.97125759748764</v>
      </c>
    </row>
    <row r="1565" spans="1:4" x14ac:dyDescent="0.35">
      <c r="A1565" t="s">
        <v>19</v>
      </c>
      <c r="B1565" t="s">
        <v>5</v>
      </c>
      <c r="C1565" t="s">
        <v>21</v>
      </c>
      <c r="D1565">
        <v>38.151294770500101</v>
      </c>
    </row>
    <row r="1566" spans="1:4" x14ac:dyDescent="0.35">
      <c r="A1566" t="s">
        <v>20</v>
      </c>
      <c r="B1566" t="s">
        <v>5</v>
      </c>
      <c r="C1566" t="s">
        <v>21</v>
      </c>
      <c r="D1566">
        <v>207.84041544663353</v>
      </c>
    </row>
    <row r="1567" spans="1:4" x14ac:dyDescent="0.35">
      <c r="A1567" t="s">
        <v>21</v>
      </c>
      <c r="B1567" t="s">
        <v>5</v>
      </c>
      <c r="C1567" t="s">
        <v>21</v>
      </c>
      <c r="D1567">
        <v>73.372104569897317</v>
      </c>
    </row>
    <row r="1568" spans="1:4" x14ac:dyDescent="0.35">
      <c r="A1568" t="s">
        <v>22</v>
      </c>
      <c r="B1568" t="s">
        <v>5</v>
      </c>
      <c r="C1568" t="s">
        <v>21</v>
      </c>
      <c r="D1568">
        <v>13.01492998271117</v>
      </c>
    </row>
    <row r="1569" spans="1:4" x14ac:dyDescent="0.35">
      <c r="A1569" t="s">
        <v>23</v>
      </c>
      <c r="B1569" t="s">
        <v>5</v>
      </c>
      <c r="C1569" t="s">
        <v>21</v>
      </c>
      <c r="D1569">
        <v>7.8875274844231361E-2</v>
      </c>
    </row>
    <row r="1570" spans="1:4" x14ac:dyDescent="0.35">
      <c r="A1570" t="s">
        <v>24</v>
      </c>
      <c r="B1570" t="s">
        <v>5</v>
      </c>
      <c r="C1570" t="s">
        <v>21</v>
      </c>
      <c r="D1570">
        <v>0</v>
      </c>
    </row>
    <row r="1571" spans="1:4" x14ac:dyDescent="0.35">
      <c r="A1571" t="s">
        <v>25</v>
      </c>
      <c r="B1571" t="s">
        <v>5</v>
      </c>
      <c r="C1571" t="s">
        <v>21</v>
      </c>
      <c r="D1571">
        <v>1.4818814880182583</v>
      </c>
    </row>
    <row r="1572" spans="1:4" x14ac:dyDescent="0.35">
      <c r="A1572" t="s">
        <v>26</v>
      </c>
      <c r="B1572" t="s">
        <v>5</v>
      </c>
      <c r="C1572" t="s">
        <v>21</v>
      </c>
      <c r="D1572">
        <v>0</v>
      </c>
    </row>
    <row r="1573" spans="1:4" x14ac:dyDescent="0.35">
      <c r="A1573" t="s">
        <v>27</v>
      </c>
      <c r="B1573" t="s">
        <v>5</v>
      </c>
      <c r="C1573" t="s">
        <v>21</v>
      </c>
      <c r="D1573">
        <v>2.1854508847356444E-2</v>
      </c>
    </row>
    <row r="1574" spans="1:4" x14ac:dyDescent="0.35">
      <c r="A1574" t="s">
        <v>28</v>
      </c>
      <c r="B1574" t="s">
        <v>5</v>
      </c>
      <c r="C1574" t="s">
        <v>21</v>
      </c>
      <c r="D1574">
        <v>0</v>
      </c>
    </row>
    <row r="1575" spans="1:4" x14ac:dyDescent="0.35">
      <c r="A1575" t="s">
        <v>29</v>
      </c>
      <c r="B1575" t="s">
        <v>5</v>
      </c>
      <c r="C1575" t="s">
        <v>21</v>
      </c>
      <c r="D1575">
        <v>0.66282027397992438</v>
      </c>
    </row>
    <row r="1576" spans="1:4" x14ac:dyDescent="0.35">
      <c r="A1576" t="s">
        <v>30</v>
      </c>
      <c r="B1576" t="s">
        <v>5</v>
      </c>
      <c r="C1576" t="s">
        <v>21</v>
      </c>
      <c r="D1576">
        <v>6.5214550580939196E-2</v>
      </c>
    </row>
    <row r="1577" spans="1:4" x14ac:dyDescent="0.35">
      <c r="A1577" t="s">
        <v>31</v>
      </c>
      <c r="B1577" t="s">
        <v>5</v>
      </c>
      <c r="C1577" t="s">
        <v>21</v>
      </c>
      <c r="D1577">
        <v>3.5838372837457423E-2</v>
      </c>
    </row>
    <row r="1578" spans="1:4" x14ac:dyDescent="0.35">
      <c r="A1578" t="s">
        <v>32</v>
      </c>
      <c r="B1578" t="s">
        <v>5</v>
      </c>
      <c r="C1578" t="s">
        <v>21</v>
      </c>
      <c r="D1578">
        <v>9.2415320581563348E-2</v>
      </c>
    </row>
    <row r="1579" spans="1:4" x14ac:dyDescent="0.35">
      <c r="A1579" t="s">
        <v>33</v>
      </c>
      <c r="B1579" t="s">
        <v>5</v>
      </c>
      <c r="C1579" t="s">
        <v>21</v>
      </c>
      <c r="D1579">
        <v>0.75352499524898864</v>
      </c>
    </row>
    <row r="1580" spans="1:4" x14ac:dyDescent="0.35">
      <c r="A1580" t="s">
        <v>34</v>
      </c>
      <c r="B1580" t="s">
        <v>5</v>
      </c>
      <c r="C1580" t="s">
        <v>21</v>
      </c>
      <c r="D1580">
        <v>0.34367220093390516</v>
      </c>
    </row>
    <row r="1581" spans="1:4" x14ac:dyDescent="0.35">
      <c r="A1581" t="s">
        <v>35</v>
      </c>
      <c r="B1581" t="s">
        <v>5</v>
      </c>
      <c r="C1581" t="s">
        <v>21</v>
      </c>
      <c r="D1581">
        <v>0.16857284607466605</v>
      </c>
    </row>
    <row r="1582" spans="1:4" x14ac:dyDescent="0.35">
      <c r="A1582" t="s">
        <v>36</v>
      </c>
      <c r="B1582" t="s">
        <v>5</v>
      </c>
      <c r="C1582" t="s">
        <v>21</v>
      </c>
      <c r="D1582">
        <v>7.0833680352284531E-2</v>
      </c>
    </row>
    <row r="1583" spans="1:4" x14ac:dyDescent="0.35">
      <c r="A1583" t="s">
        <v>37</v>
      </c>
      <c r="B1583" t="s">
        <v>5</v>
      </c>
      <c r="C1583" t="s">
        <v>21</v>
      </c>
      <c r="D1583">
        <v>4.6695400813255426E-2</v>
      </c>
    </row>
    <row r="1584" spans="1:4" x14ac:dyDescent="0.35">
      <c r="A1584" t="s">
        <v>38</v>
      </c>
      <c r="B1584" t="s">
        <v>5</v>
      </c>
      <c r="C1584" t="s">
        <v>21</v>
      </c>
      <c r="D1584">
        <v>2.4105642988055561E-2</v>
      </c>
    </row>
    <row r="1585" spans="1:4" x14ac:dyDescent="0.35">
      <c r="A1585" t="s">
        <v>39</v>
      </c>
      <c r="B1585" t="s">
        <v>5</v>
      </c>
      <c r="C1585" t="s">
        <v>21</v>
      </c>
      <c r="D1585">
        <v>0</v>
      </c>
    </row>
    <row r="1586" spans="1:4" x14ac:dyDescent="0.35">
      <c r="A1586" t="s">
        <v>7</v>
      </c>
      <c r="B1586" t="s">
        <v>5</v>
      </c>
      <c r="C1586" t="s">
        <v>22</v>
      </c>
      <c r="D1586">
        <v>0</v>
      </c>
    </row>
    <row r="1587" spans="1:4" x14ac:dyDescent="0.35">
      <c r="A1587" t="s">
        <v>8</v>
      </c>
      <c r="B1587" t="s">
        <v>5</v>
      </c>
      <c r="C1587" t="s">
        <v>22</v>
      </c>
      <c r="D1587">
        <v>323.41854561760414</v>
      </c>
    </row>
    <row r="1588" spans="1:4" x14ac:dyDescent="0.35">
      <c r="A1588" t="s">
        <v>9</v>
      </c>
      <c r="B1588" t="s">
        <v>5</v>
      </c>
      <c r="C1588" t="s">
        <v>22</v>
      </c>
      <c r="D1588">
        <v>0.14853384872326997</v>
      </c>
    </row>
    <row r="1589" spans="1:4" x14ac:dyDescent="0.35">
      <c r="A1589" t="s">
        <v>10</v>
      </c>
      <c r="B1589" t="s">
        <v>5</v>
      </c>
      <c r="C1589" t="s">
        <v>22</v>
      </c>
      <c r="D1589">
        <v>65.036508623985569</v>
      </c>
    </row>
    <row r="1590" spans="1:4" x14ac:dyDescent="0.35">
      <c r="A1590" t="s">
        <v>11</v>
      </c>
      <c r="B1590" t="s">
        <v>5</v>
      </c>
      <c r="C1590" t="s">
        <v>22</v>
      </c>
      <c r="D1590">
        <v>0.44912050069972143</v>
      </c>
    </row>
    <row r="1591" spans="1:4" x14ac:dyDescent="0.35">
      <c r="A1591" t="s">
        <v>12</v>
      </c>
      <c r="B1591" t="s">
        <v>5</v>
      </c>
      <c r="C1591" t="s">
        <v>22</v>
      </c>
      <c r="D1591">
        <v>501.2113701478217</v>
      </c>
    </row>
    <row r="1592" spans="1:4" x14ac:dyDescent="0.35">
      <c r="A1592" t="s">
        <v>13</v>
      </c>
      <c r="B1592" t="s">
        <v>5</v>
      </c>
      <c r="C1592" t="s">
        <v>22</v>
      </c>
      <c r="D1592">
        <v>7.4355063562753383</v>
      </c>
    </row>
    <row r="1593" spans="1:4" x14ac:dyDescent="0.35">
      <c r="A1593" t="s">
        <v>14</v>
      </c>
      <c r="B1593" t="s">
        <v>5</v>
      </c>
      <c r="C1593" t="s">
        <v>22</v>
      </c>
      <c r="D1593">
        <v>135.13021244729327</v>
      </c>
    </row>
    <row r="1594" spans="1:4" x14ac:dyDescent="0.35">
      <c r="A1594" t="s">
        <v>15</v>
      </c>
      <c r="B1594" t="s">
        <v>5</v>
      </c>
      <c r="C1594" t="s">
        <v>22</v>
      </c>
      <c r="D1594">
        <v>40.266801906155891</v>
      </c>
    </row>
    <row r="1595" spans="1:4" x14ac:dyDescent="0.35">
      <c r="A1595" t="s">
        <v>16</v>
      </c>
      <c r="B1595" t="s">
        <v>5</v>
      </c>
      <c r="C1595" t="s">
        <v>22</v>
      </c>
      <c r="D1595">
        <v>35.492081365983132</v>
      </c>
    </row>
    <row r="1596" spans="1:4" x14ac:dyDescent="0.35">
      <c r="A1596" t="s">
        <v>17</v>
      </c>
      <c r="B1596" t="s">
        <v>5</v>
      </c>
      <c r="C1596" t="s">
        <v>22</v>
      </c>
      <c r="D1596">
        <v>150.65623539180172</v>
      </c>
    </row>
    <row r="1597" spans="1:4" x14ac:dyDescent="0.35">
      <c r="A1597" t="s">
        <v>18</v>
      </c>
      <c r="B1597" t="s">
        <v>5</v>
      </c>
      <c r="C1597" t="s">
        <v>22</v>
      </c>
      <c r="D1597">
        <v>1783.5309988811871</v>
      </c>
    </row>
    <row r="1598" spans="1:4" x14ac:dyDescent="0.35">
      <c r="A1598" t="s">
        <v>19</v>
      </c>
      <c r="B1598" t="s">
        <v>5</v>
      </c>
      <c r="C1598" t="s">
        <v>22</v>
      </c>
      <c r="D1598">
        <v>214.92773722535458</v>
      </c>
    </row>
    <row r="1599" spans="1:4" x14ac:dyDescent="0.35">
      <c r="A1599" t="s">
        <v>20</v>
      </c>
      <c r="B1599" t="s">
        <v>5</v>
      </c>
      <c r="C1599" t="s">
        <v>22</v>
      </c>
      <c r="D1599">
        <v>2.5464835792648568</v>
      </c>
    </row>
    <row r="1600" spans="1:4" x14ac:dyDescent="0.35">
      <c r="A1600" t="s">
        <v>21</v>
      </c>
      <c r="B1600" t="s">
        <v>5</v>
      </c>
      <c r="C1600" t="s">
        <v>22</v>
      </c>
      <c r="D1600">
        <v>109.74082264515391</v>
      </c>
    </row>
    <row r="1601" spans="1:4" x14ac:dyDescent="0.35">
      <c r="A1601" t="s">
        <v>22</v>
      </c>
      <c r="B1601" t="s">
        <v>5</v>
      </c>
      <c r="C1601" t="s">
        <v>22</v>
      </c>
      <c r="D1601">
        <v>521.1371460020905</v>
      </c>
    </row>
    <row r="1602" spans="1:4" x14ac:dyDescent="0.35">
      <c r="A1602" t="s">
        <v>23</v>
      </c>
      <c r="B1602" t="s">
        <v>5</v>
      </c>
      <c r="C1602" t="s">
        <v>22</v>
      </c>
      <c r="D1602">
        <v>2.6371561610864007</v>
      </c>
    </row>
    <row r="1603" spans="1:4" x14ac:dyDescent="0.35">
      <c r="A1603" t="s">
        <v>24</v>
      </c>
      <c r="B1603" t="s">
        <v>5</v>
      </c>
      <c r="C1603" t="s">
        <v>22</v>
      </c>
      <c r="D1603">
        <v>13.177510863606754</v>
      </c>
    </row>
    <row r="1604" spans="1:4" x14ac:dyDescent="0.35">
      <c r="A1604" t="s">
        <v>25</v>
      </c>
      <c r="B1604" t="s">
        <v>5</v>
      </c>
      <c r="C1604" t="s">
        <v>22</v>
      </c>
      <c r="D1604">
        <v>13.811986917340448</v>
      </c>
    </row>
    <row r="1605" spans="1:4" x14ac:dyDescent="0.35">
      <c r="A1605" t="s">
        <v>26</v>
      </c>
      <c r="B1605" t="s">
        <v>5</v>
      </c>
      <c r="C1605" t="s">
        <v>22</v>
      </c>
      <c r="D1605">
        <v>0</v>
      </c>
    </row>
    <row r="1606" spans="1:4" x14ac:dyDescent="0.35">
      <c r="A1606" t="s">
        <v>27</v>
      </c>
      <c r="B1606" t="s">
        <v>5</v>
      </c>
      <c r="C1606" t="s">
        <v>22</v>
      </c>
      <c r="D1606">
        <v>0.23300306669787418</v>
      </c>
    </row>
    <row r="1607" spans="1:4" x14ac:dyDescent="0.35">
      <c r="A1607" t="s">
        <v>28</v>
      </c>
      <c r="B1607" t="s">
        <v>5</v>
      </c>
      <c r="C1607" t="s">
        <v>22</v>
      </c>
      <c r="D1607">
        <v>0</v>
      </c>
    </row>
    <row r="1608" spans="1:4" x14ac:dyDescent="0.35">
      <c r="A1608" t="s">
        <v>29</v>
      </c>
      <c r="B1608" t="s">
        <v>5</v>
      </c>
      <c r="C1608" t="s">
        <v>22</v>
      </c>
      <c r="D1608">
        <v>2.744283970812921</v>
      </c>
    </row>
    <row r="1609" spans="1:4" x14ac:dyDescent="0.35">
      <c r="A1609" t="s">
        <v>30</v>
      </c>
      <c r="B1609" t="s">
        <v>5</v>
      </c>
      <c r="C1609" t="s">
        <v>22</v>
      </c>
      <c r="D1609">
        <v>0.50881443415011629</v>
      </c>
    </row>
    <row r="1610" spans="1:4" x14ac:dyDescent="0.35">
      <c r="A1610" t="s">
        <v>31</v>
      </c>
      <c r="B1610" t="s">
        <v>5</v>
      </c>
      <c r="C1610" t="s">
        <v>22</v>
      </c>
      <c r="D1610">
        <v>1.0782777300575219</v>
      </c>
    </row>
    <row r="1611" spans="1:4" x14ac:dyDescent="0.35">
      <c r="A1611" t="s">
        <v>32</v>
      </c>
      <c r="B1611" t="s">
        <v>5</v>
      </c>
      <c r="C1611" t="s">
        <v>22</v>
      </c>
      <c r="D1611">
        <v>2.9123981852237923</v>
      </c>
    </row>
    <row r="1612" spans="1:4" x14ac:dyDescent="0.35">
      <c r="A1612" t="s">
        <v>33</v>
      </c>
      <c r="B1612" t="s">
        <v>5</v>
      </c>
      <c r="C1612" t="s">
        <v>22</v>
      </c>
      <c r="D1612">
        <v>4.7027274449904981</v>
      </c>
    </row>
    <row r="1613" spans="1:4" x14ac:dyDescent="0.35">
      <c r="A1613" t="s">
        <v>34</v>
      </c>
      <c r="B1613" t="s">
        <v>5</v>
      </c>
      <c r="C1613" t="s">
        <v>22</v>
      </c>
      <c r="D1613">
        <v>1.4614637612143699</v>
      </c>
    </row>
    <row r="1614" spans="1:4" x14ac:dyDescent="0.35">
      <c r="A1614" t="s">
        <v>35</v>
      </c>
      <c r="B1614" t="s">
        <v>5</v>
      </c>
      <c r="C1614" t="s">
        <v>22</v>
      </c>
      <c r="D1614">
        <v>1.7949644183288731</v>
      </c>
    </row>
    <row r="1615" spans="1:4" x14ac:dyDescent="0.35">
      <c r="A1615" t="s">
        <v>36</v>
      </c>
      <c r="B1615" t="s">
        <v>5</v>
      </c>
      <c r="C1615" t="s">
        <v>22</v>
      </c>
      <c r="D1615">
        <v>12.814302325689447</v>
      </c>
    </row>
    <row r="1616" spans="1:4" x14ac:dyDescent="0.35">
      <c r="A1616" t="s">
        <v>37</v>
      </c>
      <c r="B1616" t="s">
        <v>5</v>
      </c>
      <c r="C1616" t="s">
        <v>22</v>
      </c>
      <c r="D1616">
        <v>0.4596505076109863</v>
      </c>
    </row>
    <row r="1617" spans="1:4" x14ac:dyDescent="0.35">
      <c r="A1617" t="s">
        <v>38</v>
      </c>
      <c r="B1617" t="s">
        <v>5</v>
      </c>
      <c r="C1617" t="s">
        <v>22</v>
      </c>
      <c r="D1617">
        <v>0.32858861906058606</v>
      </c>
    </row>
    <row r="1618" spans="1:4" x14ac:dyDescent="0.35">
      <c r="A1618" t="s">
        <v>39</v>
      </c>
      <c r="B1618" t="s">
        <v>5</v>
      </c>
      <c r="C1618" t="s">
        <v>22</v>
      </c>
      <c r="D1618">
        <v>0</v>
      </c>
    </row>
    <row r="1619" spans="1:4" x14ac:dyDescent="0.35">
      <c r="A1619" t="s">
        <v>7</v>
      </c>
      <c r="B1619" t="s">
        <v>5</v>
      </c>
      <c r="C1619" t="s">
        <v>23</v>
      </c>
      <c r="D1619">
        <v>0</v>
      </c>
    </row>
    <row r="1620" spans="1:4" x14ac:dyDescent="0.35">
      <c r="A1620" t="s">
        <v>8</v>
      </c>
      <c r="B1620" t="s">
        <v>5</v>
      </c>
      <c r="C1620" t="s">
        <v>23</v>
      </c>
      <c r="D1620">
        <v>0</v>
      </c>
    </row>
    <row r="1621" spans="1:4" x14ac:dyDescent="0.35">
      <c r="A1621" t="s">
        <v>9</v>
      </c>
      <c r="B1621" t="s">
        <v>5</v>
      </c>
      <c r="C1621" t="s">
        <v>23</v>
      </c>
      <c r="D1621">
        <v>3.1487465188481653E-2</v>
      </c>
    </row>
    <row r="1622" spans="1:4" x14ac:dyDescent="0.35">
      <c r="A1622" t="s">
        <v>10</v>
      </c>
      <c r="B1622" t="s">
        <v>5</v>
      </c>
      <c r="C1622" t="s">
        <v>23</v>
      </c>
      <c r="D1622">
        <v>0.5138638633760807</v>
      </c>
    </row>
    <row r="1623" spans="1:4" x14ac:dyDescent="0.35">
      <c r="A1623" t="s">
        <v>11</v>
      </c>
      <c r="B1623" t="s">
        <v>5</v>
      </c>
      <c r="C1623" t="s">
        <v>23</v>
      </c>
      <c r="D1623">
        <v>0</v>
      </c>
    </row>
    <row r="1624" spans="1:4" x14ac:dyDescent="0.35">
      <c r="A1624" t="s">
        <v>12</v>
      </c>
      <c r="B1624" t="s">
        <v>5</v>
      </c>
      <c r="C1624" t="s">
        <v>23</v>
      </c>
      <c r="D1624">
        <v>0</v>
      </c>
    </row>
    <row r="1625" spans="1:4" x14ac:dyDescent="0.35">
      <c r="A1625" t="s">
        <v>13</v>
      </c>
      <c r="B1625" t="s">
        <v>5</v>
      </c>
      <c r="C1625" t="s">
        <v>23</v>
      </c>
      <c r="D1625">
        <v>3.1387613896398516</v>
      </c>
    </row>
    <row r="1626" spans="1:4" x14ac:dyDescent="0.35">
      <c r="A1626" t="s">
        <v>14</v>
      </c>
      <c r="B1626" t="s">
        <v>5</v>
      </c>
      <c r="C1626" t="s">
        <v>23</v>
      </c>
      <c r="D1626">
        <v>6950.8081329788047</v>
      </c>
    </row>
    <row r="1627" spans="1:4" x14ac:dyDescent="0.35">
      <c r="A1627" t="s">
        <v>15</v>
      </c>
      <c r="B1627" t="s">
        <v>5</v>
      </c>
      <c r="C1627" t="s">
        <v>23</v>
      </c>
      <c r="D1627">
        <v>11.810070109341009</v>
      </c>
    </row>
    <row r="1628" spans="1:4" x14ac:dyDescent="0.35">
      <c r="A1628" t="s">
        <v>16</v>
      </c>
      <c r="B1628" t="s">
        <v>5</v>
      </c>
      <c r="C1628" t="s">
        <v>23</v>
      </c>
      <c r="D1628">
        <v>0.9741101012457114</v>
      </c>
    </row>
    <row r="1629" spans="1:4" x14ac:dyDescent="0.35">
      <c r="A1629" t="s">
        <v>17</v>
      </c>
      <c r="B1629" t="s">
        <v>5</v>
      </c>
      <c r="C1629" t="s">
        <v>23</v>
      </c>
      <c r="D1629">
        <v>0</v>
      </c>
    </row>
    <row r="1630" spans="1:4" x14ac:dyDescent="0.35">
      <c r="A1630" t="s">
        <v>18</v>
      </c>
      <c r="B1630" t="s">
        <v>5</v>
      </c>
      <c r="C1630" t="s">
        <v>23</v>
      </c>
      <c r="D1630">
        <v>2.7860110116347892E-4</v>
      </c>
    </row>
    <row r="1631" spans="1:4" x14ac:dyDescent="0.35">
      <c r="A1631" t="s">
        <v>19</v>
      </c>
      <c r="B1631" t="s">
        <v>5</v>
      </c>
      <c r="C1631" t="s">
        <v>23</v>
      </c>
      <c r="D1631">
        <v>7.9258421146519575</v>
      </c>
    </row>
    <row r="1632" spans="1:4" x14ac:dyDescent="0.35">
      <c r="A1632" t="s">
        <v>20</v>
      </c>
      <c r="B1632" t="s">
        <v>5</v>
      </c>
      <c r="C1632" t="s">
        <v>23</v>
      </c>
      <c r="D1632">
        <v>357.75396231093578</v>
      </c>
    </row>
    <row r="1633" spans="1:4" x14ac:dyDescent="0.35">
      <c r="A1633" t="s">
        <v>21</v>
      </c>
      <c r="B1633" t="s">
        <v>5</v>
      </c>
      <c r="C1633" t="s">
        <v>23</v>
      </c>
      <c r="D1633">
        <v>10.458082872877934</v>
      </c>
    </row>
    <row r="1634" spans="1:4" x14ac:dyDescent="0.35">
      <c r="A1634" t="s">
        <v>22</v>
      </c>
      <c r="B1634" t="s">
        <v>5</v>
      </c>
      <c r="C1634" t="s">
        <v>23</v>
      </c>
      <c r="D1634">
        <v>185.2078684260305</v>
      </c>
    </row>
    <row r="1635" spans="1:4" x14ac:dyDescent="0.35">
      <c r="A1635" t="s">
        <v>23</v>
      </c>
      <c r="B1635" t="s">
        <v>5</v>
      </c>
      <c r="C1635" t="s">
        <v>23</v>
      </c>
      <c r="D1635">
        <v>2.974150636942924</v>
      </c>
    </row>
    <row r="1636" spans="1:4" x14ac:dyDescent="0.35">
      <c r="A1636" t="s">
        <v>24</v>
      </c>
      <c r="B1636" t="s">
        <v>5</v>
      </c>
      <c r="C1636" t="s">
        <v>23</v>
      </c>
      <c r="D1636">
        <v>5.0034399949357162</v>
      </c>
    </row>
    <row r="1637" spans="1:4" x14ac:dyDescent="0.35">
      <c r="A1637" t="s">
        <v>25</v>
      </c>
      <c r="B1637" t="s">
        <v>5</v>
      </c>
      <c r="C1637" t="s">
        <v>23</v>
      </c>
      <c r="D1637">
        <v>0.72428973488159698</v>
      </c>
    </row>
    <row r="1638" spans="1:4" x14ac:dyDescent="0.35">
      <c r="A1638" t="s">
        <v>26</v>
      </c>
      <c r="B1638" t="s">
        <v>5</v>
      </c>
      <c r="C1638" t="s">
        <v>23</v>
      </c>
      <c r="D1638">
        <v>0.34616751206301688</v>
      </c>
    </row>
    <row r="1639" spans="1:4" x14ac:dyDescent="0.35">
      <c r="A1639" t="s">
        <v>27</v>
      </c>
      <c r="B1639" t="s">
        <v>5</v>
      </c>
      <c r="C1639" t="s">
        <v>23</v>
      </c>
      <c r="D1639">
        <v>3.5448521275902265</v>
      </c>
    </row>
    <row r="1640" spans="1:4" x14ac:dyDescent="0.35">
      <c r="A1640" t="s">
        <v>28</v>
      </c>
      <c r="B1640" t="s">
        <v>5</v>
      </c>
      <c r="C1640" t="s">
        <v>23</v>
      </c>
      <c r="D1640">
        <v>0</v>
      </c>
    </row>
    <row r="1641" spans="1:4" x14ac:dyDescent="0.35">
      <c r="A1641" t="s">
        <v>29</v>
      </c>
      <c r="B1641" t="s">
        <v>5</v>
      </c>
      <c r="C1641" t="s">
        <v>23</v>
      </c>
      <c r="D1641">
        <v>6.0706886305076216E-2</v>
      </c>
    </row>
    <row r="1642" spans="1:4" x14ac:dyDescent="0.35">
      <c r="A1642" t="s">
        <v>30</v>
      </c>
      <c r="B1642" t="s">
        <v>5</v>
      </c>
      <c r="C1642" t="s">
        <v>23</v>
      </c>
      <c r="D1642">
        <v>9.3964413739071936E-3</v>
      </c>
    </row>
    <row r="1643" spans="1:4" x14ac:dyDescent="0.35">
      <c r="A1643" t="s">
        <v>31</v>
      </c>
      <c r="B1643" t="s">
        <v>5</v>
      </c>
      <c r="C1643" t="s">
        <v>23</v>
      </c>
      <c r="D1643">
        <v>1.3909009141121591</v>
      </c>
    </row>
    <row r="1644" spans="1:4" x14ac:dyDescent="0.35">
      <c r="A1644" t="s">
        <v>32</v>
      </c>
      <c r="B1644" t="s">
        <v>5</v>
      </c>
      <c r="C1644" t="s">
        <v>23</v>
      </c>
      <c r="D1644">
        <v>6.2676075433521587</v>
      </c>
    </row>
    <row r="1645" spans="1:4" x14ac:dyDescent="0.35">
      <c r="A1645" t="s">
        <v>33</v>
      </c>
      <c r="B1645" t="s">
        <v>5</v>
      </c>
      <c r="C1645" t="s">
        <v>23</v>
      </c>
      <c r="D1645">
        <v>2.5818290616721189</v>
      </c>
    </row>
    <row r="1646" spans="1:4" x14ac:dyDescent="0.35">
      <c r="A1646" t="s">
        <v>34</v>
      </c>
      <c r="B1646" t="s">
        <v>5</v>
      </c>
      <c r="C1646" t="s">
        <v>23</v>
      </c>
      <c r="D1646">
        <v>0.36056909218827526</v>
      </c>
    </row>
    <row r="1647" spans="1:4" x14ac:dyDescent="0.35">
      <c r="A1647" t="s">
        <v>35</v>
      </c>
      <c r="B1647" t="s">
        <v>5</v>
      </c>
      <c r="C1647" t="s">
        <v>23</v>
      </c>
      <c r="D1647">
        <v>3.6543885883147085</v>
      </c>
    </row>
    <row r="1648" spans="1:4" x14ac:dyDescent="0.35">
      <c r="A1648" t="s">
        <v>36</v>
      </c>
      <c r="B1648" t="s">
        <v>5</v>
      </c>
      <c r="C1648" t="s">
        <v>23</v>
      </c>
      <c r="D1648">
        <v>36.802400289875763</v>
      </c>
    </row>
    <row r="1649" spans="1:4" x14ac:dyDescent="0.35">
      <c r="A1649" t="s">
        <v>37</v>
      </c>
      <c r="B1649" t="s">
        <v>5</v>
      </c>
      <c r="C1649" t="s">
        <v>23</v>
      </c>
      <c r="D1649">
        <v>5.9194464031241583E-3</v>
      </c>
    </row>
    <row r="1650" spans="1:4" x14ac:dyDescent="0.35">
      <c r="A1650" t="s">
        <v>38</v>
      </c>
      <c r="B1650" t="s">
        <v>5</v>
      </c>
      <c r="C1650" t="s">
        <v>23</v>
      </c>
      <c r="D1650">
        <v>1.236774385507825</v>
      </c>
    </row>
    <row r="1651" spans="1:4" x14ac:dyDescent="0.35">
      <c r="A1651" t="s">
        <v>39</v>
      </c>
      <c r="B1651" t="s">
        <v>5</v>
      </c>
      <c r="C1651" t="s">
        <v>23</v>
      </c>
      <c r="D1651">
        <v>0</v>
      </c>
    </row>
    <row r="1652" spans="1:4" x14ac:dyDescent="0.35">
      <c r="A1652" t="s">
        <v>7</v>
      </c>
      <c r="B1652" t="s">
        <v>5</v>
      </c>
      <c r="C1652" t="s">
        <v>24</v>
      </c>
      <c r="D1652">
        <v>0</v>
      </c>
    </row>
    <row r="1653" spans="1:4" x14ac:dyDescent="0.35">
      <c r="A1653" t="s">
        <v>8</v>
      </c>
      <c r="B1653" t="s">
        <v>5</v>
      </c>
      <c r="C1653" t="s">
        <v>24</v>
      </c>
      <c r="D1653">
        <v>263.01971389476512</v>
      </c>
    </row>
    <row r="1654" spans="1:4" x14ac:dyDescent="0.35">
      <c r="A1654" t="s">
        <v>9</v>
      </c>
      <c r="B1654" t="s">
        <v>5</v>
      </c>
      <c r="C1654" t="s">
        <v>24</v>
      </c>
      <c r="D1654">
        <v>0.58440007259156668</v>
      </c>
    </row>
    <row r="1655" spans="1:4" x14ac:dyDescent="0.35">
      <c r="A1655" t="s">
        <v>10</v>
      </c>
      <c r="B1655" t="s">
        <v>5</v>
      </c>
      <c r="C1655" t="s">
        <v>24</v>
      </c>
      <c r="D1655">
        <v>107.03413545207798</v>
      </c>
    </row>
    <row r="1656" spans="1:4" x14ac:dyDescent="0.35">
      <c r="A1656" t="s">
        <v>11</v>
      </c>
      <c r="B1656" t="s">
        <v>5</v>
      </c>
      <c r="C1656" t="s">
        <v>24</v>
      </c>
      <c r="D1656">
        <v>90.645928717374844</v>
      </c>
    </row>
    <row r="1657" spans="1:4" x14ac:dyDescent="0.35">
      <c r="A1657" t="s">
        <v>12</v>
      </c>
      <c r="B1657" t="s">
        <v>5</v>
      </c>
      <c r="C1657" t="s">
        <v>24</v>
      </c>
      <c r="D1657">
        <v>948.54488614977743</v>
      </c>
    </row>
    <row r="1658" spans="1:4" x14ac:dyDescent="0.35">
      <c r="A1658" t="s">
        <v>13</v>
      </c>
      <c r="B1658" t="s">
        <v>5</v>
      </c>
      <c r="C1658" t="s">
        <v>24</v>
      </c>
      <c r="D1658">
        <v>118.6500171463784</v>
      </c>
    </row>
    <row r="1659" spans="1:4" x14ac:dyDescent="0.35">
      <c r="A1659" t="s">
        <v>14</v>
      </c>
      <c r="B1659" t="s">
        <v>5</v>
      </c>
      <c r="C1659" t="s">
        <v>24</v>
      </c>
      <c r="D1659">
        <v>1370.0321654896081</v>
      </c>
    </row>
    <row r="1660" spans="1:4" x14ac:dyDescent="0.35">
      <c r="A1660" t="s">
        <v>15</v>
      </c>
      <c r="B1660" t="s">
        <v>5</v>
      </c>
      <c r="C1660" t="s">
        <v>24</v>
      </c>
      <c r="D1660">
        <v>953.27764042635158</v>
      </c>
    </row>
    <row r="1661" spans="1:4" x14ac:dyDescent="0.35">
      <c r="A1661" t="s">
        <v>16</v>
      </c>
      <c r="B1661" t="s">
        <v>5</v>
      </c>
      <c r="C1661" t="s">
        <v>24</v>
      </c>
      <c r="D1661">
        <v>152.5041230505679</v>
      </c>
    </row>
    <row r="1662" spans="1:4" x14ac:dyDescent="0.35">
      <c r="A1662" t="s">
        <v>17</v>
      </c>
      <c r="B1662" t="s">
        <v>5</v>
      </c>
      <c r="C1662" t="s">
        <v>24</v>
      </c>
      <c r="D1662">
        <v>2792.9232553754359</v>
      </c>
    </row>
    <row r="1663" spans="1:4" x14ac:dyDescent="0.35">
      <c r="A1663" t="s">
        <v>18</v>
      </c>
      <c r="B1663" t="s">
        <v>5</v>
      </c>
      <c r="C1663" t="s">
        <v>24</v>
      </c>
      <c r="D1663">
        <v>4890.8808831457727</v>
      </c>
    </row>
    <row r="1664" spans="1:4" x14ac:dyDescent="0.35">
      <c r="A1664" t="s">
        <v>19</v>
      </c>
      <c r="B1664" t="s">
        <v>5</v>
      </c>
      <c r="C1664" t="s">
        <v>24</v>
      </c>
      <c r="D1664">
        <v>6130.4544374080269</v>
      </c>
    </row>
    <row r="1665" spans="1:4" x14ac:dyDescent="0.35">
      <c r="A1665" t="s">
        <v>20</v>
      </c>
      <c r="B1665" t="s">
        <v>5</v>
      </c>
      <c r="C1665" t="s">
        <v>24</v>
      </c>
      <c r="D1665">
        <v>4709.4163833695047</v>
      </c>
    </row>
    <row r="1666" spans="1:4" x14ac:dyDescent="0.35">
      <c r="A1666" t="s">
        <v>21</v>
      </c>
      <c r="B1666" t="s">
        <v>5</v>
      </c>
      <c r="C1666" t="s">
        <v>24</v>
      </c>
      <c r="D1666">
        <v>495.12379243677242</v>
      </c>
    </row>
    <row r="1667" spans="1:4" x14ac:dyDescent="0.35">
      <c r="A1667" t="s">
        <v>22</v>
      </c>
      <c r="B1667" t="s">
        <v>5</v>
      </c>
      <c r="C1667" t="s">
        <v>24</v>
      </c>
      <c r="D1667">
        <v>278.80803678460552</v>
      </c>
    </row>
    <row r="1668" spans="1:4" x14ac:dyDescent="0.35">
      <c r="A1668" t="s">
        <v>23</v>
      </c>
      <c r="B1668" t="s">
        <v>5</v>
      </c>
      <c r="C1668" t="s">
        <v>24</v>
      </c>
      <c r="D1668">
        <v>5.6413480764262154</v>
      </c>
    </row>
    <row r="1669" spans="1:4" x14ac:dyDescent="0.35">
      <c r="A1669" t="s">
        <v>24</v>
      </c>
      <c r="B1669" t="s">
        <v>5</v>
      </c>
      <c r="C1669" t="s">
        <v>24</v>
      </c>
      <c r="D1669">
        <v>279.5697589632457</v>
      </c>
    </row>
    <row r="1670" spans="1:4" x14ac:dyDescent="0.35">
      <c r="A1670" t="s">
        <v>25</v>
      </c>
      <c r="B1670" t="s">
        <v>5</v>
      </c>
      <c r="C1670" t="s">
        <v>24</v>
      </c>
      <c r="D1670">
        <v>87.646346945219065</v>
      </c>
    </row>
    <row r="1671" spans="1:4" x14ac:dyDescent="0.35">
      <c r="A1671" t="s">
        <v>26</v>
      </c>
      <c r="B1671" t="s">
        <v>5</v>
      </c>
      <c r="C1671" t="s">
        <v>24</v>
      </c>
      <c r="D1671">
        <v>0</v>
      </c>
    </row>
    <row r="1672" spans="1:4" x14ac:dyDescent="0.35">
      <c r="A1672" t="s">
        <v>27</v>
      </c>
      <c r="B1672" t="s">
        <v>5</v>
      </c>
      <c r="C1672" t="s">
        <v>24</v>
      </c>
      <c r="D1672">
        <v>0.53897567549439218</v>
      </c>
    </row>
    <row r="1673" spans="1:4" x14ac:dyDescent="0.35">
      <c r="A1673" t="s">
        <v>28</v>
      </c>
      <c r="B1673" t="s">
        <v>5</v>
      </c>
      <c r="C1673" t="s">
        <v>24</v>
      </c>
      <c r="D1673">
        <v>0</v>
      </c>
    </row>
    <row r="1674" spans="1:4" x14ac:dyDescent="0.35">
      <c r="A1674" t="s">
        <v>29</v>
      </c>
      <c r="B1674" t="s">
        <v>5</v>
      </c>
      <c r="C1674" t="s">
        <v>24</v>
      </c>
      <c r="D1674">
        <v>8.3407308520969305</v>
      </c>
    </row>
    <row r="1675" spans="1:4" x14ac:dyDescent="0.35">
      <c r="A1675" t="s">
        <v>30</v>
      </c>
      <c r="B1675" t="s">
        <v>5</v>
      </c>
      <c r="C1675" t="s">
        <v>24</v>
      </c>
      <c r="D1675">
        <v>0.94556622273228552</v>
      </c>
    </row>
    <row r="1676" spans="1:4" x14ac:dyDescent="0.35">
      <c r="A1676" t="s">
        <v>31</v>
      </c>
      <c r="B1676" t="s">
        <v>5</v>
      </c>
      <c r="C1676" t="s">
        <v>24</v>
      </c>
      <c r="D1676">
        <v>3.5456456380106296</v>
      </c>
    </row>
    <row r="1677" spans="1:4" x14ac:dyDescent="0.35">
      <c r="A1677" t="s">
        <v>32</v>
      </c>
      <c r="B1677" t="s">
        <v>5</v>
      </c>
      <c r="C1677" t="s">
        <v>24</v>
      </c>
      <c r="D1677">
        <v>25.858417480181124</v>
      </c>
    </row>
    <row r="1678" spans="1:4" x14ac:dyDescent="0.35">
      <c r="A1678" t="s">
        <v>33</v>
      </c>
      <c r="B1678" t="s">
        <v>5</v>
      </c>
      <c r="C1678" t="s">
        <v>24</v>
      </c>
      <c r="D1678">
        <v>13.201847126825124</v>
      </c>
    </row>
    <row r="1679" spans="1:4" x14ac:dyDescent="0.35">
      <c r="A1679" t="s">
        <v>34</v>
      </c>
      <c r="B1679" t="s">
        <v>5</v>
      </c>
      <c r="C1679" t="s">
        <v>24</v>
      </c>
      <c r="D1679">
        <v>18.75817592937554</v>
      </c>
    </row>
    <row r="1680" spans="1:4" x14ac:dyDescent="0.35">
      <c r="A1680" t="s">
        <v>35</v>
      </c>
      <c r="B1680" t="s">
        <v>5</v>
      </c>
      <c r="C1680" t="s">
        <v>24</v>
      </c>
      <c r="D1680">
        <v>11.570972034866328</v>
      </c>
    </row>
    <row r="1681" spans="1:4" x14ac:dyDescent="0.35">
      <c r="A1681" t="s">
        <v>36</v>
      </c>
      <c r="B1681" t="s">
        <v>5</v>
      </c>
      <c r="C1681" t="s">
        <v>24</v>
      </c>
      <c r="D1681">
        <v>18.029807499764846</v>
      </c>
    </row>
    <row r="1682" spans="1:4" x14ac:dyDescent="0.35">
      <c r="A1682" t="s">
        <v>37</v>
      </c>
      <c r="B1682" t="s">
        <v>5</v>
      </c>
      <c r="C1682" t="s">
        <v>24</v>
      </c>
      <c r="D1682">
        <v>0.77974508252277175</v>
      </c>
    </row>
    <row r="1683" spans="1:4" x14ac:dyDescent="0.35">
      <c r="A1683" t="s">
        <v>38</v>
      </c>
      <c r="B1683" t="s">
        <v>5</v>
      </c>
      <c r="C1683" t="s">
        <v>24</v>
      </c>
      <c r="D1683">
        <v>1.439122826750354</v>
      </c>
    </row>
    <row r="1684" spans="1:4" x14ac:dyDescent="0.35">
      <c r="A1684" t="s">
        <v>39</v>
      </c>
      <c r="B1684" t="s">
        <v>5</v>
      </c>
      <c r="C1684" t="s">
        <v>24</v>
      </c>
      <c r="D1684">
        <v>0</v>
      </c>
    </row>
    <row r="1685" spans="1:4" x14ac:dyDescent="0.35">
      <c r="A1685" t="s">
        <v>7</v>
      </c>
      <c r="B1685" t="s">
        <v>5</v>
      </c>
      <c r="C1685" t="s">
        <v>25</v>
      </c>
      <c r="D1685">
        <v>0</v>
      </c>
    </row>
    <row r="1686" spans="1:4" x14ac:dyDescent="0.35">
      <c r="A1686" t="s">
        <v>8</v>
      </c>
      <c r="B1686" t="s">
        <v>5</v>
      </c>
      <c r="C1686" t="s">
        <v>25</v>
      </c>
      <c r="D1686">
        <v>56.098228314157119</v>
      </c>
    </row>
    <row r="1687" spans="1:4" x14ac:dyDescent="0.35">
      <c r="A1687" t="s">
        <v>9</v>
      </c>
      <c r="B1687" t="s">
        <v>5</v>
      </c>
      <c r="C1687" t="s">
        <v>25</v>
      </c>
      <c r="D1687">
        <v>28.865959487367007</v>
      </c>
    </row>
    <row r="1688" spans="1:4" x14ac:dyDescent="0.35">
      <c r="A1688" t="s">
        <v>10</v>
      </c>
      <c r="B1688" t="s">
        <v>5</v>
      </c>
      <c r="C1688" t="s">
        <v>25</v>
      </c>
      <c r="D1688">
        <v>119.55698820515892</v>
      </c>
    </row>
    <row r="1689" spans="1:4" x14ac:dyDescent="0.35">
      <c r="A1689" t="s">
        <v>11</v>
      </c>
      <c r="B1689" t="s">
        <v>5</v>
      </c>
      <c r="C1689" t="s">
        <v>25</v>
      </c>
      <c r="D1689">
        <v>0</v>
      </c>
    </row>
    <row r="1690" spans="1:4" x14ac:dyDescent="0.35">
      <c r="A1690" t="s">
        <v>12</v>
      </c>
      <c r="B1690" t="s">
        <v>5</v>
      </c>
      <c r="C1690" t="s">
        <v>25</v>
      </c>
      <c r="D1690">
        <v>6.7197106205430606</v>
      </c>
    </row>
    <row r="1691" spans="1:4" x14ac:dyDescent="0.35">
      <c r="A1691" t="s">
        <v>13</v>
      </c>
      <c r="B1691" t="s">
        <v>5</v>
      </c>
      <c r="C1691" t="s">
        <v>25</v>
      </c>
      <c r="D1691">
        <v>558.49263467379444</v>
      </c>
    </row>
    <row r="1692" spans="1:4" x14ac:dyDescent="0.35">
      <c r="A1692" t="s">
        <v>14</v>
      </c>
      <c r="B1692" t="s">
        <v>5</v>
      </c>
      <c r="C1692" t="s">
        <v>25</v>
      </c>
      <c r="D1692">
        <v>679.76376403075892</v>
      </c>
    </row>
    <row r="1693" spans="1:4" x14ac:dyDescent="0.35">
      <c r="A1693" t="s">
        <v>15</v>
      </c>
      <c r="B1693" t="s">
        <v>5</v>
      </c>
      <c r="C1693" t="s">
        <v>25</v>
      </c>
      <c r="D1693">
        <v>92.04363660282452</v>
      </c>
    </row>
    <row r="1694" spans="1:4" x14ac:dyDescent="0.35">
      <c r="A1694" t="s">
        <v>16</v>
      </c>
      <c r="B1694" t="s">
        <v>5</v>
      </c>
      <c r="C1694" t="s">
        <v>25</v>
      </c>
      <c r="D1694">
        <v>381.21020526802869</v>
      </c>
    </row>
    <row r="1695" spans="1:4" x14ac:dyDescent="0.35">
      <c r="A1695" t="s">
        <v>17</v>
      </c>
      <c r="B1695" t="s">
        <v>5</v>
      </c>
      <c r="C1695" t="s">
        <v>25</v>
      </c>
      <c r="D1695">
        <v>0</v>
      </c>
    </row>
    <row r="1696" spans="1:4" x14ac:dyDescent="0.35">
      <c r="A1696" t="s">
        <v>18</v>
      </c>
      <c r="B1696" t="s">
        <v>5</v>
      </c>
      <c r="C1696" t="s">
        <v>25</v>
      </c>
      <c r="D1696">
        <v>109.17385668547799</v>
      </c>
    </row>
    <row r="1697" spans="1:4" x14ac:dyDescent="0.35">
      <c r="A1697" t="s">
        <v>19</v>
      </c>
      <c r="B1697" t="s">
        <v>5</v>
      </c>
      <c r="C1697" t="s">
        <v>25</v>
      </c>
      <c r="D1697">
        <v>180.40742126956457</v>
      </c>
    </row>
    <row r="1698" spans="1:4" x14ac:dyDescent="0.35">
      <c r="A1698" t="s">
        <v>20</v>
      </c>
      <c r="B1698" t="s">
        <v>5</v>
      </c>
      <c r="C1698" t="s">
        <v>25</v>
      </c>
      <c r="D1698">
        <v>21.347565214276717</v>
      </c>
    </row>
    <row r="1699" spans="1:4" x14ac:dyDescent="0.35">
      <c r="A1699" t="s">
        <v>21</v>
      </c>
      <c r="B1699" t="s">
        <v>5</v>
      </c>
      <c r="C1699" t="s">
        <v>25</v>
      </c>
      <c r="D1699">
        <v>299.33664776808047</v>
      </c>
    </row>
    <row r="1700" spans="1:4" x14ac:dyDescent="0.35">
      <c r="A1700" t="s">
        <v>22</v>
      </c>
      <c r="B1700" t="s">
        <v>5</v>
      </c>
      <c r="C1700" t="s">
        <v>25</v>
      </c>
      <c r="D1700">
        <v>235.03857798369464</v>
      </c>
    </row>
    <row r="1701" spans="1:4" x14ac:dyDescent="0.35">
      <c r="A1701" t="s">
        <v>23</v>
      </c>
      <c r="B1701" t="s">
        <v>5</v>
      </c>
      <c r="C1701" t="s">
        <v>25</v>
      </c>
      <c r="D1701">
        <v>49.637624754805735</v>
      </c>
    </row>
    <row r="1702" spans="1:4" x14ac:dyDescent="0.35">
      <c r="A1702" t="s">
        <v>24</v>
      </c>
      <c r="B1702" t="s">
        <v>5</v>
      </c>
      <c r="C1702" t="s">
        <v>25</v>
      </c>
      <c r="D1702">
        <v>52.735712513253823</v>
      </c>
    </row>
    <row r="1703" spans="1:4" x14ac:dyDescent="0.35">
      <c r="A1703" t="s">
        <v>25</v>
      </c>
      <c r="B1703" t="s">
        <v>5</v>
      </c>
      <c r="C1703" t="s">
        <v>25</v>
      </c>
      <c r="D1703">
        <v>131.12693814316287</v>
      </c>
    </row>
    <row r="1704" spans="1:4" x14ac:dyDescent="0.35">
      <c r="A1704" t="s">
        <v>26</v>
      </c>
      <c r="B1704" t="s">
        <v>5</v>
      </c>
      <c r="C1704" t="s">
        <v>25</v>
      </c>
      <c r="D1704">
        <v>0</v>
      </c>
    </row>
    <row r="1705" spans="1:4" x14ac:dyDescent="0.35">
      <c r="A1705" t="s">
        <v>27</v>
      </c>
      <c r="B1705" t="s">
        <v>5</v>
      </c>
      <c r="C1705" t="s">
        <v>25</v>
      </c>
      <c r="D1705">
        <v>36.844125459286502</v>
      </c>
    </row>
    <row r="1706" spans="1:4" x14ac:dyDescent="0.35">
      <c r="A1706" t="s">
        <v>28</v>
      </c>
      <c r="B1706" t="s">
        <v>5</v>
      </c>
      <c r="C1706" t="s">
        <v>25</v>
      </c>
      <c r="D1706">
        <v>4.7911360931164362</v>
      </c>
    </row>
    <row r="1707" spans="1:4" x14ac:dyDescent="0.35">
      <c r="A1707" t="s">
        <v>29</v>
      </c>
      <c r="B1707" t="s">
        <v>5</v>
      </c>
      <c r="C1707" t="s">
        <v>25</v>
      </c>
      <c r="D1707">
        <v>70.99135445362613</v>
      </c>
    </row>
    <row r="1708" spans="1:4" x14ac:dyDescent="0.35">
      <c r="A1708" t="s">
        <v>30</v>
      </c>
      <c r="B1708" t="s">
        <v>5</v>
      </c>
      <c r="C1708" t="s">
        <v>25</v>
      </c>
      <c r="D1708">
        <v>70.273086000522042</v>
      </c>
    </row>
    <row r="1709" spans="1:4" x14ac:dyDescent="0.35">
      <c r="A1709" t="s">
        <v>31</v>
      </c>
      <c r="B1709" t="s">
        <v>5</v>
      </c>
      <c r="C1709" t="s">
        <v>25</v>
      </c>
      <c r="D1709">
        <v>36.479857440611767</v>
      </c>
    </row>
    <row r="1710" spans="1:4" x14ac:dyDescent="0.35">
      <c r="A1710" t="s">
        <v>32</v>
      </c>
      <c r="B1710" t="s">
        <v>5</v>
      </c>
      <c r="C1710" t="s">
        <v>25</v>
      </c>
      <c r="D1710">
        <v>94.747426757009492</v>
      </c>
    </row>
    <row r="1711" spans="1:4" x14ac:dyDescent="0.35">
      <c r="A1711" t="s">
        <v>33</v>
      </c>
      <c r="B1711" t="s">
        <v>5</v>
      </c>
      <c r="C1711" t="s">
        <v>25</v>
      </c>
      <c r="D1711">
        <v>94.50930355733334</v>
      </c>
    </row>
    <row r="1712" spans="1:4" x14ac:dyDescent="0.35">
      <c r="A1712" t="s">
        <v>34</v>
      </c>
      <c r="B1712" t="s">
        <v>5</v>
      </c>
      <c r="C1712" t="s">
        <v>25</v>
      </c>
      <c r="D1712">
        <v>103.59623213109789</v>
      </c>
    </row>
    <row r="1713" spans="1:4" x14ac:dyDescent="0.35">
      <c r="A1713" t="s">
        <v>35</v>
      </c>
      <c r="B1713" t="s">
        <v>5</v>
      </c>
      <c r="C1713" t="s">
        <v>25</v>
      </c>
      <c r="D1713">
        <v>28.746905689111603</v>
      </c>
    </row>
    <row r="1714" spans="1:4" x14ac:dyDescent="0.35">
      <c r="A1714" t="s">
        <v>36</v>
      </c>
      <c r="B1714" t="s">
        <v>5</v>
      </c>
      <c r="C1714" t="s">
        <v>25</v>
      </c>
      <c r="D1714">
        <v>0</v>
      </c>
    </row>
    <row r="1715" spans="1:4" x14ac:dyDescent="0.35">
      <c r="A1715" t="s">
        <v>37</v>
      </c>
      <c r="B1715" t="s">
        <v>5</v>
      </c>
      <c r="C1715" t="s">
        <v>25</v>
      </c>
      <c r="D1715">
        <v>2.142124985635844</v>
      </c>
    </row>
    <row r="1716" spans="1:4" x14ac:dyDescent="0.35">
      <c r="A1716" t="s">
        <v>38</v>
      </c>
      <c r="B1716" t="s">
        <v>5</v>
      </c>
      <c r="C1716" t="s">
        <v>25</v>
      </c>
      <c r="D1716">
        <v>21.391422473429888</v>
      </c>
    </row>
    <row r="1717" spans="1:4" x14ac:dyDescent="0.35">
      <c r="A1717" t="s">
        <v>39</v>
      </c>
      <c r="B1717" t="s">
        <v>5</v>
      </c>
      <c r="C1717" t="s">
        <v>25</v>
      </c>
      <c r="D1717">
        <v>0</v>
      </c>
    </row>
    <row r="1718" spans="1:4" x14ac:dyDescent="0.35">
      <c r="A1718" t="s">
        <v>7</v>
      </c>
      <c r="B1718" t="s">
        <v>5</v>
      </c>
      <c r="C1718" t="s">
        <v>26</v>
      </c>
      <c r="D1718">
        <v>1499.2340831627707</v>
      </c>
    </row>
    <row r="1719" spans="1:4" x14ac:dyDescent="0.35">
      <c r="A1719" t="s">
        <v>8</v>
      </c>
      <c r="B1719" t="s">
        <v>5</v>
      </c>
      <c r="C1719" t="s">
        <v>26</v>
      </c>
      <c r="D1719">
        <v>0</v>
      </c>
    </row>
    <row r="1720" spans="1:4" x14ac:dyDescent="0.35">
      <c r="A1720" t="s">
        <v>9</v>
      </c>
      <c r="B1720" t="s">
        <v>5</v>
      </c>
      <c r="C1720" t="s">
        <v>26</v>
      </c>
      <c r="D1720">
        <v>5938.8521930419802</v>
      </c>
    </row>
    <row r="1721" spans="1:4" x14ac:dyDescent="0.35">
      <c r="A1721" t="s">
        <v>10</v>
      </c>
      <c r="B1721" t="s">
        <v>5</v>
      </c>
      <c r="C1721" t="s">
        <v>26</v>
      </c>
      <c r="D1721">
        <v>427.96093095727355</v>
      </c>
    </row>
    <row r="1722" spans="1:4" x14ac:dyDescent="0.35">
      <c r="A1722" t="s">
        <v>11</v>
      </c>
      <c r="B1722" t="s">
        <v>5</v>
      </c>
      <c r="C1722" t="s">
        <v>26</v>
      </c>
      <c r="D1722">
        <v>31.549456244051257</v>
      </c>
    </row>
    <row r="1723" spans="1:4" x14ac:dyDescent="0.35">
      <c r="A1723" t="s">
        <v>12</v>
      </c>
      <c r="B1723" t="s">
        <v>5</v>
      </c>
      <c r="C1723" t="s">
        <v>26</v>
      </c>
      <c r="D1723">
        <v>0</v>
      </c>
    </row>
    <row r="1724" spans="1:4" x14ac:dyDescent="0.35">
      <c r="A1724" t="s">
        <v>13</v>
      </c>
      <c r="B1724" t="s">
        <v>5</v>
      </c>
      <c r="C1724" t="s">
        <v>26</v>
      </c>
      <c r="D1724">
        <v>187.10669700836144</v>
      </c>
    </row>
    <row r="1725" spans="1:4" x14ac:dyDescent="0.35">
      <c r="A1725" t="s">
        <v>14</v>
      </c>
      <c r="B1725" t="s">
        <v>5</v>
      </c>
      <c r="C1725" t="s">
        <v>26</v>
      </c>
      <c r="D1725">
        <v>113.17801896177433</v>
      </c>
    </row>
    <row r="1726" spans="1:4" x14ac:dyDescent="0.35">
      <c r="A1726" t="s">
        <v>15</v>
      </c>
      <c r="B1726" t="s">
        <v>5</v>
      </c>
      <c r="C1726" t="s">
        <v>26</v>
      </c>
      <c r="D1726">
        <v>189.7070885025602</v>
      </c>
    </row>
    <row r="1727" spans="1:4" x14ac:dyDescent="0.35">
      <c r="A1727" t="s">
        <v>16</v>
      </c>
      <c r="B1727" t="s">
        <v>5</v>
      </c>
      <c r="C1727" t="s">
        <v>26</v>
      </c>
      <c r="D1727">
        <v>124.32640931788433</v>
      </c>
    </row>
    <row r="1728" spans="1:4" x14ac:dyDescent="0.35">
      <c r="A1728" t="s">
        <v>17</v>
      </c>
      <c r="B1728" t="s">
        <v>5</v>
      </c>
      <c r="C1728" t="s">
        <v>26</v>
      </c>
      <c r="D1728">
        <v>7.3255904580249736</v>
      </c>
    </row>
    <row r="1729" spans="1:4" x14ac:dyDescent="0.35">
      <c r="A1729" t="s">
        <v>18</v>
      </c>
      <c r="B1729" t="s">
        <v>5</v>
      </c>
      <c r="C1729" t="s">
        <v>26</v>
      </c>
      <c r="D1729">
        <v>382.16661166483908</v>
      </c>
    </row>
    <row r="1730" spans="1:4" x14ac:dyDescent="0.35">
      <c r="A1730" t="s">
        <v>19</v>
      </c>
      <c r="B1730" t="s">
        <v>5</v>
      </c>
      <c r="C1730" t="s">
        <v>26</v>
      </c>
      <c r="D1730">
        <v>0</v>
      </c>
    </row>
    <row r="1731" spans="1:4" x14ac:dyDescent="0.35">
      <c r="A1731" t="s">
        <v>20</v>
      </c>
      <c r="B1731" t="s">
        <v>5</v>
      </c>
      <c r="C1731" t="s">
        <v>26</v>
      </c>
      <c r="D1731">
        <v>44.169997552390399</v>
      </c>
    </row>
    <row r="1732" spans="1:4" x14ac:dyDescent="0.35">
      <c r="A1732" t="s">
        <v>21</v>
      </c>
      <c r="B1732" t="s">
        <v>5</v>
      </c>
      <c r="C1732" t="s">
        <v>26</v>
      </c>
      <c r="D1732">
        <v>136.52374702521959</v>
      </c>
    </row>
    <row r="1733" spans="1:4" x14ac:dyDescent="0.35">
      <c r="A1733" t="s">
        <v>22</v>
      </c>
      <c r="B1733" t="s">
        <v>5</v>
      </c>
      <c r="C1733" t="s">
        <v>26</v>
      </c>
      <c r="D1733">
        <v>621.58748688561968</v>
      </c>
    </row>
    <row r="1734" spans="1:4" x14ac:dyDescent="0.35">
      <c r="A1734" t="s">
        <v>23</v>
      </c>
      <c r="B1734" t="s">
        <v>5</v>
      </c>
      <c r="C1734" t="s">
        <v>26</v>
      </c>
      <c r="D1734">
        <v>20.155476139055374</v>
      </c>
    </row>
    <row r="1735" spans="1:4" x14ac:dyDescent="0.35">
      <c r="A1735" t="s">
        <v>24</v>
      </c>
      <c r="B1735" t="s">
        <v>5</v>
      </c>
      <c r="C1735" t="s">
        <v>26</v>
      </c>
      <c r="D1735">
        <v>43.933119397551032</v>
      </c>
    </row>
    <row r="1736" spans="1:4" x14ac:dyDescent="0.35">
      <c r="A1736" t="s">
        <v>25</v>
      </c>
      <c r="B1736" t="s">
        <v>5</v>
      </c>
      <c r="C1736" t="s">
        <v>26</v>
      </c>
      <c r="D1736">
        <v>46.191960996579212</v>
      </c>
    </row>
    <row r="1737" spans="1:4" x14ac:dyDescent="0.35">
      <c r="A1737" t="s">
        <v>26</v>
      </c>
      <c r="B1737" t="s">
        <v>5</v>
      </c>
      <c r="C1737" t="s">
        <v>26</v>
      </c>
      <c r="D1737">
        <v>0</v>
      </c>
    </row>
    <row r="1738" spans="1:4" x14ac:dyDescent="0.35">
      <c r="A1738" t="s">
        <v>27</v>
      </c>
      <c r="B1738" t="s">
        <v>5</v>
      </c>
      <c r="C1738" t="s">
        <v>26</v>
      </c>
      <c r="D1738">
        <v>2.1170735775407885</v>
      </c>
    </row>
    <row r="1739" spans="1:4" x14ac:dyDescent="0.35">
      <c r="A1739" t="s">
        <v>28</v>
      </c>
      <c r="B1739" t="s">
        <v>5</v>
      </c>
      <c r="C1739" t="s">
        <v>26</v>
      </c>
      <c r="D1739">
        <v>0</v>
      </c>
    </row>
    <row r="1740" spans="1:4" x14ac:dyDescent="0.35">
      <c r="A1740" t="s">
        <v>29</v>
      </c>
      <c r="B1740" t="s">
        <v>5</v>
      </c>
      <c r="C1740" t="s">
        <v>26</v>
      </c>
      <c r="D1740">
        <v>0.13749397386997189</v>
      </c>
    </row>
    <row r="1741" spans="1:4" x14ac:dyDescent="0.35">
      <c r="A1741" t="s">
        <v>30</v>
      </c>
      <c r="B1741" t="s">
        <v>5</v>
      </c>
      <c r="C1741" t="s">
        <v>26</v>
      </c>
      <c r="D1741">
        <v>0.6839798440327497</v>
      </c>
    </row>
    <row r="1742" spans="1:4" x14ac:dyDescent="0.35">
      <c r="A1742" t="s">
        <v>31</v>
      </c>
      <c r="B1742" t="s">
        <v>5</v>
      </c>
      <c r="C1742" t="s">
        <v>26</v>
      </c>
      <c r="D1742">
        <v>11.372835850218548</v>
      </c>
    </row>
    <row r="1743" spans="1:4" x14ac:dyDescent="0.35">
      <c r="A1743" t="s">
        <v>32</v>
      </c>
      <c r="B1743" t="s">
        <v>5</v>
      </c>
      <c r="C1743" t="s">
        <v>26</v>
      </c>
      <c r="D1743">
        <v>49.121881682757852</v>
      </c>
    </row>
    <row r="1744" spans="1:4" x14ac:dyDescent="0.35">
      <c r="A1744" t="s">
        <v>33</v>
      </c>
      <c r="B1744" t="s">
        <v>5</v>
      </c>
      <c r="C1744" t="s">
        <v>26</v>
      </c>
      <c r="D1744">
        <v>19.19101369543133</v>
      </c>
    </row>
    <row r="1745" spans="1:4" x14ac:dyDescent="0.35">
      <c r="A1745" t="s">
        <v>34</v>
      </c>
      <c r="B1745" t="s">
        <v>5</v>
      </c>
      <c r="C1745" t="s">
        <v>26</v>
      </c>
      <c r="D1745">
        <v>20.927781023514644</v>
      </c>
    </row>
    <row r="1746" spans="1:4" x14ac:dyDescent="0.35">
      <c r="A1746" t="s">
        <v>35</v>
      </c>
      <c r="B1746" t="s">
        <v>5</v>
      </c>
      <c r="C1746" t="s">
        <v>26</v>
      </c>
      <c r="D1746">
        <v>1.8599247866657662</v>
      </c>
    </row>
    <row r="1747" spans="1:4" x14ac:dyDescent="0.35">
      <c r="A1747" t="s">
        <v>36</v>
      </c>
      <c r="B1747" t="s">
        <v>5</v>
      </c>
      <c r="C1747" t="s">
        <v>26</v>
      </c>
      <c r="D1747">
        <v>0</v>
      </c>
    </row>
    <row r="1748" spans="1:4" x14ac:dyDescent="0.35">
      <c r="A1748" t="s">
        <v>37</v>
      </c>
      <c r="B1748" t="s">
        <v>5</v>
      </c>
      <c r="C1748" t="s">
        <v>26</v>
      </c>
      <c r="D1748">
        <v>0.77955352729206284</v>
      </c>
    </row>
    <row r="1749" spans="1:4" x14ac:dyDescent="0.35">
      <c r="A1749" t="s">
        <v>38</v>
      </c>
      <c r="B1749" t="s">
        <v>5</v>
      </c>
      <c r="C1749" t="s">
        <v>26</v>
      </c>
      <c r="D1749">
        <v>27.810851566047088</v>
      </c>
    </row>
    <row r="1750" spans="1:4" x14ac:dyDescent="0.35">
      <c r="A1750" t="s">
        <v>39</v>
      </c>
      <c r="B1750" t="s">
        <v>5</v>
      </c>
      <c r="C1750" t="s">
        <v>26</v>
      </c>
      <c r="D1750">
        <v>0</v>
      </c>
    </row>
    <row r="1751" spans="1:4" x14ac:dyDescent="0.35">
      <c r="A1751" t="s">
        <v>7</v>
      </c>
      <c r="B1751" t="s">
        <v>5</v>
      </c>
      <c r="C1751" t="s">
        <v>27</v>
      </c>
      <c r="D1751">
        <v>0</v>
      </c>
    </row>
    <row r="1752" spans="1:4" x14ac:dyDescent="0.35">
      <c r="A1752" t="s">
        <v>8</v>
      </c>
      <c r="B1752" t="s">
        <v>5</v>
      </c>
      <c r="C1752" t="s">
        <v>27</v>
      </c>
      <c r="D1752">
        <v>0.63497620972123958</v>
      </c>
    </row>
    <row r="1753" spans="1:4" x14ac:dyDescent="0.35">
      <c r="A1753" t="s">
        <v>9</v>
      </c>
      <c r="B1753" t="s">
        <v>5</v>
      </c>
      <c r="C1753" t="s">
        <v>27</v>
      </c>
      <c r="D1753">
        <v>3.7109675051290501E-2</v>
      </c>
    </row>
    <row r="1754" spans="1:4" x14ac:dyDescent="0.35">
      <c r="A1754" t="s">
        <v>10</v>
      </c>
      <c r="B1754" t="s">
        <v>5</v>
      </c>
      <c r="C1754" t="s">
        <v>27</v>
      </c>
      <c r="D1754">
        <v>13.48979521240347</v>
      </c>
    </row>
    <row r="1755" spans="1:4" x14ac:dyDescent="0.35">
      <c r="A1755" t="s">
        <v>11</v>
      </c>
      <c r="B1755" t="s">
        <v>5</v>
      </c>
      <c r="C1755" t="s">
        <v>27</v>
      </c>
      <c r="D1755">
        <v>0</v>
      </c>
    </row>
    <row r="1756" spans="1:4" x14ac:dyDescent="0.35">
      <c r="A1756" t="s">
        <v>12</v>
      </c>
      <c r="B1756" t="s">
        <v>5</v>
      </c>
      <c r="C1756" t="s">
        <v>27</v>
      </c>
      <c r="D1756">
        <v>0</v>
      </c>
    </row>
    <row r="1757" spans="1:4" x14ac:dyDescent="0.35">
      <c r="A1757" t="s">
        <v>13</v>
      </c>
      <c r="B1757" t="s">
        <v>5</v>
      </c>
      <c r="C1757" t="s">
        <v>27</v>
      </c>
      <c r="D1757">
        <v>34.17104826757226</v>
      </c>
    </row>
    <row r="1758" spans="1:4" x14ac:dyDescent="0.35">
      <c r="A1758" t="s">
        <v>14</v>
      </c>
      <c r="B1758" t="s">
        <v>5</v>
      </c>
      <c r="C1758" t="s">
        <v>27</v>
      </c>
      <c r="D1758">
        <v>1724.5607076715701</v>
      </c>
    </row>
    <row r="1759" spans="1:4" x14ac:dyDescent="0.35">
      <c r="A1759" t="s">
        <v>15</v>
      </c>
      <c r="B1759" t="s">
        <v>5</v>
      </c>
      <c r="C1759" t="s">
        <v>27</v>
      </c>
      <c r="D1759">
        <v>3.4033759114077977</v>
      </c>
    </row>
    <row r="1760" spans="1:4" x14ac:dyDescent="0.35">
      <c r="A1760" t="s">
        <v>16</v>
      </c>
      <c r="B1760" t="s">
        <v>5</v>
      </c>
      <c r="C1760" t="s">
        <v>27</v>
      </c>
      <c r="D1760">
        <v>114.80335103460897</v>
      </c>
    </row>
    <row r="1761" spans="1:4" x14ac:dyDescent="0.35">
      <c r="A1761" t="s">
        <v>17</v>
      </c>
      <c r="B1761" t="s">
        <v>5</v>
      </c>
      <c r="C1761" t="s">
        <v>27</v>
      </c>
      <c r="D1761">
        <v>0</v>
      </c>
    </row>
    <row r="1762" spans="1:4" x14ac:dyDescent="0.35">
      <c r="A1762" t="s">
        <v>18</v>
      </c>
      <c r="B1762" t="s">
        <v>5</v>
      </c>
      <c r="C1762" t="s">
        <v>27</v>
      </c>
      <c r="D1762">
        <v>0</v>
      </c>
    </row>
    <row r="1763" spans="1:4" x14ac:dyDescent="0.35">
      <c r="A1763" t="s">
        <v>19</v>
      </c>
      <c r="B1763" t="s">
        <v>5</v>
      </c>
      <c r="C1763" t="s">
        <v>27</v>
      </c>
      <c r="D1763">
        <v>0</v>
      </c>
    </row>
    <row r="1764" spans="1:4" x14ac:dyDescent="0.35">
      <c r="A1764" t="s">
        <v>20</v>
      </c>
      <c r="B1764" t="s">
        <v>5</v>
      </c>
      <c r="C1764" t="s">
        <v>27</v>
      </c>
      <c r="D1764">
        <v>0</v>
      </c>
    </row>
    <row r="1765" spans="1:4" x14ac:dyDescent="0.35">
      <c r="A1765" t="s">
        <v>21</v>
      </c>
      <c r="B1765" t="s">
        <v>5</v>
      </c>
      <c r="C1765" t="s">
        <v>27</v>
      </c>
      <c r="D1765">
        <v>457.43607937114723</v>
      </c>
    </row>
    <row r="1766" spans="1:4" x14ac:dyDescent="0.35">
      <c r="A1766" t="s">
        <v>22</v>
      </c>
      <c r="B1766" t="s">
        <v>5</v>
      </c>
      <c r="C1766" t="s">
        <v>27</v>
      </c>
      <c r="D1766">
        <v>34.727362507080464</v>
      </c>
    </row>
    <row r="1767" spans="1:4" x14ac:dyDescent="0.35">
      <c r="A1767" t="s">
        <v>23</v>
      </c>
      <c r="B1767" t="s">
        <v>5</v>
      </c>
      <c r="C1767" t="s">
        <v>27</v>
      </c>
      <c r="D1767">
        <v>1.1980522834720988</v>
      </c>
    </row>
    <row r="1768" spans="1:4" x14ac:dyDescent="0.35">
      <c r="A1768" t="s">
        <v>24</v>
      </c>
      <c r="B1768" t="s">
        <v>5</v>
      </c>
      <c r="C1768" t="s">
        <v>27</v>
      </c>
      <c r="D1768">
        <v>5.1390573352060001</v>
      </c>
    </row>
    <row r="1769" spans="1:4" x14ac:dyDescent="0.35">
      <c r="A1769" t="s">
        <v>25</v>
      </c>
      <c r="B1769" t="s">
        <v>5</v>
      </c>
      <c r="C1769" t="s">
        <v>27</v>
      </c>
      <c r="D1769">
        <v>19.964085082525362</v>
      </c>
    </row>
    <row r="1770" spans="1:4" x14ac:dyDescent="0.35">
      <c r="A1770" t="s">
        <v>26</v>
      </c>
      <c r="B1770" t="s">
        <v>5</v>
      </c>
      <c r="C1770" t="s">
        <v>27</v>
      </c>
      <c r="D1770">
        <v>0</v>
      </c>
    </row>
    <row r="1771" spans="1:4" x14ac:dyDescent="0.35">
      <c r="A1771" t="s">
        <v>27</v>
      </c>
      <c r="B1771" t="s">
        <v>5</v>
      </c>
      <c r="C1771" t="s">
        <v>27</v>
      </c>
      <c r="D1771">
        <v>3.4971599766880619</v>
      </c>
    </row>
    <row r="1772" spans="1:4" x14ac:dyDescent="0.35">
      <c r="A1772" t="s">
        <v>28</v>
      </c>
      <c r="B1772" t="s">
        <v>5</v>
      </c>
      <c r="C1772" t="s">
        <v>27</v>
      </c>
      <c r="D1772">
        <v>0</v>
      </c>
    </row>
    <row r="1773" spans="1:4" x14ac:dyDescent="0.35">
      <c r="A1773" t="s">
        <v>29</v>
      </c>
      <c r="B1773" t="s">
        <v>5</v>
      </c>
      <c r="C1773" t="s">
        <v>27</v>
      </c>
      <c r="D1773">
        <v>0.15060046154753737</v>
      </c>
    </row>
    <row r="1774" spans="1:4" x14ac:dyDescent="0.35">
      <c r="A1774" t="s">
        <v>30</v>
      </c>
      <c r="B1774" t="s">
        <v>5</v>
      </c>
      <c r="C1774" t="s">
        <v>27</v>
      </c>
      <c r="D1774">
        <v>0.71703588133007667</v>
      </c>
    </row>
    <row r="1775" spans="1:4" x14ac:dyDescent="0.35">
      <c r="A1775" t="s">
        <v>31</v>
      </c>
      <c r="B1775" t="s">
        <v>5</v>
      </c>
      <c r="C1775" t="s">
        <v>27</v>
      </c>
      <c r="D1775">
        <v>1.0466467126066814</v>
      </c>
    </row>
    <row r="1776" spans="1:4" x14ac:dyDescent="0.35">
      <c r="A1776" t="s">
        <v>32</v>
      </c>
      <c r="B1776" t="s">
        <v>5</v>
      </c>
      <c r="C1776" t="s">
        <v>27</v>
      </c>
      <c r="D1776">
        <v>0.89563214002084612</v>
      </c>
    </row>
    <row r="1777" spans="1:4" x14ac:dyDescent="0.35">
      <c r="A1777" t="s">
        <v>33</v>
      </c>
      <c r="B1777" t="s">
        <v>5</v>
      </c>
      <c r="C1777" t="s">
        <v>27</v>
      </c>
      <c r="D1777">
        <v>1.3636473747671503</v>
      </c>
    </row>
    <row r="1778" spans="1:4" x14ac:dyDescent="0.35">
      <c r="A1778" t="s">
        <v>34</v>
      </c>
      <c r="B1778" t="s">
        <v>5</v>
      </c>
      <c r="C1778" t="s">
        <v>27</v>
      </c>
      <c r="D1778">
        <v>6.8143412503937109</v>
      </c>
    </row>
    <row r="1779" spans="1:4" x14ac:dyDescent="0.35">
      <c r="A1779" t="s">
        <v>35</v>
      </c>
      <c r="B1779" t="s">
        <v>5</v>
      </c>
      <c r="C1779" t="s">
        <v>27</v>
      </c>
      <c r="D1779">
        <v>9.3400210218623825E-2</v>
      </c>
    </row>
    <row r="1780" spans="1:4" x14ac:dyDescent="0.35">
      <c r="A1780" t="s">
        <v>36</v>
      </c>
      <c r="B1780" t="s">
        <v>5</v>
      </c>
      <c r="C1780" t="s">
        <v>27</v>
      </c>
      <c r="D1780">
        <v>0</v>
      </c>
    </row>
    <row r="1781" spans="1:4" x14ac:dyDescent="0.35">
      <c r="A1781" t="s">
        <v>37</v>
      </c>
      <c r="B1781" t="s">
        <v>5</v>
      </c>
      <c r="C1781" t="s">
        <v>27</v>
      </c>
      <c r="D1781">
        <v>0.31231490207591284</v>
      </c>
    </row>
    <row r="1782" spans="1:4" x14ac:dyDescent="0.35">
      <c r="A1782" t="s">
        <v>38</v>
      </c>
      <c r="B1782" t="s">
        <v>5</v>
      </c>
      <c r="C1782" t="s">
        <v>27</v>
      </c>
      <c r="D1782">
        <v>0.41773087625019317</v>
      </c>
    </row>
    <row r="1783" spans="1:4" x14ac:dyDescent="0.35">
      <c r="A1783" t="s">
        <v>39</v>
      </c>
      <c r="B1783" t="s">
        <v>5</v>
      </c>
      <c r="C1783" t="s">
        <v>27</v>
      </c>
      <c r="D1783">
        <v>0</v>
      </c>
    </row>
    <row r="1784" spans="1:4" x14ac:dyDescent="0.35">
      <c r="A1784" t="s">
        <v>7</v>
      </c>
      <c r="B1784" t="s">
        <v>5</v>
      </c>
      <c r="C1784" t="s">
        <v>28</v>
      </c>
      <c r="D1784">
        <v>0</v>
      </c>
    </row>
    <row r="1785" spans="1:4" x14ac:dyDescent="0.35">
      <c r="A1785" t="s">
        <v>8</v>
      </c>
      <c r="B1785" t="s">
        <v>5</v>
      </c>
      <c r="C1785" t="s">
        <v>28</v>
      </c>
      <c r="D1785">
        <v>0</v>
      </c>
    </row>
    <row r="1786" spans="1:4" x14ac:dyDescent="0.35">
      <c r="A1786" t="s">
        <v>9</v>
      </c>
      <c r="B1786" t="s">
        <v>5</v>
      </c>
      <c r="C1786" t="s">
        <v>28</v>
      </c>
      <c r="D1786">
        <v>0</v>
      </c>
    </row>
    <row r="1787" spans="1:4" x14ac:dyDescent="0.35">
      <c r="A1787" t="s">
        <v>10</v>
      </c>
      <c r="B1787" t="s">
        <v>5</v>
      </c>
      <c r="C1787" t="s">
        <v>28</v>
      </c>
      <c r="D1787">
        <v>1.5351410147079469E-2</v>
      </c>
    </row>
    <row r="1788" spans="1:4" x14ac:dyDescent="0.35">
      <c r="A1788" t="s">
        <v>11</v>
      </c>
      <c r="B1788" t="s">
        <v>5</v>
      </c>
      <c r="C1788" t="s">
        <v>28</v>
      </c>
      <c r="D1788">
        <v>0</v>
      </c>
    </row>
    <row r="1789" spans="1:4" x14ac:dyDescent="0.35">
      <c r="A1789" t="s">
        <v>12</v>
      </c>
      <c r="B1789" t="s">
        <v>5</v>
      </c>
      <c r="C1789" t="s">
        <v>28</v>
      </c>
      <c r="D1789">
        <v>0</v>
      </c>
    </row>
    <row r="1790" spans="1:4" x14ac:dyDescent="0.35">
      <c r="A1790" t="s">
        <v>13</v>
      </c>
      <c r="B1790" t="s">
        <v>5</v>
      </c>
      <c r="C1790" t="s">
        <v>28</v>
      </c>
      <c r="D1790">
        <v>3.0225888429388905</v>
      </c>
    </row>
    <row r="1791" spans="1:4" x14ac:dyDescent="0.35">
      <c r="A1791" t="s">
        <v>14</v>
      </c>
      <c r="B1791" t="s">
        <v>5</v>
      </c>
      <c r="C1791" t="s">
        <v>28</v>
      </c>
      <c r="D1791">
        <v>33.301803419055837</v>
      </c>
    </row>
    <row r="1792" spans="1:4" x14ac:dyDescent="0.35">
      <c r="A1792" t="s">
        <v>15</v>
      </c>
      <c r="B1792" t="s">
        <v>5</v>
      </c>
      <c r="C1792" t="s">
        <v>28</v>
      </c>
      <c r="D1792">
        <v>4.4006453263136826E-2</v>
      </c>
    </row>
    <row r="1793" spans="1:4" x14ac:dyDescent="0.35">
      <c r="A1793" t="s">
        <v>16</v>
      </c>
      <c r="B1793" t="s">
        <v>5</v>
      </c>
      <c r="C1793" t="s">
        <v>28</v>
      </c>
      <c r="D1793">
        <v>5.6716995342766419E-2</v>
      </c>
    </row>
    <row r="1794" spans="1:4" x14ac:dyDescent="0.35">
      <c r="A1794" t="s">
        <v>17</v>
      </c>
      <c r="B1794" t="s">
        <v>5</v>
      </c>
      <c r="C1794" t="s">
        <v>28</v>
      </c>
      <c r="D1794">
        <v>0</v>
      </c>
    </row>
    <row r="1795" spans="1:4" x14ac:dyDescent="0.35">
      <c r="A1795" t="s">
        <v>18</v>
      </c>
      <c r="B1795" t="s">
        <v>5</v>
      </c>
      <c r="C1795" t="s">
        <v>28</v>
      </c>
      <c r="D1795">
        <v>0</v>
      </c>
    </row>
    <row r="1796" spans="1:4" x14ac:dyDescent="0.35">
      <c r="A1796" t="s">
        <v>19</v>
      </c>
      <c r="B1796" t="s">
        <v>5</v>
      </c>
      <c r="C1796" t="s">
        <v>28</v>
      </c>
      <c r="D1796">
        <v>0</v>
      </c>
    </row>
    <row r="1797" spans="1:4" x14ac:dyDescent="0.35">
      <c r="A1797" t="s">
        <v>20</v>
      </c>
      <c r="B1797" t="s">
        <v>5</v>
      </c>
      <c r="C1797" t="s">
        <v>28</v>
      </c>
      <c r="D1797">
        <v>0</v>
      </c>
    </row>
    <row r="1798" spans="1:4" x14ac:dyDescent="0.35">
      <c r="A1798" t="s">
        <v>21</v>
      </c>
      <c r="B1798" t="s">
        <v>5</v>
      </c>
      <c r="C1798" t="s">
        <v>28</v>
      </c>
      <c r="D1798">
        <v>7.7106416694907196</v>
      </c>
    </row>
    <row r="1799" spans="1:4" x14ac:dyDescent="0.35">
      <c r="A1799" t="s">
        <v>22</v>
      </c>
      <c r="B1799" t="s">
        <v>5</v>
      </c>
      <c r="C1799" t="s">
        <v>28</v>
      </c>
      <c r="D1799">
        <v>2.4029010281190586</v>
      </c>
    </row>
    <row r="1800" spans="1:4" x14ac:dyDescent="0.35">
      <c r="A1800" t="s">
        <v>23</v>
      </c>
      <c r="B1800" t="s">
        <v>5</v>
      </c>
      <c r="C1800" t="s">
        <v>28</v>
      </c>
      <c r="D1800">
        <v>9.1807290712729098E-2</v>
      </c>
    </row>
    <row r="1801" spans="1:4" x14ac:dyDescent="0.35">
      <c r="A1801" t="s">
        <v>24</v>
      </c>
      <c r="B1801" t="s">
        <v>5</v>
      </c>
      <c r="C1801" t="s">
        <v>28</v>
      </c>
      <c r="D1801">
        <v>1.1440082644890919</v>
      </c>
    </row>
    <row r="1802" spans="1:4" x14ac:dyDescent="0.35">
      <c r="A1802" t="s">
        <v>25</v>
      </c>
      <c r="B1802" t="s">
        <v>5</v>
      </c>
      <c r="C1802" t="s">
        <v>28</v>
      </c>
      <c r="D1802">
        <v>1.3991400461183072</v>
      </c>
    </row>
    <row r="1803" spans="1:4" x14ac:dyDescent="0.35">
      <c r="A1803" t="s">
        <v>26</v>
      </c>
      <c r="B1803" t="s">
        <v>5</v>
      </c>
      <c r="C1803" t="s">
        <v>28</v>
      </c>
      <c r="D1803">
        <v>0</v>
      </c>
    </row>
    <row r="1804" spans="1:4" x14ac:dyDescent="0.35">
      <c r="A1804" t="s">
        <v>27</v>
      </c>
      <c r="B1804" t="s">
        <v>5</v>
      </c>
      <c r="C1804" t="s">
        <v>28</v>
      </c>
      <c r="D1804">
        <v>0.13377524440244398</v>
      </c>
    </row>
    <row r="1805" spans="1:4" x14ac:dyDescent="0.35">
      <c r="A1805" t="s">
        <v>28</v>
      </c>
      <c r="B1805" t="s">
        <v>5</v>
      </c>
      <c r="C1805" t="s">
        <v>28</v>
      </c>
      <c r="D1805">
        <v>0</v>
      </c>
    </row>
    <row r="1806" spans="1:4" x14ac:dyDescent="0.35">
      <c r="A1806" t="s">
        <v>29</v>
      </c>
      <c r="B1806" t="s">
        <v>5</v>
      </c>
      <c r="C1806" t="s">
        <v>28</v>
      </c>
      <c r="D1806">
        <v>3.3290967061352879</v>
      </c>
    </row>
    <row r="1807" spans="1:4" x14ac:dyDescent="0.35">
      <c r="A1807" t="s">
        <v>30</v>
      </c>
      <c r="B1807" t="s">
        <v>5</v>
      </c>
      <c r="C1807" t="s">
        <v>28</v>
      </c>
      <c r="D1807">
        <v>4.6239046605258176</v>
      </c>
    </row>
    <row r="1808" spans="1:4" x14ac:dyDescent="0.35">
      <c r="A1808" t="s">
        <v>31</v>
      </c>
      <c r="B1808" t="s">
        <v>5</v>
      </c>
      <c r="C1808" t="s">
        <v>28</v>
      </c>
      <c r="D1808">
        <v>0.27344052236427346</v>
      </c>
    </row>
    <row r="1809" spans="1:4" x14ac:dyDescent="0.35">
      <c r="A1809" t="s">
        <v>32</v>
      </c>
      <c r="B1809" t="s">
        <v>5</v>
      </c>
      <c r="C1809" t="s">
        <v>28</v>
      </c>
      <c r="D1809">
        <v>0.28260249547976912</v>
      </c>
    </row>
    <row r="1810" spans="1:4" x14ac:dyDescent="0.35">
      <c r="A1810" t="s">
        <v>33</v>
      </c>
      <c r="B1810" t="s">
        <v>5</v>
      </c>
      <c r="C1810" t="s">
        <v>28</v>
      </c>
      <c r="D1810">
        <v>0.64041829929826333</v>
      </c>
    </row>
    <row r="1811" spans="1:4" x14ac:dyDescent="0.35">
      <c r="A1811" t="s">
        <v>34</v>
      </c>
      <c r="B1811" t="s">
        <v>5</v>
      </c>
      <c r="C1811" t="s">
        <v>28</v>
      </c>
      <c r="D1811">
        <v>1.1429959699857319</v>
      </c>
    </row>
    <row r="1812" spans="1:4" x14ac:dyDescent="0.35">
      <c r="A1812" t="s">
        <v>35</v>
      </c>
      <c r="B1812" t="s">
        <v>5</v>
      </c>
      <c r="C1812" t="s">
        <v>28</v>
      </c>
      <c r="D1812">
        <v>1.6960082840251918E-2</v>
      </c>
    </row>
    <row r="1813" spans="1:4" x14ac:dyDescent="0.35">
      <c r="A1813" t="s">
        <v>36</v>
      </c>
      <c r="B1813" t="s">
        <v>5</v>
      </c>
      <c r="C1813" t="s">
        <v>28</v>
      </c>
      <c r="D1813">
        <v>0</v>
      </c>
    </row>
    <row r="1814" spans="1:4" x14ac:dyDescent="0.35">
      <c r="A1814" t="s">
        <v>37</v>
      </c>
      <c r="B1814" t="s">
        <v>5</v>
      </c>
      <c r="C1814" t="s">
        <v>28</v>
      </c>
      <c r="D1814">
        <v>1.8239001980052845E-3</v>
      </c>
    </row>
    <row r="1815" spans="1:4" x14ac:dyDescent="0.35">
      <c r="A1815" t="s">
        <v>38</v>
      </c>
      <c r="B1815" t="s">
        <v>5</v>
      </c>
      <c r="C1815" t="s">
        <v>28</v>
      </c>
      <c r="D1815">
        <v>0.14666809316997764</v>
      </c>
    </row>
    <row r="1816" spans="1:4" x14ac:dyDescent="0.35">
      <c r="A1816" t="s">
        <v>39</v>
      </c>
      <c r="B1816" t="s">
        <v>5</v>
      </c>
      <c r="C1816" t="s">
        <v>28</v>
      </c>
      <c r="D1816">
        <v>0</v>
      </c>
    </row>
    <row r="1817" spans="1:4" x14ac:dyDescent="0.35">
      <c r="A1817" t="s">
        <v>7</v>
      </c>
      <c r="B1817" t="s">
        <v>5</v>
      </c>
      <c r="C1817" t="s">
        <v>29</v>
      </c>
      <c r="D1817">
        <v>508.28916326064598</v>
      </c>
    </row>
    <row r="1818" spans="1:4" x14ac:dyDescent="0.35">
      <c r="A1818" t="s">
        <v>8</v>
      </c>
      <c r="B1818" t="s">
        <v>5</v>
      </c>
      <c r="C1818" t="s">
        <v>29</v>
      </c>
      <c r="D1818">
        <v>0</v>
      </c>
    </row>
    <row r="1819" spans="1:4" x14ac:dyDescent="0.35">
      <c r="A1819" t="s">
        <v>9</v>
      </c>
      <c r="B1819" t="s">
        <v>5</v>
      </c>
      <c r="C1819" t="s">
        <v>29</v>
      </c>
      <c r="D1819">
        <v>1760.8703134047003</v>
      </c>
    </row>
    <row r="1820" spans="1:4" x14ac:dyDescent="0.35">
      <c r="A1820" t="s">
        <v>10</v>
      </c>
      <c r="B1820" t="s">
        <v>5</v>
      </c>
      <c r="C1820" t="s">
        <v>29</v>
      </c>
      <c r="D1820">
        <v>215.06964195836548</v>
      </c>
    </row>
    <row r="1821" spans="1:4" x14ac:dyDescent="0.35">
      <c r="A1821" t="s">
        <v>11</v>
      </c>
      <c r="B1821" t="s">
        <v>5</v>
      </c>
      <c r="C1821" t="s">
        <v>29</v>
      </c>
      <c r="D1821">
        <v>84.011534532722635</v>
      </c>
    </row>
    <row r="1822" spans="1:4" x14ac:dyDescent="0.35">
      <c r="A1822" t="s">
        <v>12</v>
      </c>
      <c r="B1822" t="s">
        <v>5</v>
      </c>
      <c r="C1822" t="s">
        <v>29</v>
      </c>
      <c r="D1822">
        <v>0</v>
      </c>
    </row>
    <row r="1823" spans="1:4" x14ac:dyDescent="0.35">
      <c r="A1823" t="s">
        <v>13</v>
      </c>
      <c r="B1823" t="s">
        <v>5</v>
      </c>
      <c r="C1823" t="s">
        <v>29</v>
      </c>
      <c r="D1823">
        <v>61.174150413591249</v>
      </c>
    </row>
    <row r="1824" spans="1:4" x14ac:dyDescent="0.35">
      <c r="A1824" t="s">
        <v>14</v>
      </c>
      <c r="B1824" t="s">
        <v>5</v>
      </c>
      <c r="C1824" t="s">
        <v>29</v>
      </c>
      <c r="D1824">
        <v>17173.864966310692</v>
      </c>
    </row>
    <row r="1825" spans="1:4" x14ac:dyDescent="0.35">
      <c r="A1825" t="s">
        <v>15</v>
      </c>
      <c r="B1825" t="s">
        <v>5</v>
      </c>
      <c r="C1825" t="s">
        <v>29</v>
      </c>
      <c r="D1825">
        <v>328.83006336788992</v>
      </c>
    </row>
    <row r="1826" spans="1:4" x14ac:dyDescent="0.35">
      <c r="A1826" t="s">
        <v>16</v>
      </c>
      <c r="B1826" t="s">
        <v>5</v>
      </c>
      <c r="C1826" t="s">
        <v>29</v>
      </c>
      <c r="D1826">
        <v>0</v>
      </c>
    </row>
    <row r="1827" spans="1:4" x14ac:dyDescent="0.35">
      <c r="A1827" t="s">
        <v>17</v>
      </c>
      <c r="B1827" t="s">
        <v>5</v>
      </c>
      <c r="C1827" t="s">
        <v>29</v>
      </c>
      <c r="D1827">
        <v>0</v>
      </c>
    </row>
    <row r="1828" spans="1:4" x14ac:dyDescent="0.35">
      <c r="A1828" t="s">
        <v>18</v>
      </c>
      <c r="B1828" t="s">
        <v>5</v>
      </c>
      <c r="C1828" t="s">
        <v>29</v>
      </c>
      <c r="D1828">
        <v>0</v>
      </c>
    </row>
    <row r="1829" spans="1:4" x14ac:dyDescent="0.35">
      <c r="A1829" t="s">
        <v>19</v>
      </c>
      <c r="B1829" t="s">
        <v>5</v>
      </c>
      <c r="C1829" t="s">
        <v>29</v>
      </c>
      <c r="D1829">
        <v>0</v>
      </c>
    </row>
    <row r="1830" spans="1:4" x14ac:dyDescent="0.35">
      <c r="A1830" t="s">
        <v>20</v>
      </c>
      <c r="B1830" t="s">
        <v>5</v>
      </c>
      <c r="C1830" t="s">
        <v>29</v>
      </c>
      <c r="D1830">
        <v>0</v>
      </c>
    </row>
    <row r="1831" spans="1:4" x14ac:dyDescent="0.35">
      <c r="A1831" t="s">
        <v>21</v>
      </c>
      <c r="B1831" t="s">
        <v>5</v>
      </c>
      <c r="C1831" t="s">
        <v>29</v>
      </c>
      <c r="D1831">
        <v>1131.0334377303207</v>
      </c>
    </row>
    <row r="1832" spans="1:4" x14ac:dyDescent="0.35">
      <c r="A1832" t="s">
        <v>22</v>
      </c>
      <c r="B1832" t="s">
        <v>5</v>
      </c>
      <c r="C1832" t="s">
        <v>29</v>
      </c>
      <c r="D1832">
        <v>996.33647860676422</v>
      </c>
    </row>
    <row r="1833" spans="1:4" x14ac:dyDescent="0.35">
      <c r="A1833" t="s">
        <v>23</v>
      </c>
      <c r="B1833" t="s">
        <v>5</v>
      </c>
      <c r="C1833" t="s">
        <v>29</v>
      </c>
      <c r="D1833">
        <v>1.2185526463813237</v>
      </c>
    </row>
    <row r="1834" spans="1:4" x14ac:dyDescent="0.35">
      <c r="A1834" t="s">
        <v>24</v>
      </c>
      <c r="B1834" t="s">
        <v>5</v>
      </c>
      <c r="C1834" t="s">
        <v>29</v>
      </c>
      <c r="D1834">
        <v>10.828802797591738</v>
      </c>
    </row>
    <row r="1835" spans="1:4" x14ac:dyDescent="0.35">
      <c r="A1835" t="s">
        <v>25</v>
      </c>
      <c r="B1835" t="s">
        <v>5</v>
      </c>
      <c r="C1835" t="s">
        <v>29</v>
      </c>
      <c r="D1835">
        <v>69.787466147563677</v>
      </c>
    </row>
    <row r="1836" spans="1:4" x14ac:dyDescent="0.35">
      <c r="A1836" t="s">
        <v>26</v>
      </c>
      <c r="B1836" t="s">
        <v>5</v>
      </c>
      <c r="C1836" t="s">
        <v>29</v>
      </c>
      <c r="D1836">
        <v>22.946167328581531</v>
      </c>
    </row>
    <row r="1837" spans="1:4" x14ac:dyDescent="0.35">
      <c r="A1837" t="s">
        <v>27</v>
      </c>
      <c r="B1837" t="s">
        <v>5</v>
      </c>
      <c r="C1837" t="s">
        <v>29</v>
      </c>
      <c r="D1837">
        <v>13.95956404092777</v>
      </c>
    </row>
    <row r="1838" spans="1:4" x14ac:dyDescent="0.35">
      <c r="A1838" t="s">
        <v>28</v>
      </c>
      <c r="B1838" t="s">
        <v>5</v>
      </c>
      <c r="C1838" t="s">
        <v>29</v>
      </c>
      <c r="D1838">
        <v>0</v>
      </c>
    </row>
    <row r="1839" spans="1:4" x14ac:dyDescent="0.35">
      <c r="A1839" t="s">
        <v>29</v>
      </c>
      <c r="B1839" t="s">
        <v>5</v>
      </c>
      <c r="C1839" t="s">
        <v>29</v>
      </c>
      <c r="D1839">
        <v>0</v>
      </c>
    </row>
    <row r="1840" spans="1:4" x14ac:dyDescent="0.35">
      <c r="A1840" t="s">
        <v>30</v>
      </c>
      <c r="B1840" t="s">
        <v>5</v>
      </c>
      <c r="C1840" t="s">
        <v>29</v>
      </c>
      <c r="D1840">
        <v>39.956103396098982</v>
      </c>
    </row>
    <row r="1841" spans="1:4" x14ac:dyDescent="0.35">
      <c r="A1841" t="s">
        <v>31</v>
      </c>
      <c r="B1841" t="s">
        <v>5</v>
      </c>
      <c r="C1841" t="s">
        <v>29</v>
      </c>
      <c r="D1841">
        <v>40.818328757602515</v>
      </c>
    </row>
    <row r="1842" spans="1:4" x14ac:dyDescent="0.35">
      <c r="A1842" t="s">
        <v>32</v>
      </c>
      <c r="B1842" t="s">
        <v>5</v>
      </c>
      <c r="C1842" t="s">
        <v>29</v>
      </c>
      <c r="D1842">
        <v>10.695342306607033</v>
      </c>
    </row>
    <row r="1843" spans="1:4" x14ac:dyDescent="0.35">
      <c r="A1843" t="s">
        <v>33</v>
      </c>
      <c r="B1843" t="s">
        <v>5</v>
      </c>
      <c r="C1843" t="s">
        <v>29</v>
      </c>
      <c r="D1843">
        <v>17.090034338466872</v>
      </c>
    </row>
    <row r="1844" spans="1:4" x14ac:dyDescent="0.35">
      <c r="A1844" t="s">
        <v>34</v>
      </c>
      <c r="B1844" t="s">
        <v>5</v>
      </c>
      <c r="C1844" t="s">
        <v>29</v>
      </c>
      <c r="D1844">
        <v>95.064000886179329</v>
      </c>
    </row>
    <row r="1845" spans="1:4" x14ac:dyDescent="0.35">
      <c r="A1845" t="s">
        <v>35</v>
      </c>
      <c r="B1845" t="s">
        <v>5</v>
      </c>
      <c r="C1845" t="s">
        <v>29</v>
      </c>
      <c r="D1845">
        <v>4.5926557155965542</v>
      </c>
    </row>
    <row r="1846" spans="1:4" x14ac:dyDescent="0.35">
      <c r="A1846" t="s">
        <v>36</v>
      </c>
      <c r="B1846" t="s">
        <v>5</v>
      </c>
      <c r="C1846" t="s">
        <v>29</v>
      </c>
      <c r="D1846">
        <v>0</v>
      </c>
    </row>
    <row r="1847" spans="1:4" x14ac:dyDescent="0.35">
      <c r="A1847" t="s">
        <v>37</v>
      </c>
      <c r="B1847" t="s">
        <v>5</v>
      </c>
      <c r="C1847" t="s">
        <v>29</v>
      </c>
      <c r="D1847">
        <v>0</v>
      </c>
    </row>
    <row r="1848" spans="1:4" x14ac:dyDescent="0.35">
      <c r="A1848" t="s">
        <v>38</v>
      </c>
      <c r="B1848" t="s">
        <v>5</v>
      </c>
      <c r="C1848" t="s">
        <v>29</v>
      </c>
      <c r="D1848">
        <v>0</v>
      </c>
    </row>
    <row r="1849" spans="1:4" x14ac:dyDescent="0.35">
      <c r="A1849" t="s">
        <v>39</v>
      </c>
      <c r="B1849" t="s">
        <v>5</v>
      </c>
      <c r="C1849" t="s">
        <v>29</v>
      </c>
      <c r="D1849">
        <v>0</v>
      </c>
    </row>
    <row r="1850" spans="1:4" x14ac:dyDescent="0.35">
      <c r="A1850" t="s">
        <v>7</v>
      </c>
      <c r="B1850" t="s">
        <v>5</v>
      </c>
      <c r="C1850" t="s">
        <v>30</v>
      </c>
      <c r="D1850">
        <v>0</v>
      </c>
    </row>
    <row r="1851" spans="1:4" x14ac:dyDescent="0.35">
      <c r="A1851" t="s">
        <v>8</v>
      </c>
      <c r="B1851" t="s">
        <v>5</v>
      </c>
      <c r="C1851" t="s">
        <v>30</v>
      </c>
      <c r="D1851">
        <v>376.42213115485168</v>
      </c>
    </row>
    <row r="1852" spans="1:4" x14ac:dyDescent="0.35">
      <c r="A1852" t="s">
        <v>9</v>
      </c>
      <c r="B1852" t="s">
        <v>5</v>
      </c>
      <c r="C1852" t="s">
        <v>30</v>
      </c>
      <c r="D1852">
        <v>30.86602254964485</v>
      </c>
    </row>
    <row r="1853" spans="1:4" x14ac:dyDescent="0.35">
      <c r="A1853" t="s">
        <v>10</v>
      </c>
      <c r="B1853" t="s">
        <v>5</v>
      </c>
      <c r="C1853" t="s">
        <v>30</v>
      </c>
      <c r="D1853">
        <v>153.76289190863974</v>
      </c>
    </row>
    <row r="1854" spans="1:4" x14ac:dyDescent="0.35">
      <c r="A1854" t="s">
        <v>11</v>
      </c>
      <c r="B1854" t="s">
        <v>5</v>
      </c>
      <c r="C1854" t="s">
        <v>30</v>
      </c>
      <c r="D1854">
        <v>0</v>
      </c>
    </row>
    <row r="1855" spans="1:4" x14ac:dyDescent="0.35">
      <c r="A1855" t="s">
        <v>12</v>
      </c>
      <c r="B1855" t="s">
        <v>5</v>
      </c>
      <c r="C1855" t="s">
        <v>30</v>
      </c>
      <c r="D1855">
        <v>827.95884215892329</v>
      </c>
    </row>
    <row r="1856" spans="1:4" x14ac:dyDescent="0.35">
      <c r="A1856" t="s">
        <v>13</v>
      </c>
      <c r="B1856" t="s">
        <v>5</v>
      </c>
      <c r="C1856" t="s">
        <v>30</v>
      </c>
      <c r="D1856">
        <v>25.391525436248948</v>
      </c>
    </row>
    <row r="1857" spans="1:4" x14ac:dyDescent="0.35">
      <c r="A1857" t="s">
        <v>14</v>
      </c>
      <c r="B1857" t="s">
        <v>5</v>
      </c>
      <c r="C1857" t="s">
        <v>30</v>
      </c>
      <c r="D1857">
        <v>710.30994099649001</v>
      </c>
    </row>
    <row r="1858" spans="1:4" x14ac:dyDescent="0.35">
      <c r="A1858" t="s">
        <v>15</v>
      </c>
      <c r="B1858" t="s">
        <v>5</v>
      </c>
      <c r="C1858" t="s">
        <v>30</v>
      </c>
      <c r="D1858">
        <v>4.6706185757112193</v>
      </c>
    </row>
    <row r="1859" spans="1:4" x14ac:dyDescent="0.35">
      <c r="A1859" t="s">
        <v>16</v>
      </c>
      <c r="B1859" t="s">
        <v>5</v>
      </c>
      <c r="C1859" t="s">
        <v>30</v>
      </c>
      <c r="D1859">
        <v>71.515066466305456</v>
      </c>
    </row>
    <row r="1860" spans="1:4" x14ac:dyDescent="0.35">
      <c r="A1860" t="s">
        <v>17</v>
      </c>
      <c r="B1860" t="s">
        <v>5</v>
      </c>
      <c r="C1860" t="s">
        <v>30</v>
      </c>
      <c r="D1860">
        <v>0</v>
      </c>
    </row>
    <row r="1861" spans="1:4" x14ac:dyDescent="0.35">
      <c r="A1861" t="s">
        <v>18</v>
      </c>
      <c r="B1861" t="s">
        <v>5</v>
      </c>
      <c r="C1861" t="s">
        <v>30</v>
      </c>
      <c r="D1861">
        <v>6.9045912688240299E-2</v>
      </c>
    </row>
    <row r="1862" spans="1:4" x14ac:dyDescent="0.35">
      <c r="A1862" t="s">
        <v>19</v>
      </c>
      <c r="B1862" t="s">
        <v>5</v>
      </c>
      <c r="C1862" t="s">
        <v>30</v>
      </c>
      <c r="D1862">
        <v>754.60599193252449</v>
      </c>
    </row>
    <row r="1863" spans="1:4" x14ac:dyDescent="0.35">
      <c r="A1863" t="s">
        <v>20</v>
      </c>
      <c r="B1863" t="s">
        <v>5</v>
      </c>
      <c r="C1863" t="s">
        <v>30</v>
      </c>
      <c r="D1863">
        <v>0</v>
      </c>
    </row>
    <row r="1864" spans="1:4" x14ac:dyDescent="0.35">
      <c r="A1864" t="s">
        <v>21</v>
      </c>
      <c r="B1864" t="s">
        <v>5</v>
      </c>
      <c r="C1864" t="s">
        <v>30</v>
      </c>
      <c r="D1864">
        <v>249.41003153381766</v>
      </c>
    </row>
    <row r="1865" spans="1:4" x14ac:dyDescent="0.35">
      <c r="A1865" t="s">
        <v>22</v>
      </c>
      <c r="B1865" t="s">
        <v>5</v>
      </c>
      <c r="C1865" t="s">
        <v>30</v>
      </c>
      <c r="D1865">
        <v>162.50661487428755</v>
      </c>
    </row>
    <row r="1866" spans="1:4" x14ac:dyDescent="0.35">
      <c r="A1866" t="s">
        <v>23</v>
      </c>
      <c r="B1866" t="s">
        <v>5</v>
      </c>
      <c r="C1866" t="s">
        <v>30</v>
      </c>
      <c r="D1866">
        <v>10.728802448510992</v>
      </c>
    </row>
    <row r="1867" spans="1:4" x14ac:dyDescent="0.35">
      <c r="A1867" t="s">
        <v>24</v>
      </c>
      <c r="B1867" t="s">
        <v>5</v>
      </c>
      <c r="C1867" t="s">
        <v>30</v>
      </c>
      <c r="D1867">
        <v>13.997108011013285</v>
      </c>
    </row>
    <row r="1868" spans="1:4" x14ac:dyDescent="0.35">
      <c r="A1868" t="s">
        <v>25</v>
      </c>
      <c r="B1868" t="s">
        <v>5</v>
      </c>
      <c r="C1868" t="s">
        <v>30</v>
      </c>
      <c r="D1868">
        <v>42.957548972724801</v>
      </c>
    </row>
    <row r="1869" spans="1:4" x14ac:dyDescent="0.35">
      <c r="A1869" t="s">
        <v>26</v>
      </c>
      <c r="B1869" t="s">
        <v>5</v>
      </c>
      <c r="C1869" t="s">
        <v>30</v>
      </c>
      <c r="D1869">
        <v>6.3276782762791957</v>
      </c>
    </row>
    <row r="1870" spans="1:4" x14ac:dyDescent="0.35">
      <c r="A1870" t="s">
        <v>27</v>
      </c>
      <c r="B1870" t="s">
        <v>5</v>
      </c>
      <c r="C1870" t="s">
        <v>30</v>
      </c>
      <c r="D1870">
        <v>65.274087610559391</v>
      </c>
    </row>
    <row r="1871" spans="1:4" x14ac:dyDescent="0.35">
      <c r="A1871" t="s">
        <v>28</v>
      </c>
      <c r="B1871" t="s">
        <v>5</v>
      </c>
      <c r="C1871" t="s">
        <v>30</v>
      </c>
      <c r="D1871">
        <v>0</v>
      </c>
    </row>
    <row r="1872" spans="1:4" x14ac:dyDescent="0.35">
      <c r="A1872" t="s">
        <v>29</v>
      </c>
      <c r="B1872" t="s">
        <v>5</v>
      </c>
      <c r="C1872" t="s">
        <v>30</v>
      </c>
      <c r="D1872">
        <v>70.315117828220167</v>
      </c>
    </row>
    <row r="1873" spans="1:4" x14ac:dyDescent="0.35">
      <c r="A1873" t="s">
        <v>30</v>
      </c>
      <c r="B1873" t="s">
        <v>5</v>
      </c>
      <c r="C1873" t="s">
        <v>30</v>
      </c>
      <c r="D1873">
        <v>54.264854933899414</v>
      </c>
    </row>
    <row r="1874" spans="1:4" x14ac:dyDescent="0.35">
      <c r="A1874" t="s">
        <v>31</v>
      </c>
      <c r="B1874" t="s">
        <v>5</v>
      </c>
      <c r="C1874" t="s">
        <v>30</v>
      </c>
      <c r="D1874">
        <v>5.053228320744676</v>
      </c>
    </row>
    <row r="1875" spans="1:4" x14ac:dyDescent="0.35">
      <c r="A1875" t="s">
        <v>32</v>
      </c>
      <c r="B1875" t="s">
        <v>5</v>
      </c>
      <c r="C1875" t="s">
        <v>30</v>
      </c>
      <c r="D1875">
        <v>2.9614492059811282</v>
      </c>
    </row>
    <row r="1876" spans="1:4" x14ac:dyDescent="0.35">
      <c r="A1876" t="s">
        <v>33</v>
      </c>
      <c r="B1876" t="s">
        <v>5</v>
      </c>
      <c r="C1876" t="s">
        <v>30</v>
      </c>
      <c r="D1876">
        <v>14.216808602789756</v>
      </c>
    </row>
    <row r="1877" spans="1:4" x14ac:dyDescent="0.35">
      <c r="A1877" t="s">
        <v>34</v>
      </c>
      <c r="B1877" t="s">
        <v>5</v>
      </c>
      <c r="C1877" t="s">
        <v>30</v>
      </c>
      <c r="D1877">
        <v>5.7457535946972573</v>
      </c>
    </row>
    <row r="1878" spans="1:4" x14ac:dyDescent="0.35">
      <c r="A1878" t="s">
        <v>35</v>
      </c>
      <c r="B1878" t="s">
        <v>5</v>
      </c>
      <c r="C1878" t="s">
        <v>30</v>
      </c>
      <c r="D1878">
        <v>0.11735138829639244</v>
      </c>
    </row>
    <row r="1879" spans="1:4" x14ac:dyDescent="0.35">
      <c r="A1879" t="s">
        <v>36</v>
      </c>
      <c r="B1879" t="s">
        <v>5</v>
      </c>
      <c r="C1879" t="s">
        <v>30</v>
      </c>
      <c r="D1879">
        <v>10.294954437439753</v>
      </c>
    </row>
    <row r="1880" spans="1:4" x14ac:dyDescent="0.35">
      <c r="A1880" t="s">
        <v>37</v>
      </c>
      <c r="B1880" t="s">
        <v>5</v>
      </c>
      <c r="C1880" t="s">
        <v>30</v>
      </c>
      <c r="D1880">
        <v>0.14906159391764462</v>
      </c>
    </row>
    <row r="1881" spans="1:4" x14ac:dyDescent="0.35">
      <c r="A1881" t="s">
        <v>38</v>
      </c>
      <c r="B1881" t="s">
        <v>5</v>
      </c>
      <c r="C1881" t="s">
        <v>30</v>
      </c>
      <c r="D1881">
        <v>1.1035600247149218</v>
      </c>
    </row>
    <row r="1882" spans="1:4" x14ac:dyDescent="0.35">
      <c r="A1882" t="s">
        <v>39</v>
      </c>
      <c r="B1882" t="s">
        <v>5</v>
      </c>
      <c r="C1882" t="s">
        <v>30</v>
      </c>
      <c r="D1882">
        <v>0</v>
      </c>
    </row>
    <row r="1883" spans="1:4" x14ac:dyDescent="0.35">
      <c r="A1883" t="s">
        <v>7</v>
      </c>
      <c r="B1883" t="s">
        <v>5</v>
      </c>
      <c r="C1883" t="s">
        <v>31</v>
      </c>
      <c r="D1883">
        <v>0</v>
      </c>
    </row>
    <row r="1884" spans="1:4" x14ac:dyDescent="0.35">
      <c r="A1884" t="s">
        <v>8</v>
      </c>
      <c r="B1884" t="s">
        <v>5</v>
      </c>
      <c r="C1884" t="s">
        <v>31</v>
      </c>
      <c r="D1884">
        <v>0</v>
      </c>
    </row>
    <row r="1885" spans="1:4" x14ac:dyDescent="0.35">
      <c r="A1885" t="s">
        <v>9</v>
      </c>
      <c r="B1885" t="s">
        <v>5</v>
      </c>
      <c r="C1885" t="s">
        <v>31</v>
      </c>
      <c r="D1885">
        <v>0</v>
      </c>
    </row>
    <row r="1886" spans="1:4" x14ac:dyDescent="0.35">
      <c r="A1886" t="s">
        <v>10</v>
      </c>
      <c r="B1886" t="s">
        <v>5</v>
      </c>
      <c r="C1886" t="s">
        <v>31</v>
      </c>
      <c r="D1886">
        <v>73.045020790839558</v>
      </c>
    </row>
    <row r="1887" spans="1:4" x14ac:dyDescent="0.35">
      <c r="A1887" t="s">
        <v>11</v>
      </c>
      <c r="B1887" t="s">
        <v>5</v>
      </c>
      <c r="C1887" t="s">
        <v>31</v>
      </c>
      <c r="D1887">
        <v>31.72735506277953</v>
      </c>
    </row>
    <row r="1888" spans="1:4" x14ac:dyDescent="0.35">
      <c r="A1888" t="s">
        <v>12</v>
      </c>
      <c r="B1888" t="s">
        <v>5</v>
      </c>
      <c r="C1888" t="s">
        <v>31</v>
      </c>
      <c r="D1888">
        <v>0</v>
      </c>
    </row>
    <row r="1889" spans="1:4" x14ac:dyDescent="0.35">
      <c r="A1889" t="s">
        <v>13</v>
      </c>
      <c r="B1889" t="s">
        <v>5</v>
      </c>
      <c r="C1889" t="s">
        <v>31</v>
      </c>
      <c r="D1889">
        <v>101.01644066583088</v>
      </c>
    </row>
    <row r="1890" spans="1:4" x14ac:dyDescent="0.35">
      <c r="A1890" t="s">
        <v>14</v>
      </c>
      <c r="B1890" t="s">
        <v>5</v>
      </c>
      <c r="C1890" t="s">
        <v>31</v>
      </c>
      <c r="D1890">
        <v>245.89860918263929</v>
      </c>
    </row>
    <row r="1891" spans="1:4" x14ac:dyDescent="0.35">
      <c r="A1891" t="s">
        <v>15</v>
      </c>
      <c r="B1891" t="s">
        <v>5</v>
      </c>
      <c r="C1891" t="s">
        <v>31</v>
      </c>
      <c r="D1891">
        <v>2.8826689019778216</v>
      </c>
    </row>
    <row r="1892" spans="1:4" x14ac:dyDescent="0.35">
      <c r="A1892" t="s">
        <v>16</v>
      </c>
      <c r="B1892" t="s">
        <v>5</v>
      </c>
      <c r="C1892" t="s">
        <v>31</v>
      </c>
      <c r="D1892">
        <v>74.600398370288787</v>
      </c>
    </row>
    <row r="1893" spans="1:4" x14ac:dyDescent="0.35">
      <c r="A1893" t="s">
        <v>17</v>
      </c>
      <c r="B1893" t="s">
        <v>5</v>
      </c>
      <c r="C1893" t="s">
        <v>31</v>
      </c>
      <c r="D1893">
        <v>0</v>
      </c>
    </row>
    <row r="1894" spans="1:4" x14ac:dyDescent="0.35">
      <c r="A1894" t="s">
        <v>18</v>
      </c>
      <c r="B1894" t="s">
        <v>5</v>
      </c>
      <c r="C1894" t="s">
        <v>31</v>
      </c>
      <c r="D1894">
        <v>0</v>
      </c>
    </row>
    <row r="1895" spans="1:4" x14ac:dyDescent="0.35">
      <c r="A1895" t="s">
        <v>19</v>
      </c>
      <c r="B1895" t="s">
        <v>5</v>
      </c>
      <c r="C1895" t="s">
        <v>31</v>
      </c>
      <c r="D1895">
        <v>0</v>
      </c>
    </row>
    <row r="1896" spans="1:4" x14ac:dyDescent="0.35">
      <c r="A1896" t="s">
        <v>20</v>
      </c>
      <c r="B1896" t="s">
        <v>5</v>
      </c>
      <c r="C1896" t="s">
        <v>31</v>
      </c>
      <c r="D1896">
        <v>1149.147664050108</v>
      </c>
    </row>
    <row r="1897" spans="1:4" x14ac:dyDescent="0.35">
      <c r="A1897" t="s">
        <v>21</v>
      </c>
      <c r="B1897" t="s">
        <v>5</v>
      </c>
      <c r="C1897" t="s">
        <v>31</v>
      </c>
      <c r="D1897">
        <v>375.33427324871946</v>
      </c>
    </row>
    <row r="1898" spans="1:4" x14ac:dyDescent="0.35">
      <c r="A1898" t="s">
        <v>22</v>
      </c>
      <c r="B1898" t="s">
        <v>5</v>
      </c>
      <c r="C1898" t="s">
        <v>31</v>
      </c>
      <c r="D1898">
        <v>1484.1367007372164</v>
      </c>
    </row>
    <row r="1899" spans="1:4" x14ac:dyDescent="0.35">
      <c r="A1899" t="s">
        <v>23</v>
      </c>
      <c r="B1899" t="s">
        <v>5</v>
      </c>
      <c r="C1899" t="s">
        <v>31</v>
      </c>
      <c r="D1899">
        <v>2.0310168352593974</v>
      </c>
    </row>
    <row r="1900" spans="1:4" x14ac:dyDescent="0.35">
      <c r="A1900" t="s">
        <v>24</v>
      </c>
      <c r="B1900" t="s">
        <v>5</v>
      </c>
      <c r="C1900" t="s">
        <v>31</v>
      </c>
      <c r="D1900">
        <v>3.670388187714543</v>
      </c>
    </row>
    <row r="1901" spans="1:4" x14ac:dyDescent="0.35">
      <c r="A1901" t="s">
        <v>25</v>
      </c>
      <c r="B1901" t="s">
        <v>5</v>
      </c>
      <c r="C1901" t="s">
        <v>31</v>
      </c>
      <c r="D1901">
        <v>14.529279403780517</v>
      </c>
    </row>
    <row r="1902" spans="1:4" x14ac:dyDescent="0.35">
      <c r="A1902" t="s">
        <v>26</v>
      </c>
      <c r="B1902" t="s">
        <v>5</v>
      </c>
      <c r="C1902" t="s">
        <v>31</v>
      </c>
      <c r="D1902">
        <v>0</v>
      </c>
    </row>
    <row r="1903" spans="1:4" x14ac:dyDescent="0.35">
      <c r="A1903" t="s">
        <v>27</v>
      </c>
      <c r="B1903" t="s">
        <v>5</v>
      </c>
      <c r="C1903" t="s">
        <v>31</v>
      </c>
      <c r="D1903">
        <v>11.563737428143439</v>
      </c>
    </row>
    <row r="1904" spans="1:4" x14ac:dyDescent="0.35">
      <c r="A1904" t="s">
        <v>28</v>
      </c>
      <c r="B1904" t="s">
        <v>5</v>
      </c>
      <c r="C1904" t="s">
        <v>31</v>
      </c>
      <c r="D1904">
        <v>0</v>
      </c>
    </row>
    <row r="1905" spans="1:4" x14ac:dyDescent="0.35">
      <c r="A1905" t="s">
        <v>29</v>
      </c>
      <c r="B1905" t="s">
        <v>5</v>
      </c>
      <c r="C1905" t="s">
        <v>31</v>
      </c>
      <c r="D1905">
        <v>29.583641104237348</v>
      </c>
    </row>
    <row r="1906" spans="1:4" x14ac:dyDescent="0.35">
      <c r="A1906" t="s">
        <v>30</v>
      </c>
      <c r="B1906" t="s">
        <v>5</v>
      </c>
      <c r="C1906" t="s">
        <v>31</v>
      </c>
      <c r="D1906">
        <v>11.024955025413862</v>
      </c>
    </row>
    <row r="1907" spans="1:4" x14ac:dyDescent="0.35">
      <c r="A1907" t="s">
        <v>31</v>
      </c>
      <c r="B1907" t="s">
        <v>5</v>
      </c>
      <c r="C1907" t="s">
        <v>31</v>
      </c>
      <c r="D1907">
        <v>56.113020482946254</v>
      </c>
    </row>
    <row r="1908" spans="1:4" x14ac:dyDescent="0.35">
      <c r="A1908" t="s">
        <v>32</v>
      </c>
      <c r="B1908" t="s">
        <v>5</v>
      </c>
      <c r="C1908" t="s">
        <v>31</v>
      </c>
      <c r="D1908">
        <v>5.78192429711142</v>
      </c>
    </row>
    <row r="1909" spans="1:4" x14ac:dyDescent="0.35">
      <c r="A1909" t="s">
        <v>33</v>
      </c>
      <c r="B1909" t="s">
        <v>5</v>
      </c>
      <c r="C1909" t="s">
        <v>31</v>
      </c>
      <c r="D1909">
        <v>16.152593591478389</v>
      </c>
    </row>
    <row r="1910" spans="1:4" x14ac:dyDescent="0.35">
      <c r="A1910" t="s">
        <v>34</v>
      </c>
      <c r="B1910" t="s">
        <v>5</v>
      </c>
      <c r="C1910" t="s">
        <v>31</v>
      </c>
      <c r="D1910">
        <v>26.585579000677747</v>
      </c>
    </row>
    <row r="1911" spans="1:4" x14ac:dyDescent="0.35">
      <c r="A1911" t="s">
        <v>35</v>
      </c>
      <c r="B1911" t="s">
        <v>5</v>
      </c>
      <c r="C1911" t="s">
        <v>31</v>
      </c>
      <c r="D1911">
        <v>5.9764001070482893</v>
      </c>
    </row>
    <row r="1912" spans="1:4" x14ac:dyDescent="0.35">
      <c r="A1912" t="s">
        <v>36</v>
      </c>
      <c r="B1912" t="s">
        <v>5</v>
      </c>
      <c r="C1912" t="s">
        <v>31</v>
      </c>
      <c r="D1912">
        <v>3.5213934463212113</v>
      </c>
    </row>
    <row r="1913" spans="1:4" x14ac:dyDescent="0.35">
      <c r="A1913" t="s">
        <v>37</v>
      </c>
      <c r="B1913" t="s">
        <v>5</v>
      </c>
      <c r="C1913" t="s">
        <v>31</v>
      </c>
      <c r="D1913">
        <v>0.75043136112772635</v>
      </c>
    </row>
    <row r="1914" spans="1:4" x14ac:dyDescent="0.35">
      <c r="A1914" t="s">
        <v>38</v>
      </c>
      <c r="B1914" t="s">
        <v>5</v>
      </c>
      <c r="C1914" t="s">
        <v>31</v>
      </c>
      <c r="D1914">
        <v>0.65532446243037545</v>
      </c>
    </row>
    <row r="1915" spans="1:4" x14ac:dyDescent="0.35">
      <c r="A1915" t="s">
        <v>39</v>
      </c>
      <c r="B1915" t="s">
        <v>5</v>
      </c>
      <c r="C1915" t="s">
        <v>31</v>
      </c>
      <c r="D1915">
        <v>0</v>
      </c>
    </row>
    <row r="1916" spans="1:4" x14ac:dyDescent="0.35">
      <c r="A1916" t="s">
        <v>7</v>
      </c>
      <c r="B1916" t="s">
        <v>5</v>
      </c>
      <c r="C1916" t="s">
        <v>32</v>
      </c>
      <c r="D1916">
        <v>0</v>
      </c>
    </row>
    <row r="1917" spans="1:4" x14ac:dyDescent="0.35">
      <c r="A1917" t="s">
        <v>8</v>
      </c>
      <c r="B1917" t="s">
        <v>5</v>
      </c>
      <c r="C1917" t="s">
        <v>32</v>
      </c>
      <c r="D1917">
        <v>0</v>
      </c>
    </row>
    <row r="1918" spans="1:4" x14ac:dyDescent="0.35">
      <c r="A1918" t="s">
        <v>9</v>
      </c>
      <c r="B1918" t="s">
        <v>5</v>
      </c>
      <c r="C1918" t="s">
        <v>32</v>
      </c>
      <c r="D1918">
        <v>0</v>
      </c>
    </row>
    <row r="1919" spans="1:4" x14ac:dyDescent="0.35">
      <c r="A1919" t="s">
        <v>10</v>
      </c>
      <c r="B1919" t="s">
        <v>5</v>
      </c>
      <c r="C1919" t="s">
        <v>32</v>
      </c>
      <c r="D1919">
        <v>0</v>
      </c>
    </row>
    <row r="1920" spans="1:4" x14ac:dyDescent="0.35">
      <c r="A1920" t="s">
        <v>11</v>
      </c>
      <c r="B1920" t="s">
        <v>5</v>
      </c>
      <c r="C1920" t="s">
        <v>32</v>
      </c>
      <c r="D1920">
        <v>0</v>
      </c>
    </row>
    <row r="1921" spans="1:4" x14ac:dyDescent="0.35">
      <c r="A1921" t="s">
        <v>12</v>
      </c>
      <c r="B1921" t="s">
        <v>5</v>
      </c>
      <c r="C1921" t="s">
        <v>32</v>
      </c>
      <c r="D1921">
        <v>0</v>
      </c>
    </row>
    <row r="1922" spans="1:4" x14ac:dyDescent="0.35">
      <c r="A1922" t="s">
        <v>13</v>
      </c>
      <c r="B1922" t="s">
        <v>5</v>
      </c>
      <c r="C1922" t="s">
        <v>32</v>
      </c>
      <c r="D1922">
        <v>94.574132715658166</v>
      </c>
    </row>
    <row r="1923" spans="1:4" x14ac:dyDescent="0.35">
      <c r="A1923" t="s">
        <v>14</v>
      </c>
      <c r="B1923" t="s">
        <v>5</v>
      </c>
      <c r="C1923" t="s">
        <v>32</v>
      </c>
      <c r="D1923">
        <v>7.4091717418342666</v>
      </c>
    </row>
    <row r="1924" spans="1:4" x14ac:dyDescent="0.35">
      <c r="A1924" t="s">
        <v>15</v>
      </c>
      <c r="B1924" t="s">
        <v>5</v>
      </c>
      <c r="C1924" t="s">
        <v>32</v>
      </c>
      <c r="D1924">
        <v>0</v>
      </c>
    </row>
    <row r="1925" spans="1:4" x14ac:dyDescent="0.35">
      <c r="A1925" t="s">
        <v>16</v>
      </c>
      <c r="B1925" t="s">
        <v>5</v>
      </c>
      <c r="C1925" t="s">
        <v>32</v>
      </c>
      <c r="D1925">
        <v>0</v>
      </c>
    </row>
    <row r="1926" spans="1:4" x14ac:dyDescent="0.35">
      <c r="A1926" t="s">
        <v>17</v>
      </c>
      <c r="B1926" t="s">
        <v>5</v>
      </c>
      <c r="C1926" t="s">
        <v>32</v>
      </c>
      <c r="D1926">
        <v>0</v>
      </c>
    </row>
    <row r="1927" spans="1:4" x14ac:dyDescent="0.35">
      <c r="A1927" t="s">
        <v>18</v>
      </c>
      <c r="B1927" t="s">
        <v>5</v>
      </c>
      <c r="C1927" t="s">
        <v>32</v>
      </c>
      <c r="D1927">
        <v>0</v>
      </c>
    </row>
    <row r="1928" spans="1:4" x14ac:dyDescent="0.35">
      <c r="A1928" t="s">
        <v>19</v>
      </c>
      <c r="B1928" t="s">
        <v>5</v>
      </c>
      <c r="C1928" t="s">
        <v>32</v>
      </c>
      <c r="D1928">
        <v>0</v>
      </c>
    </row>
    <row r="1929" spans="1:4" x14ac:dyDescent="0.35">
      <c r="A1929" t="s">
        <v>20</v>
      </c>
      <c r="B1929" t="s">
        <v>5</v>
      </c>
      <c r="C1929" t="s">
        <v>32</v>
      </c>
      <c r="D1929">
        <v>0</v>
      </c>
    </row>
    <row r="1930" spans="1:4" x14ac:dyDescent="0.35">
      <c r="A1930" t="s">
        <v>21</v>
      </c>
      <c r="B1930" t="s">
        <v>5</v>
      </c>
      <c r="C1930" t="s">
        <v>32</v>
      </c>
      <c r="D1930">
        <v>0</v>
      </c>
    </row>
    <row r="1931" spans="1:4" x14ac:dyDescent="0.35">
      <c r="A1931" t="s">
        <v>22</v>
      </c>
      <c r="B1931" t="s">
        <v>5</v>
      </c>
      <c r="C1931" t="s">
        <v>32</v>
      </c>
      <c r="D1931">
        <v>174.54630652284837</v>
      </c>
    </row>
    <row r="1932" spans="1:4" x14ac:dyDescent="0.35">
      <c r="A1932" t="s">
        <v>23</v>
      </c>
      <c r="B1932" t="s">
        <v>5</v>
      </c>
      <c r="C1932" t="s">
        <v>32</v>
      </c>
      <c r="D1932">
        <v>2.6630555323700267</v>
      </c>
    </row>
    <row r="1933" spans="1:4" x14ac:dyDescent="0.35">
      <c r="A1933" t="s">
        <v>24</v>
      </c>
      <c r="B1933" t="s">
        <v>5</v>
      </c>
      <c r="C1933" t="s">
        <v>32</v>
      </c>
      <c r="D1933">
        <v>6.6236699894305033</v>
      </c>
    </row>
    <row r="1934" spans="1:4" x14ac:dyDescent="0.35">
      <c r="A1934" t="s">
        <v>25</v>
      </c>
      <c r="B1934" t="s">
        <v>5</v>
      </c>
      <c r="C1934" t="s">
        <v>32</v>
      </c>
      <c r="D1934">
        <v>0.41704182976780463</v>
      </c>
    </row>
    <row r="1935" spans="1:4" x14ac:dyDescent="0.35">
      <c r="A1935" t="s">
        <v>26</v>
      </c>
      <c r="B1935" t="s">
        <v>5</v>
      </c>
      <c r="C1935" t="s">
        <v>32</v>
      </c>
      <c r="D1935">
        <v>0</v>
      </c>
    </row>
    <row r="1936" spans="1:4" x14ac:dyDescent="0.35">
      <c r="A1936" t="s">
        <v>27</v>
      </c>
      <c r="B1936" t="s">
        <v>5</v>
      </c>
      <c r="C1936" t="s">
        <v>32</v>
      </c>
      <c r="D1936">
        <v>0.58750799921708641</v>
      </c>
    </row>
    <row r="1937" spans="1:4" x14ac:dyDescent="0.35">
      <c r="A1937" t="s">
        <v>28</v>
      </c>
      <c r="B1937" t="s">
        <v>5</v>
      </c>
      <c r="C1937" t="s">
        <v>32</v>
      </c>
      <c r="D1937">
        <v>0</v>
      </c>
    </row>
    <row r="1938" spans="1:4" x14ac:dyDescent="0.35">
      <c r="A1938" t="s">
        <v>29</v>
      </c>
      <c r="B1938" t="s">
        <v>5</v>
      </c>
      <c r="C1938" t="s">
        <v>32</v>
      </c>
      <c r="D1938">
        <v>0</v>
      </c>
    </row>
    <row r="1939" spans="1:4" x14ac:dyDescent="0.35">
      <c r="A1939" t="s">
        <v>30</v>
      </c>
      <c r="B1939" t="s">
        <v>5</v>
      </c>
      <c r="C1939" t="s">
        <v>32</v>
      </c>
      <c r="D1939">
        <v>0</v>
      </c>
    </row>
    <row r="1940" spans="1:4" x14ac:dyDescent="0.35">
      <c r="A1940" t="s">
        <v>31</v>
      </c>
      <c r="B1940" t="s">
        <v>5</v>
      </c>
      <c r="C1940" t="s">
        <v>32</v>
      </c>
      <c r="D1940">
        <v>79.100034028588681</v>
      </c>
    </row>
    <row r="1941" spans="1:4" x14ac:dyDescent="0.35">
      <c r="A1941" t="s">
        <v>32</v>
      </c>
      <c r="B1941" t="s">
        <v>5</v>
      </c>
      <c r="C1941" t="s">
        <v>32</v>
      </c>
      <c r="D1941">
        <v>66.982066573730194</v>
      </c>
    </row>
    <row r="1942" spans="1:4" x14ac:dyDescent="0.35">
      <c r="A1942" t="s">
        <v>33</v>
      </c>
      <c r="B1942" t="s">
        <v>5</v>
      </c>
      <c r="C1942" t="s">
        <v>32</v>
      </c>
      <c r="D1942">
        <v>8.6136674389323034</v>
      </c>
    </row>
    <row r="1943" spans="1:4" x14ac:dyDescent="0.35">
      <c r="A1943" t="s">
        <v>34</v>
      </c>
      <c r="B1943" t="s">
        <v>5</v>
      </c>
      <c r="C1943" t="s">
        <v>32</v>
      </c>
      <c r="D1943">
        <v>10.673675157931303</v>
      </c>
    </row>
    <row r="1944" spans="1:4" x14ac:dyDescent="0.35">
      <c r="A1944" t="s">
        <v>35</v>
      </c>
      <c r="B1944" t="s">
        <v>5</v>
      </c>
      <c r="C1944" t="s">
        <v>32</v>
      </c>
      <c r="D1944">
        <v>0.75053103264868815</v>
      </c>
    </row>
    <row r="1945" spans="1:4" x14ac:dyDescent="0.35">
      <c r="A1945" t="s">
        <v>36</v>
      </c>
      <c r="B1945" t="s">
        <v>5</v>
      </c>
      <c r="C1945" t="s">
        <v>32</v>
      </c>
      <c r="D1945">
        <v>0</v>
      </c>
    </row>
    <row r="1946" spans="1:4" x14ac:dyDescent="0.35">
      <c r="A1946" t="s">
        <v>37</v>
      </c>
      <c r="B1946" t="s">
        <v>5</v>
      </c>
      <c r="C1946" t="s">
        <v>32</v>
      </c>
      <c r="D1946">
        <v>0</v>
      </c>
    </row>
    <row r="1947" spans="1:4" x14ac:dyDescent="0.35">
      <c r="A1947" t="s">
        <v>38</v>
      </c>
      <c r="B1947" t="s">
        <v>5</v>
      </c>
      <c r="C1947" t="s">
        <v>32</v>
      </c>
      <c r="D1947">
        <v>14.818819637347408</v>
      </c>
    </row>
    <row r="1948" spans="1:4" x14ac:dyDescent="0.35">
      <c r="A1948" t="s">
        <v>39</v>
      </c>
      <c r="B1948" t="s">
        <v>5</v>
      </c>
      <c r="C1948" t="s">
        <v>32</v>
      </c>
      <c r="D1948">
        <v>0</v>
      </c>
    </row>
    <row r="1949" spans="1:4" x14ac:dyDescent="0.35">
      <c r="A1949" t="s">
        <v>7</v>
      </c>
      <c r="B1949" t="s">
        <v>5</v>
      </c>
      <c r="C1949" t="s">
        <v>33</v>
      </c>
      <c r="D1949">
        <v>0</v>
      </c>
    </row>
    <row r="1950" spans="1:4" x14ac:dyDescent="0.35">
      <c r="A1950" t="s">
        <v>8</v>
      </c>
      <c r="B1950" t="s">
        <v>5</v>
      </c>
      <c r="C1950" t="s">
        <v>33</v>
      </c>
      <c r="D1950">
        <v>0</v>
      </c>
    </row>
    <row r="1951" spans="1:4" x14ac:dyDescent="0.35">
      <c r="A1951" t="s">
        <v>9</v>
      </c>
      <c r="B1951" t="s">
        <v>5</v>
      </c>
      <c r="C1951" t="s">
        <v>33</v>
      </c>
      <c r="D1951">
        <v>34.115635203979721</v>
      </c>
    </row>
    <row r="1952" spans="1:4" x14ac:dyDescent="0.35">
      <c r="A1952" t="s">
        <v>10</v>
      </c>
      <c r="B1952" t="s">
        <v>5</v>
      </c>
      <c r="C1952" t="s">
        <v>33</v>
      </c>
      <c r="D1952">
        <v>1.6300248457445112</v>
      </c>
    </row>
    <row r="1953" spans="1:4" x14ac:dyDescent="0.35">
      <c r="A1953" t="s">
        <v>11</v>
      </c>
      <c r="B1953" t="s">
        <v>5</v>
      </c>
      <c r="C1953" t="s">
        <v>33</v>
      </c>
      <c r="D1953">
        <v>0</v>
      </c>
    </row>
    <row r="1954" spans="1:4" x14ac:dyDescent="0.35">
      <c r="A1954" t="s">
        <v>12</v>
      </c>
      <c r="B1954" t="s">
        <v>5</v>
      </c>
      <c r="C1954" t="s">
        <v>33</v>
      </c>
      <c r="D1954">
        <v>0</v>
      </c>
    </row>
    <row r="1955" spans="1:4" x14ac:dyDescent="0.35">
      <c r="A1955" t="s">
        <v>13</v>
      </c>
      <c r="B1955" t="s">
        <v>5</v>
      </c>
      <c r="C1955" t="s">
        <v>33</v>
      </c>
      <c r="D1955">
        <v>15.646545089309155</v>
      </c>
    </row>
    <row r="1956" spans="1:4" x14ac:dyDescent="0.35">
      <c r="A1956" t="s">
        <v>14</v>
      </c>
      <c r="B1956" t="s">
        <v>5</v>
      </c>
      <c r="C1956" t="s">
        <v>33</v>
      </c>
      <c r="D1956">
        <v>28.218036593704809</v>
      </c>
    </row>
    <row r="1957" spans="1:4" x14ac:dyDescent="0.35">
      <c r="A1957" t="s">
        <v>15</v>
      </c>
      <c r="B1957" t="s">
        <v>5</v>
      </c>
      <c r="C1957" t="s">
        <v>33</v>
      </c>
      <c r="D1957">
        <v>2.9134331365420998</v>
      </c>
    </row>
    <row r="1958" spans="1:4" x14ac:dyDescent="0.35">
      <c r="A1958" t="s">
        <v>16</v>
      </c>
      <c r="B1958" t="s">
        <v>5</v>
      </c>
      <c r="C1958" t="s">
        <v>33</v>
      </c>
      <c r="D1958">
        <v>0</v>
      </c>
    </row>
    <row r="1959" spans="1:4" x14ac:dyDescent="0.35">
      <c r="A1959" t="s">
        <v>17</v>
      </c>
      <c r="B1959" t="s">
        <v>5</v>
      </c>
      <c r="C1959" t="s">
        <v>33</v>
      </c>
      <c r="D1959">
        <v>0</v>
      </c>
    </row>
    <row r="1960" spans="1:4" x14ac:dyDescent="0.35">
      <c r="A1960" t="s">
        <v>18</v>
      </c>
      <c r="B1960" t="s">
        <v>5</v>
      </c>
      <c r="C1960" t="s">
        <v>33</v>
      </c>
      <c r="D1960">
        <v>0</v>
      </c>
    </row>
    <row r="1961" spans="1:4" x14ac:dyDescent="0.35">
      <c r="A1961" t="s">
        <v>19</v>
      </c>
      <c r="B1961" t="s">
        <v>5</v>
      </c>
      <c r="C1961" t="s">
        <v>33</v>
      </c>
      <c r="D1961">
        <v>247.27149152919807</v>
      </c>
    </row>
    <row r="1962" spans="1:4" x14ac:dyDescent="0.35">
      <c r="A1962" t="s">
        <v>20</v>
      </c>
      <c r="B1962" t="s">
        <v>5</v>
      </c>
      <c r="C1962" t="s">
        <v>33</v>
      </c>
      <c r="D1962">
        <v>0</v>
      </c>
    </row>
    <row r="1963" spans="1:4" x14ac:dyDescent="0.35">
      <c r="A1963" t="s">
        <v>21</v>
      </c>
      <c r="B1963" t="s">
        <v>5</v>
      </c>
      <c r="C1963" t="s">
        <v>33</v>
      </c>
      <c r="D1963">
        <v>6.7361931324078759</v>
      </c>
    </row>
    <row r="1964" spans="1:4" x14ac:dyDescent="0.35">
      <c r="A1964" t="s">
        <v>22</v>
      </c>
      <c r="B1964" t="s">
        <v>5</v>
      </c>
      <c r="C1964" t="s">
        <v>33</v>
      </c>
      <c r="D1964">
        <v>46.163422910030462</v>
      </c>
    </row>
    <row r="1965" spans="1:4" x14ac:dyDescent="0.35">
      <c r="A1965" t="s">
        <v>23</v>
      </c>
      <c r="B1965" t="s">
        <v>5</v>
      </c>
      <c r="C1965" t="s">
        <v>33</v>
      </c>
      <c r="D1965">
        <v>10.229603713890707</v>
      </c>
    </row>
    <row r="1966" spans="1:4" x14ac:dyDescent="0.35">
      <c r="A1966" t="s">
        <v>24</v>
      </c>
      <c r="B1966" t="s">
        <v>5</v>
      </c>
      <c r="C1966" t="s">
        <v>33</v>
      </c>
      <c r="D1966">
        <v>70.404838612802976</v>
      </c>
    </row>
    <row r="1967" spans="1:4" x14ac:dyDescent="0.35">
      <c r="A1967" t="s">
        <v>25</v>
      </c>
      <c r="B1967" t="s">
        <v>5</v>
      </c>
      <c r="C1967" t="s">
        <v>33</v>
      </c>
      <c r="D1967">
        <v>0.53495421334743098</v>
      </c>
    </row>
    <row r="1968" spans="1:4" x14ac:dyDescent="0.35">
      <c r="A1968" t="s">
        <v>26</v>
      </c>
      <c r="B1968" t="s">
        <v>5</v>
      </c>
      <c r="C1968" t="s">
        <v>33</v>
      </c>
      <c r="D1968">
        <v>0</v>
      </c>
    </row>
    <row r="1969" spans="1:4" x14ac:dyDescent="0.35">
      <c r="A1969" t="s">
        <v>27</v>
      </c>
      <c r="B1969" t="s">
        <v>5</v>
      </c>
      <c r="C1969" t="s">
        <v>33</v>
      </c>
      <c r="D1969">
        <v>3.74992353479702E-2</v>
      </c>
    </row>
    <row r="1970" spans="1:4" x14ac:dyDescent="0.35">
      <c r="A1970" t="s">
        <v>28</v>
      </c>
      <c r="B1970" t="s">
        <v>5</v>
      </c>
      <c r="C1970" t="s">
        <v>33</v>
      </c>
      <c r="D1970">
        <v>0</v>
      </c>
    </row>
    <row r="1971" spans="1:4" x14ac:dyDescent="0.35">
      <c r="A1971" t="s">
        <v>29</v>
      </c>
      <c r="B1971" t="s">
        <v>5</v>
      </c>
      <c r="C1971" t="s">
        <v>33</v>
      </c>
      <c r="D1971">
        <v>1.8655803561876579E-2</v>
      </c>
    </row>
    <row r="1972" spans="1:4" x14ac:dyDescent="0.35">
      <c r="A1972" t="s">
        <v>30</v>
      </c>
      <c r="B1972" t="s">
        <v>5</v>
      </c>
      <c r="C1972" t="s">
        <v>33</v>
      </c>
      <c r="D1972">
        <v>3.2252046553564945E-3</v>
      </c>
    </row>
    <row r="1973" spans="1:4" x14ac:dyDescent="0.35">
      <c r="A1973" t="s">
        <v>31</v>
      </c>
      <c r="B1973" t="s">
        <v>5</v>
      </c>
      <c r="C1973" t="s">
        <v>33</v>
      </c>
      <c r="D1973">
        <v>7.4503338707125613</v>
      </c>
    </row>
    <row r="1974" spans="1:4" x14ac:dyDescent="0.35">
      <c r="A1974" t="s">
        <v>32</v>
      </c>
      <c r="B1974" t="s">
        <v>5</v>
      </c>
      <c r="C1974" t="s">
        <v>33</v>
      </c>
      <c r="D1974">
        <v>58.194272034689007</v>
      </c>
    </row>
    <row r="1975" spans="1:4" x14ac:dyDescent="0.35">
      <c r="A1975" t="s">
        <v>33</v>
      </c>
      <c r="B1975" t="s">
        <v>5</v>
      </c>
      <c r="C1975" t="s">
        <v>33</v>
      </c>
      <c r="D1975">
        <v>55.076510684950939</v>
      </c>
    </row>
    <row r="1976" spans="1:4" x14ac:dyDescent="0.35">
      <c r="A1976" t="s">
        <v>34</v>
      </c>
      <c r="B1976" t="s">
        <v>5</v>
      </c>
      <c r="C1976" t="s">
        <v>33</v>
      </c>
      <c r="D1976">
        <v>21.922574668219763</v>
      </c>
    </row>
    <row r="1977" spans="1:4" x14ac:dyDescent="0.35">
      <c r="A1977" t="s">
        <v>35</v>
      </c>
      <c r="B1977" t="s">
        <v>5</v>
      </c>
      <c r="C1977" t="s">
        <v>33</v>
      </c>
      <c r="D1977">
        <v>2.7326535077147822</v>
      </c>
    </row>
    <row r="1978" spans="1:4" x14ac:dyDescent="0.35">
      <c r="A1978" t="s">
        <v>36</v>
      </c>
      <c r="B1978" t="s">
        <v>5</v>
      </c>
      <c r="C1978" t="s">
        <v>33</v>
      </c>
      <c r="D1978">
        <v>60.365466151566807</v>
      </c>
    </row>
    <row r="1979" spans="1:4" x14ac:dyDescent="0.35">
      <c r="A1979" t="s">
        <v>37</v>
      </c>
      <c r="B1979" t="s">
        <v>5</v>
      </c>
      <c r="C1979" t="s">
        <v>33</v>
      </c>
      <c r="D1979">
        <v>3.5245132483719549E-2</v>
      </c>
    </row>
    <row r="1980" spans="1:4" x14ac:dyDescent="0.35">
      <c r="A1980" t="s">
        <v>38</v>
      </c>
      <c r="B1980" t="s">
        <v>5</v>
      </c>
      <c r="C1980" t="s">
        <v>33</v>
      </c>
      <c r="D1980">
        <v>6.1796279179005085</v>
      </c>
    </row>
    <row r="1981" spans="1:4" x14ac:dyDescent="0.35">
      <c r="A1981" t="s">
        <v>39</v>
      </c>
      <c r="B1981" t="s">
        <v>5</v>
      </c>
      <c r="C1981" t="s">
        <v>33</v>
      </c>
      <c r="D1981">
        <v>0</v>
      </c>
    </row>
    <row r="1982" spans="1:4" x14ac:dyDescent="0.35">
      <c r="A1982" t="s">
        <v>7</v>
      </c>
      <c r="B1982" t="s">
        <v>5</v>
      </c>
      <c r="C1982" t="s">
        <v>34</v>
      </c>
      <c r="D1982">
        <v>0</v>
      </c>
    </row>
    <row r="1983" spans="1:4" x14ac:dyDescent="0.35">
      <c r="A1983" t="s">
        <v>8</v>
      </c>
      <c r="B1983" t="s">
        <v>5</v>
      </c>
      <c r="C1983" t="s">
        <v>34</v>
      </c>
      <c r="D1983">
        <v>0</v>
      </c>
    </row>
    <row r="1984" spans="1:4" x14ac:dyDescent="0.35">
      <c r="A1984" t="s">
        <v>9</v>
      </c>
      <c r="B1984" t="s">
        <v>5</v>
      </c>
      <c r="C1984" t="s">
        <v>34</v>
      </c>
      <c r="D1984">
        <v>39.698562256766074</v>
      </c>
    </row>
    <row r="1985" spans="1:4" x14ac:dyDescent="0.35">
      <c r="A1985" t="s">
        <v>10</v>
      </c>
      <c r="B1985" t="s">
        <v>5</v>
      </c>
      <c r="C1985" t="s">
        <v>34</v>
      </c>
      <c r="D1985">
        <v>118.84365160721735</v>
      </c>
    </row>
    <row r="1986" spans="1:4" x14ac:dyDescent="0.35">
      <c r="A1986" t="s">
        <v>11</v>
      </c>
      <c r="B1986" t="s">
        <v>5</v>
      </c>
      <c r="C1986" t="s">
        <v>34</v>
      </c>
      <c r="D1986">
        <v>0.31372332365978811</v>
      </c>
    </row>
    <row r="1987" spans="1:4" x14ac:dyDescent="0.35">
      <c r="A1987" t="s">
        <v>12</v>
      </c>
      <c r="B1987" t="s">
        <v>5</v>
      </c>
      <c r="C1987" t="s">
        <v>34</v>
      </c>
      <c r="D1987">
        <v>28.489893832764444</v>
      </c>
    </row>
    <row r="1988" spans="1:4" x14ac:dyDescent="0.35">
      <c r="A1988" t="s">
        <v>13</v>
      </c>
      <c r="B1988" t="s">
        <v>5</v>
      </c>
      <c r="C1988" t="s">
        <v>34</v>
      </c>
      <c r="D1988">
        <v>1532.246443649072</v>
      </c>
    </row>
    <row r="1989" spans="1:4" x14ac:dyDescent="0.35">
      <c r="A1989" t="s">
        <v>14</v>
      </c>
      <c r="B1989" t="s">
        <v>5</v>
      </c>
      <c r="C1989" t="s">
        <v>34</v>
      </c>
      <c r="D1989">
        <v>739.85008503700021</v>
      </c>
    </row>
    <row r="1990" spans="1:4" x14ac:dyDescent="0.35">
      <c r="A1990" t="s">
        <v>15</v>
      </c>
      <c r="B1990" t="s">
        <v>5</v>
      </c>
      <c r="C1990" t="s">
        <v>34</v>
      </c>
      <c r="D1990">
        <v>583.81929969109706</v>
      </c>
    </row>
    <row r="1991" spans="1:4" x14ac:dyDescent="0.35">
      <c r="A1991" t="s">
        <v>16</v>
      </c>
      <c r="B1991" t="s">
        <v>5</v>
      </c>
      <c r="C1991" t="s">
        <v>34</v>
      </c>
      <c r="D1991">
        <v>225.31186468619347</v>
      </c>
    </row>
    <row r="1992" spans="1:4" x14ac:dyDescent="0.35">
      <c r="A1992" t="s">
        <v>17</v>
      </c>
      <c r="B1992" t="s">
        <v>5</v>
      </c>
      <c r="C1992" t="s">
        <v>34</v>
      </c>
      <c r="D1992">
        <v>0</v>
      </c>
    </row>
    <row r="1993" spans="1:4" x14ac:dyDescent="0.35">
      <c r="A1993" t="s">
        <v>18</v>
      </c>
      <c r="B1993" t="s">
        <v>5</v>
      </c>
      <c r="C1993" t="s">
        <v>34</v>
      </c>
      <c r="D1993">
        <v>27.075448220658824</v>
      </c>
    </row>
    <row r="1994" spans="1:4" x14ac:dyDescent="0.35">
      <c r="A1994" t="s">
        <v>19</v>
      </c>
      <c r="B1994" t="s">
        <v>5</v>
      </c>
      <c r="C1994" t="s">
        <v>34</v>
      </c>
      <c r="D1994">
        <v>109.3768097678382</v>
      </c>
    </row>
    <row r="1995" spans="1:4" x14ac:dyDescent="0.35">
      <c r="A1995" t="s">
        <v>20</v>
      </c>
      <c r="B1995" t="s">
        <v>5</v>
      </c>
      <c r="C1995" t="s">
        <v>34</v>
      </c>
      <c r="D1995">
        <v>773.96525173043949</v>
      </c>
    </row>
    <row r="1996" spans="1:4" x14ac:dyDescent="0.35">
      <c r="A1996" t="s">
        <v>21</v>
      </c>
      <c r="B1996" t="s">
        <v>5</v>
      </c>
      <c r="C1996" t="s">
        <v>34</v>
      </c>
      <c r="D1996">
        <v>658.07741876379316</v>
      </c>
    </row>
    <row r="1997" spans="1:4" x14ac:dyDescent="0.35">
      <c r="A1997" t="s">
        <v>22</v>
      </c>
      <c r="B1997" t="s">
        <v>5</v>
      </c>
      <c r="C1997" t="s">
        <v>34</v>
      </c>
      <c r="D1997">
        <v>377.1353510449087</v>
      </c>
    </row>
    <row r="1998" spans="1:4" x14ac:dyDescent="0.35">
      <c r="A1998" t="s">
        <v>23</v>
      </c>
      <c r="B1998" t="s">
        <v>5</v>
      </c>
      <c r="C1998" t="s">
        <v>34</v>
      </c>
      <c r="D1998">
        <v>6.9461115763860786</v>
      </c>
    </row>
    <row r="1999" spans="1:4" x14ac:dyDescent="0.35">
      <c r="A1999" t="s">
        <v>24</v>
      </c>
      <c r="B1999" t="s">
        <v>5</v>
      </c>
      <c r="C1999" t="s">
        <v>34</v>
      </c>
      <c r="D1999">
        <v>47.115513976163925</v>
      </c>
    </row>
    <row r="2000" spans="1:4" x14ac:dyDescent="0.35">
      <c r="A2000" t="s">
        <v>25</v>
      </c>
      <c r="B2000" t="s">
        <v>5</v>
      </c>
      <c r="C2000" t="s">
        <v>34</v>
      </c>
      <c r="D2000">
        <v>65.011309626506247</v>
      </c>
    </row>
    <row r="2001" spans="1:4" x14ac:dyDescent="0.35">
      <c r="A2001" t="s">
        <v>26</v>
      </c>
      <c r="B2001" t="s">
        <v>5</v>
      </c>
      <c r="C2001" t="s">
        <v>34</v>
      </c>
      <c r="D2001">
        <v>0</v>
      </c>
    </row>
    <row r="2002" spans="1:4" x14ac:dyDescent="0.35">
      <c r="A2002" t="s">
        <v>27</v>
      </c>
      <c r="B2002" t="s">
        <v>5</v>
      </c>
      <c r="C2002" t="s">
        <v>34</v>
      </c>
      <c r="D2002">
        <v>3.253831427942393</v>
      </c>
    </row>
    <row r="2003" spans="1:4" x14ac:dyDescent="0.35">
      <c r="A2003" t="s">
        <v>28</v>
      </c>
      <c r="B2003" t="s">
        <v>5</v>
      </c>
      <c r="C2003" t="s">
        <v>34</v>
      </c>
      <c r="D2003">
        <v>0</v>
      </c>
    </row>
    <row r="2004" spans="1:4" x14ac:dyDescent="0.35">
      <c r="A2004" t="s">
        <v>29</v>
      </c>
      <c r="B2004" t="s">
        <v>5</v>
      </c>
      <c r="C2004" t="s">
        <v>34</v>
      </c>
      <c r="D2004">
        <v>5.9266380529289036</v>
      </c>
    </row>
    <row r="2005" spans="1:4" x14ac:dyDescent="0.35">
      <c r="A2005" t="s">
        <v>30</v>
      </c>
      <c r="B2005" t="s">
        <v>5</v>
      </c>
      <c r="C2005" t="s">
        <v>34</v>
      </c>
      <c r="D2005">
        <v>3.2611070355713596</v>
      </c>
    </row>
    <row r="2006" spans="1:4" x14ac:dyDescent="0.35">
      <c r="A2006" t="s">
        <v>31</v>
      </c>
      <c r="B2006" t="s">
        <v>5</v>
      </c>
      <c r="C2006" t="s">
        <v>34</v>
      </c>
      <c r="D2006">
        <v>133.03385787820994</v>
      </c>
    </row>
    <row r="2007" spans="1:4" x14ac:dyDescent="0.35">
      <c r="A2007" t="s">
        <v>32</v>
      </c>
      <c r="B2007" t="s">
        <v>5</v>
      </c>
      <c r="C2007" t="s">
        <v>34</v>
      </c>
      <c r="D2007">
        <v>60.800607186051174</v>
      </c>
    </row>
    <row r="2008" spans="1:4" x14ac:dyDescent="0.35">
      <c r="A2008" t="s">
        <v>33</v>
      </c>
      <c r="B2008" t="s">
        <v>5</v>
      </c>
      <c r="C2008" t="s">
        <v>34</v>
      </c>
      <c r="D2008">
        <v>40.686485294141917</v>
      </c>
    </row>
    <row r="2009" spans="1:4" x14ac:dyDescent="0.35">
      <c r="A2009" t="s">
        <v>34</v>
      </c>
      <c r="B2009" t="s">
        <v>5</v>
      </c>
      <c r="C2009" t="s">
        <v>34</v>
      </c>
      <c r="D2009">
        <v>89.033978226982299</v>
      </c>
    </row>
    <row r="2010" spans="1:4" x14ac:dyDescent="0.35">
      <c r="A2010" t="s">
        <v>35</v>
      </c>
      <c r="B2010" t="s">
        <v>5</v>
      </c>
      <c r="C2010" t="s">
        <v>34</v>
      </c>
      <c r="D2010">
        <v>42.586420960484183</v>
      </c>
    </row>
    <row r="2011" spans="1:4" x14ac:dyDescent="0.35">
      <c r="A2011" t="s">
        <v>36</v>
      </c>
      <c r="B2011" t="s">
        <v>5</v>
      </c>
      <c r="C2011" t="s">
        <v>34</v>
      </c>
      <c r="D2011">
        <v>163.7261735464017</v>
      </c>
    </row>
    <row r="2012" spans="1:4" x14ac:dyDescent="0.35">
      <c r="A2012" t="s">
        <v>37</v>
      </c>
      <c r="B2012" t="s">
        <v>5</v>
      </c>
      <c r="C2012" t="s">
        <v>34</v>
      </c>
      <c r="D2012">
        <v>1.2147531687892692</v>
      </c>
    </row>
    <row r="2013" spans="1:4" x14ac:dyDescent="0.35">
      <c r="A2013" t="s">
        <v>38</v>
      </c>
      <c r="B2013" t="s">
        <v>5</v>
      </c>
      <c r="C2013" t="s">
        <v>34</v>
      </c>
      <c r="D2013">
        <v>74.663201403199778</v>
      </c>
    </row>
    <row r="2014" spans="1:4" x14ac:dyDescent="0.35">
      <c r="A2014" t="s">
        <v>39</v>
      </c>
      <c r="B2014" t="s">
        <v>5</v>
      </c>
      <c r="C2014" t="s">
        <v>34</v>
      </c>
      <c r="D2014">
        <v>0</v>
      </c>
    </row>
    <row r="2015" spans="1:4" x14ac:dyDescent="0.35">
      <c r="A2015" t="s">
        <v>7</v>
      </c>
      <c r="B2015" t="s">
        <v>5</v>
      </c>
      <c r="C2015" t="s">
        <v>35</v>
      </c>
      <c r="D2015">
        <v>0</v>
      </c>
    </row>
    <row r="2016" spans="1:4" x14ac:dyDescent="0.35">
      <c r="A2016" t="s">
        <v>8</v>
      </c>
      <c r="B2016" t="s">
        <v>5</v>
      </c>
      <c r="C2016" t="s">
        <v>35</v>
      </c>
      <c r="D2016">
        <v>0</v>
      </c>
    </row>
    <row r="2017" spans="1:4" x14ac:dyDescent="0.35">
      <c r="A2017" t="s">
        <v>9</v>
      </c>
      <c r="B2017" t="s">
        <v>5</v>
      </c>
      <c r="C2017" t="s">
        <v>35</v>
      </c>
      <c r="D2017">
        <v>59.157795473678675</v>
      </c>
    </row>
    <row r="2018" spans="1:4" x14ac:dyDescent="0.35">
      <c r="A2018" t="s">
        <v>10</v>
      </c>
      <c r="B2018" t="s">
        <v>5</v>
      </c>
      <c r="C2018" t="s">
        <v>35</v>
      </c>
      <c r="D2018">
        <v>340.76160511057986</v>
      </c>
    </row>
    <row r="2019" spans="1:4" x14ac:dyDescent="0.35">
      <c r="A2019" t="s">
        <v>11</v>
      </c>
      <c r="B2019" t="s">
        <v>5</v>
      </c>
      <c r="C2019" t="s">
        <v>35</v>
      </c>
      <c r="D2019">
        <v>188.67923713855316</v>
      </c>
    </row>
    <row r="2020" spans="1:4" x14ac:dyDescent="0.35">
      <c r="A2020" t="s">
        <v>12</v>
      </c>
      <c r="B2020" t="s">
        <v>5</v>
      </c>
      <c r="C2020" t="s">
        <v>35</v>
      </c>
      <c r="D2020">
        <v>0</v>
      </c>
    </row>
    <row r="2021" spans="1:4" x14ac:dyDescent="0.35">
      <c r="A2021" t="s">
        <v>13</v>
      </c>
      <c r="B2021" t="s">
        <v>5</v>
      </c>
      <c r="C2021" t="s">
        <v>35</v>
      </c>
      <c r="D2021">
        <v>341.08768771978407</v>
      </c>
    </row>
    <row r="2022" spans="1:4" x14ac:dyDescent="0.35">
      <c r="A2022" t="s">
        <v>14</v>
      </c>
      <c r="B2022" t="s">
        <v>5</v>
      </c>
      <c r="C2022" t="s">
        <v>35</v>
      </c>
      <c r="D2022">
        <v>525.29113889877499</v>
      </c>
    </row>
    <row r="2023" spans="1:4" x14ac:dyDescent="0.35">
      <c r="A2023" t="s">
        <v>15</v>
      </c>
      <c r="B2023" t="s">
        <v>5</v>
      </c>
      <c r="C2023" t="s">
        <v>35</v>
      </c>
      <c r="D2023">
        <v>19.602280438530677</v>
      </c>
    </row>
    <row r="2024" spans="1:4" x14ac:dyDescent="0.35">
      <c r="A2024" t="s">
        <v>16</v>
      </c>
      <c r="B2024" t="s">
        <v>5</v>
      </c>
      <c r="C2024" t="s">
        <v>35</v>
      </c>
      <c r="D2024">
        <v>0</v>
      </c>
    </row>
    <row r="2025" spans="1:4" x14ac:dyDescent="0.35">
      <c r="A2025" t="s">
        <v>17</v>
      </c>
      <c r="B2025" t="s">
        <v>5</v>
      </c>
      <c r="C2025" t="s">
        <v>35</v>
      </c>
      <c r="D2025">
        <v>0</v>
      </c>
    </row>
    <row r="2026" spans="1:4" x14ac:dyDescent="0.35">
      <c r="A2026" t="s">
        <v>18</v>
      </c>
      <c r="B2026" t="s">
        <v>5</v>
      </c>
      <c r="C2026" t="s">
        <v>35</v>
      </c>
      <c r="D2026">
        <v>123.28796953401179</v>
      </c>
    </row>
    <row r="2027" spans="1:4" x14ac:dyDescent="0.35">
      <c r="A2027" t="s">
        <v>19</v>
      </c>
      <c r="B2027" t="s">
        <v>5</v>
      </c>
      <c r="C2027" t="s">
        <v>35</v>
      </c>
      <c r="D2027">
        <v>54.028790972681811</v>
      </c>
    </row>
    <row r="2028" spans="1:4" x14ac:dyDescent="0.35">
      <c r="A2028" t="s">
        <v>20</v>
      </c>
      <c r="B2028" t="s">
        <v>5</v>
      </c>
      <c r="C2028" t="s">
        <v>35</v>
      </c>
      <c r="D2028">
        <v>4.1272583399960734</v>
      </c>
    </row>
    <row r="2029" spans="1:4" x14ac:dyDescent="0.35">
      <c r="A2029" t="s">
        <v>21</v>
      </c>
      <c r="B2029" t="s">
        <v>5</v>
      </c>
      <c r="C2029" t="s">
        <v>35</v>
      </c>
      <c r="D2029">
        <v>3.4123128355852894</v>
      </c>
    </row>
    <row r="2030" spans="1:4" x14ac:dyDescent="0.35">
      <c r="A2030" t="s">
        <v>22</v>
      </c>
      <c r="B2030" t="s">
        <v>5</v>
      </c>
      <c r="C2030" t="s">
        <v>35</v>
      </c>
      <c r="D2030">
        <v>216.5541917279001</v>
      </c>
    </row>
    <row r="2031" spans="1:4" x14ac:dyDescent="0.35">
      <c r="A2031" t="s">
        <v>23</v>
      </c>
      <c r="B2031" t="s">
        <v>5</v>
      </c>
      <c r="C2031" t="s">
        <v>35</v>
      </c>
      <c r="D2031">
        <v>18.757015851958261</v>
      </c>
    </row>
    <row r="2032" spans="1:4" x14ac:dyDescent="0.35">
      <c r="A2032" t="s">
        <v>24</v>
      </c>
      <c r="B2032" t="s">
        <v>5</v>
      </c>
      <c r="C2032" t="s">
        <v>35</v>
      </c>
      <c r="D2032">
        <v>30.193866680767162</v>
      </c>
    </row>
    <row r="2033" spans="1:4" x14ac:dyDescent="0.35">
      <c r="A2033" t="s">
        <v>25</v>
      </c>
      <c r="B2033" t="s">
        <v>5</v>
      </c>
      <c r="C2033" t="s">
        <v>35</v>
      </c>
      <c r="D2033">
        <v>4.7873878411632012</v>
      </c>
    </row>
    <row r="2034" spans="1:4" x14ac:dyDescent="0.35">
      <c r="A2034" t="s">
        <v>26</v>
      </c>
      <c r="B2034" t="s">
        <v>5</v>
      </c>
      <c r="C2034" t="s">
        <v>35</v>
      </c>
      <c r="D2034">
        <v>54.076918576091458</v>
      </c>
    </row>
    <row r="2035" spans="1:4" x14ac:dyDescent="0.35">
      <c r="A2035" t="s">
        <v>27</v>
      </c>
      <c r="B2035" t="s">
        <v>5</v>
      </c>
      <c r="C2035" t="s">
        <v>35</v>
      </c>
      <c r="D2035">
        <v>10.751783819899218</v>
      </c>
    </row>
    <row r="2036" spans="1:4" x14ac:dyDescent="0.35">
      <c r="A2036" t="s">
        <v>28</v>
      </c>
      <c r="B2036" t="s">
        <v>5</v>
      </c>
      <c r="C2036" t="s">
        <v>35</v>
      </c>
      <c r="D2036">
        <v>0</v>
      </c>
    </row>
    <row r="2037" spans="1:4" x14ac:dyDescent="0.35">
      <c r="A2037" t="s">
        <v>29</v>
      </c>
      <c r="B2037" t="s">
        <v>5</v>
      </c>
      <c r="C2037" t="s">
        <v>35</v>
      </c>
      <c r="D2037">
        <v>4.9375287237785841</v>
      </c>
    </row>
    <row r="2038" spans="1:4" x14ac:dyDescent="0.35">
      <c r="A2038" t="s">
        <v>30</v>
      </c>
      <c r="B2038" t="s">
        <v>5</v>
      </c>
      <c r="C2038" t="s">
        <v>35</v>
      </c>
      <c r="D2038">
        <v>0</v>
      </c>
    </row>
    <row r="2039" spans="1:4" x14ac:dyDescent="0.35">
      <c r="A2039" t="s">
        <v>31</v>
      </c>
      <c r="B2039" t="s">
        <v>5</v>
      </c>
      <c r="C2039" t="s">
        <v>35</v>
      </c>
      <c r="D2039">
        <v>27.860670025284513</v>
      </c>
    </row>
    <row r="2040" spans="1:4" x14ac:dyDescent="0.35">
      <c r="A2040" t="s">
        <v>32</v>
      </c>
      <c r="B2040" t="s">
        <v>5</v>
      </c>
      <c r="C2040" t="s">
        <v>35</v>
      </c>
      <c r="D2040">
        <v>35.186651463288612</v>
      </c>
    </row>
    <row r="2041" spans="1:4" x14ac:dyDescent="0.35">
      <c r="A2041" t="s">
        <v>33</v>
      </c>
      <c r="B2041" t="s">
        <v>5</v>
      </c>
      <c r="C2041" t="s">
        <v>35</v>
      </c>
      <c r="D2041">
        <v>7.0243608196172698</v>
      </c>
    </row>
    <row r="2042" spans="1:4" x14ac:dyDescent="0.35">
      <c r="A2042" t="s">
        <v>34</v>
      </c>
      <c r="B2042" t="s">
        <v>5</v>
      </c>
      <c r="C2042" t="s">
        <v>35</v>
      </c>
      <c r="D2042">
        <v>4.5223104344069451</v>
      </c>
    </row>
    <row r="2043" spans="1:4" x14ac:dyDescent="0.35">
      <c r="A2043" t="s">
        <v>35</v>
      </c>
      <c r="B2043" t="s">
        <v>5</v>
      </c>
      <c r="C2043" t="s">
        <v>35</v>
      </c>
      <c r="D2043">
        <v>11.21248127567447</v>
      </c>
    </row>
    <row r="2044" spans="1:4" x14ac:dyDescent="0.35">
      <c r="A2044" t="s">
        <v>36</v>
      </c>
      <c r="B2044" t="s">
        <v>5</v>
      </c>
      <c r="C2044" t="s">
        <v>35</v>
      </c>
      <c r="D2044">
        <v>72.094883549256878</v>
      </c>
    </row>
    <row r="2045" spans="1:4" x14ac:dyDescent="0.35">
      <c r="A2045" t="s">
        <v>37</v>
      </c>
      <c r="B2045" t="s">
        <v>5</v>
      </c>
      <c r="C2045" t="s">
        <v>35</v>
      </c>
      <c r="D2045">
        <v>0</v>
      </c>
    </row>
    <row r="2046" spans="1:4" x14ac:dyDescent="0.35">
      <c r="A2046" t="s">
        <v>38</v>
      </c>
      <c r="B2046" t="s">
        <v>5</v>
      </c>
      <c r="C2046" t="s">
        <v>35</v>
      </c>
      <c r="D2046">
        <v>2.3340566174955533</v>
      </c>
    </row>
    <row r="2047" spans="1:4" x14ac:dyDescent="0.35">
      <c r="A2047" t="s">
        <v>39</v>
      </c>
      <c r="B2047" t="s">
        <v>5</v>
      </c>
      <c r="C2047" t="s">
        <v>35</v>
      </c>
      <c r="D2047">
        <v>0</v>
      </c>
    </row>
    <row r="2048" spans="1:4" x14ac:dyDescent="0.35">
      <c r="A2048" t="s">
        <v>7</v>
      </c>
      <c r="B2048" t="s">
        <v>5</v>
      </c>
      <c r="C2048" t="s">
        <v>36</v>
      </c>
      <c r="D2048">
        <v>0</v>
      </c>
    </row>
    <row r="2049" spans="1:4" x14ac:dyDescent="0.35">
      <c r="A2049" t="s">
        <v>8</v>
      </c>
      <c r="B2049" t="s">
        <v>5</v>
      </c>
      <c r="C2049" t="s">
        <v>36</v>
      </c>
      <c r="D2049">
        <v>0</v>
      </c>
    </row>
    <row r="2050" spans="1:4" x14ac:dyDescent="0.35">
      <c r="A2050" t="s">
        <v>9</v>
      </c>
      <c r="B2050" t="s">
        <v>5</v>
      </c>
      <c r="C2050" t="s">
        <v>36</v>
      </c>
      <c r="D2050">
        <v>3.6516195675314473</v>
      </c>
    </row>
    <row r="2051" spans="1:4" x14ac:dyDescent="0.35">
      <c r="A2051" t="s">
        <v>10</v>
      </c>
      <c r="B2051" t="s">
        <v>5</v>
      </c>
      <c r="C2051" t="s">
        <v>36</v>
      </c>
      <c r="D2051">
        <v>12.750796737350024</v>
      </c>
    </row>
    <row r="2052" spans="1:4" x14ac:dyDescent="0.35">
      <c r="A2052" t="s">
        <v>11</v>
      </c>
      <c r="B2052" t="s">
        <v>5</v>
      </c>
      <c r="C2052" t="s">
        <v>36</v>
      </c>
      <c r="D2052">
        <v>0</v>
      </c>
    </row>
    <row r="2053" spans="1:4" x14ac:dyDescent="0.35">
      <c r="A2053" t="s">
        <v>12</v>
      </c>
      <c r="B2053" t="s">
        <v>5</v>
      </c>
      <c r="C2053" t="s">
        <v>36</v>
      </c>
      <c r="D2053">
        <v>0</v>
      </c>
    </row>
    <row r="2054" spans="1:4" x14ac:dyDescent="0.35">
      <c r="A2054" t="s">
        <v>13</v>
      </c>
      <c r="B2054" t="s">
        <v>5</v>
      </c>
      <c r="C2054" t="s">
        <v>36</v>
      </c>
      <c r="D2054">
        <v>400.12345953783318</v>
      </c>
    </row>
    <row r="2055" spans="1:4" x14ac:dyDescent="0.35">
      <c r="A2055" t="s">
        <v>14</v>
      </c>
      <c r="B2055" t="s">
        <v>5</v>
      </c>
      <c r="C2055" t="s">
        <v>36</v>
      </c>
      <c r="D2055">
        <v>38.528727790386725</v>
      </c>
    </row>
    <row r="2056" spans="1:4" x14ac:dyDescent="0.35">
      <c r="A2056" t="s">
        <v>15</v>
      </c>
      <c r="B2056" t="s">
        <v>5</v>
      </c>
      <c r="C2056" t="s">
        <v>36</v>
      </c>
      <c r="D2056">
        <v>2.8008429804219572</v>
      </c>
    </row>
    <row r="2057" spans="1:4" x14ac:dyDescent="0.35">
      <c r="A2057" t="s">
        <v>16</v>
      </c>
      <c r="B2057" t="s">
        <v>5</v>
      </c>
      <c r="C2057" t="s">
        <v>36</v>
      </c>
      <c r="D2057">
        <v>0</v>
      </c>
    </row>
    <row r="2058" spans="1:4" x14ac:dyDescent="0.35">
      <c r="A2058" t="s">
        <v>17</v>
      </c>
      <c r="B2058" t="s">
        <v>5</v>
      </c>
      <c r="C2058" t="s">
        <v>36</v>
      </c>
      <c r="D2058">
        <v>5.4952549171472874E-2</v>
      </c>
    </row>
    <row r="2059" spans="1:4" x14ac:dyDescent="0.35">
      <c r="A2059" t="s">
        <v>18</v>
      </c>
      <c r="B2059" t="s">
        <v>5</v>
      </c>
      <c r="C2059" t="s">
        <v>36</v>
      </c>
      <c r="D2059">
        <v>0</v>
      </c>
    </row>
    <row r="2060" spans="1:4" x14ac:dyDescent="0.35">
      <c r="A2060" t="s">
        <v>19</v>
      </c>
      <c r="B2060" t="s">
        <v>5</v>
      </c>
      <c r="C2060" t="s">
        <v>36</v>
      </c>
      <c r="D2060">
        <v>7.5520342248953174</v>
      </c>
    </row>
    <row r="2061" spans="1:4" x14ac:dyDescent="0.35">
      <c r="A2061" t="s">
        <v>20</v>
      </c>
      <c r="B2061" t="s">
        <v>5</v>
      </c>
      <c r="C2061" t="s">
        <v>36</v>
      </c>
      <c r="D2061">
        <v>0.137221866021319</v>
      </c>
    </row>
    <row r="2062" spans="1:4" x14ac:dyDescent="0.35">
      <c r="A2062" t="s">
        <v>21</v>
      </c>
      <c r="B2062" t="s">
        <v>5</v>
      </c>
      <c r="C2062" t="s">
        <v>36</v>
      </c>
      <c r="D2062">
        <v>0.95465383894256961</v>
      </c>
    </row>
    <row r="2063" spans="1:4" x14ac:dyDescent="0.35">
      <c r="A2063" t="s">
        <v>22</v>
      </c>
      <c r="B2063" t="s">
        <v>5</v>
      </c>
      <c r="C2063" t="s">
        <v>36</v>
      </c>
      <c r="D2063">
        <v>18.581609670229916</v>
      </c>
    </row>
    <row r="2064" spans="1:4" x14ac:dyDescent="0.35">
      <c r="A2064" t="s">
        <v>23</v>
      </c>
      <c r="B2064" t="s">
        <v>5</v>
      </c>
      <c r="C2064" t="s">
        <v>36</v>
      </c>
      <c r="D2064">
        <v>1.3765848726619303</v>
      </c>
    </row>
    <row r="2065" spans="1:4" x14ac:dyDescent="0.35">
      <c r="A2065" t="s">
        <v>24</v>
      </c>
      <c r="B2065" t="s">
        <v>5</v>
      </c>
      <c r="C2065" t="s">
        <v>36</v>
      </c>
      <c r="D2065">
        <v>5.7389770205339969</v>
      </c>
    </row>
    <row r="2066" spans="1:4" x14ac:dyDescent="0.35">
      <c r="A2066" t="s">
        <v>25</v>
      </c>
      <c r="B2066" t="s">
        <v>5</v>
      </c>
      <c r="C2066" t="s">
        <v>36</v>
      </c>
      <c r="D2066">
        <v>2.6540233110677551</v>
      </c>
    </row>
    <row r="2067" spans="1:4" x14ac:dyDescent="0.35">
      <c r="A2067" t="s">
        <v>26</v>
      </c>
      <c r="B2067" t="s">
        <v>5</v>
      </c>
      <c r="C2067" t="s">
        <v>36</v>
      </c>
      <c r="D2067">
        <v>0.31511810887697328</v>
      </c>
    </row>
    <row r="2068" spans="1:4" x14ac:dyDescent="0.35">
      <c r="A2068" t="s">
        <v>27</v>
      </c>
      <c r="B2068" t="s">
        <v>5</v>
      </c>
      <c r="C2068" t="s">
        <v>36</v>
      </c>
      <c r="D2068">
        <v>10.09499631818967</v>
      </c>
    </row>
    <row r="2069" spans="1:4" x14ac:dyDescent="0.35">
      <c r="A2069" t="s">
        <v>28</v>
      </c>
      <c r="B2069" t="s">
        <v>5</v>
      </c>
      <c r="C2069" t="s">
        <v>36</v>
      </c>
      <c r="D2069">
        <v>0</v>
      </c>
    </row>
    <row r="2070" spans="1:4" x14ac:dyDescent="0.35">
      <c r="A2070" t="s">
        <v>29</v>
      </c>
      <c r="B2070" t="s">
        <v>5</v>
      </c>
      <c r="C2070" t="s">
        <v>36</v>
      </c>
      <c r="D2070">
        <v>0.45274491595663902</v>
      </c>
    </row>
    <row r="2071" spans="1:4" x14ac:dyDescent="0.35">
      <c r="A2071" t="s">
        <v>30</v>
      </c>
      <c r="B2071" t="s">
        <v>5</v>
      </c>
      <c r="C2071" t="s">
        <v>36</v>
      </c>
      <c r="D2071">
        <v>2.3893669372531942E-2</v>
      </c>
    </row>
    <row r="2072" spans="1:4" x14ac:dyDescent="0.35">
      <c r="A2072" t="s">
        <v>31</v>
      </c>
      <c r="B2072" t="s">
        <v>5</v>
      </c>
      <c r="C2072" t="s">
        <v>36</v>
      </c>
      <c r="D2072">
        <v>2.3865018228112844</v>
      </c>
    </row>
    <row r="2073" spans="1:4" x14ac:dyDescent="0.35">
      <c r="A2073" t="s">
        <v>32</v>
      </c>
      <c r="B2073" t="s">
        <v>5</v>
      </c>
      <c r="C2073" t="s">
        <v>36</v>
      </c>
      <c r="D2073">
        <v>7.2778890935290708</v>
      </c>
    </row>
    <row r="2074" spans="1:4" x14ac:dyDescent="0.35">
      <c r="A2074" t="s">
        <v>33</v>
      </c>
      <c r="B2074" t="s">
        <v>5</v>
      </c>
      <c r="C2074" t="s">
        <v>36</v>
      </c>
      <c r="D2074">
        <v>5.482179407747017</v>
      </c>
    </row>
    <row r="2075" spans="1:4" x14ac:dyDescent="0.35">
      <c r="A2075" t="s">
        <v>34</v>
      </c>
      <c r="B2075" t="s">
        <v>5</v>
      </c>
      <c r="C2075" t="s">
        <v>36</v>
      </c>
      <c r="D2075">
        <v>3.1346176320488337</v>
      </c>
    </row>
    <row r="2076" spans="1:4" x14ac:dyDescent="0.35">
      <c r="A2076" t="s">
        <v>35</v>
      </c>
      <c r="B2076" t="s">
        <v>5</v>
      </c>
      <c r="C2076" t="s">
        <v>36</v>
      </c>
      <c r="D2076">
        <v>5.4550728988919399</v>
      </c>
    </row>
    <row r="2077" spans="1:4" x14ac:dyDescent="0.35">
      <c r="A2077" t="s">
        <v>36</v>
      </c>
      <c r="B2077" t="s">
        <v>5</v>
      </c>
      <c r="C2077" t="s">
        <v>36</v>
      </c>
      <c r="D2077">
        <v>12.279296919900187</v>
      </c>
    </row>
    <row r="2078" spans="1:4" x14ac:dyDescent="0.35">
      <c r="A2078" t="s">
        <v>37</v>
      </c>
      <c r="B2078" t="s">
        <v>5</v>
      </c>
      <c r="C2078" t="s">
        <v>36</v>
      </c>
      <c r="D2078">
        <v>4.3886781005292551E-2</v>
      </c>
    </row>
    <row r="2079" spans="1:4" x14ac:dyDescent="0.35">
      <c r="A2079" t="s">
        <v>38</v>
      </c>
      <c r="B2079" t="s">
        <v>5</v>
      </c>
      <c r="C2079" t="s">
        <v>36</v>
      </c>
      <c r="D2079">
        <v>0.74474927663288115</v>
      </c>
    </row>
    <row r="2080" spans="1:4" x14ac:dyDescent="0.35">
      <c r="A2080" t="s">
        <v>39</v>
      </c>
      <c r="B2080" t="s">
        <v>5</v>
      </c>
      <c r="C2080" t="s">
        <v>36</v>
      </c>
      <c r="D2080">
        <v>0</v>
      </c>
    </row>
    <row r="2081" spans="1:4" x14ac:dyDescent="0.35">
      <c r="A2081" t="s">
        <v>7</v>
      </c>
      <c r="B2081" t="s">
        <v>5</v>
      </c>
      <c r="C2081" t="s">
        <v>37</v>
      </c>
      <c r="D2081">
        <v>34.032760578539339</v>
      </c>
    </row>
    <row r="2082" spans="1:4" x14ac:dyDescent="0.35">
      <c r="A2082" t="s">
        <v>8</v>
      </c>
      <c r="B2082" t="s">
        <v>5</v>
      </c>
      <c r="C2082" t="s">
        <v>37</v>
      </c>
      <c r="D2082">
        <v>0</v>
      </c>
    </row>
    <row r="2083" spans="1:4" x14ac:dyDescent="0.35">
      <c r="A2083" t="s">
        <v>9</v>
      </c>
      <c r="B2083" t="s">
        <v>5</v>
      </c>
      <c r="C2083" t="s">
        <v>37</v>
      </c>
      <c r="D2083">
        <v>166.36426640499766</v>
      </c>
    </row>
    <row r="2084" spans="1:4" x14ac:dyDescent="0.35">
      <c r="A2084" t="s">
        <v>10</v>
      </c>
      <c r="B2084" t="s">
        <v>5</v>
      </c>
      <c r="C2084" t="s">
        <v>37</v>
      </c>
      <c r="D2084">
        <v>17.401032481480993</v>
      </c>
    </row>
    <row r="2085" spans="1:4" x14ac:dyDescent="0.35">
      <c r="A2085" t="s">
        <v>11</v>
      </c>
      <c r="B2085" t="s">
        <v>5</v>
      </c>
      <c r="C2085" t="s">
        <v>37</v>
      </c>
      <c r="D2085">
        <v>0</v>
      </c>
    </row>
    <row r="2086" spans="1:4" x14ac:dyDescent="0.35">
      <c r="A2086" t="s">
        <v>12</v>
      </c>
      <c r="B2086" t="s">
        <v>5</v>
      </c>
      <c r="C2086" t="s">
        <v>37</v>
      </c>
      <c r="D2086">
        <v>0</v>
      </c>
    </row>
    <row r="2087" spans="1:4" x14ac:dyDescent="0.35">
      <c r="A2087" t="s">
        <v>13</v>
      </c>
      <c r="B2087" t="s">
        <v>5</v>
      </c>
      <c r="C2087" t="s">
        <v>37</v>
      </c>
      <c r="D2087">
        <v>46.966383152395913</v>
      </c>
    </row>
    <row r="2088" spans="1:4" x14ac:dyDescent="0.35">
      <c r="A2088" t="s">
        <v>14</v>
      </c>
      <c r="B2088" t="s">
        <v>5</v>
      </c>
      <c r="C2088" t="s">
        <v>37</v>
      </c>
      <c r="D2088">
        <v>38.450085569549017</v>
      </c>
    </row>
    <row r="2089" spans="1:4" x14ac:dyDescent="0.35">
      <c r="A2089" t="s">
        <v>15</v>
      </c>
      <c r="B2089" t="s">
        <v>5</v>
      </c>
      <c r="C2089" t="s">
        <v>37</v>
      </c>
      <c r="D2089">
        <v>726.03849565870337</v>
      </c>
    </row>
    <row r="2090" spans="1:4" x14ac:dyDescent="0.35">
      <c r="A2090" t="s">
        <v>16</v>
      </c>
      <c r="B2090" t="s">
        <v>5</v>
      </c>
      <c r="C2090" t="s">
        <v>37</v>
      </c>
      <c r="D2090">
        <v>2.3984050303663942</v>
      </c>
    </row>
    <row r="2091" spans="1:4" x14ac:dyDescent="0.35">
      <c r="A2091" t="s">
        <v>17</v>
      </c>
      <c r="B2091" t="s">
        <v>5</v>
      </c>
      <c r="C2091" t="s">
        <v>37</v>
      </c>
      <c r="D2091">
        <v>20.361633229189692</v>
      </c>
    </row>
    <row r="2092" spans="1:4" x14ac:dyDescent="0.35">
      <c r="A2092" t="s">
        <v>18</v>
      </c>
      <c r="B2092" t="s">
        <v>5</v>
      </c>
      <c r="C2092" t="s">
        <v>37</v>
      </c>
      <c r="D2092">
        <v>0</v>
      </c>
    </row>
    <row r="2093" spans="1:4" x14ac:dyDescent="0.35">
      <c r="A2093" t="s">
        <v>19</v>
      </c>
      <c r="B2093" t="s">
        <v>5</v>
      </c>
      <c r="C2093" t="s">
        <v>37</v>
      </c>
      <c r="D2093">
        <v>35.917237000102794</v>
      </c>
    </row>
    <row r="2094" spans="1:4" x14ac:dyDescent="0.35">
      <c r="A2094" t="s">
        <v>20</v>
      </c>
      <c r="B2094" t="s">
        <v>5</v>
      </c>
      <c r="C2094" t="s">
        <v>37</v>
      </c>
      <c r="D2094">
        <v>2.9989981180957983</v>
      </c>
    </row>
    <row r="2095" spans="1:4" x14ac:dyDescent="0.35">
      <c r="A2095" t="s">
        <v>21</v>
      </c>
      <c r="B2095" t="s">
        <v>5</v>
      </c>
      <c r="C2095" t="s">
        <v>37</v>
      </c>
      <c r="D2095">
        <v>21.496493396111553</v>
      </c>
    </row>
    <row r="2096" spans="1:4" x14ac:dyDescent="0.35">
      <c r="A2096" t="s">
        <v>22</v>
      </c>
      <c r="B2096" t="s">
        <v>5</v>
      </c>
      <c r="C2096" t="s">
        <v>37</v>
      </c>
      <c r="D2096">
        <v>144.69026344684286</v>
      </c>
    </row>
    <row r="2097" spans="1:4" x14ac:dyDescent="0.35">
      <c r="A2097" t="s">
        <v>23</v>
      </c>
      <c r="B2097" t="s">
        <v>5</v>
      </c>
      <c r="C2097" t="s">
        <v>37</v>
      </c>
      <c r="D2097">
        <v>1.9909270241101678</v>
      </c>
    </row>
    <row r="2098" spans="1:4" x14ac:dyDescent="0.35">
      <c r="A2098" t="s">
        <v>24</v>
      </c>
      <c r="B2098" t="s">
        <v>5</v>
      </c>
      <c r="C2098" t="s">
        <v>37</v>
      </c>
      <c r="D2098">
        <v>5.7995097243723963</v>
      </c>
    </row>
    <row r="2099" spans="1:4" x14ac:dyDescent="0.35">
      <c r="A2099" t="s">
        <v>25</v>
      </c>
      <c r="B2099" t="s">
        <v>5</v>
      </c>
      <c r="C2099" t="s">
        <v>37</v>
      </c>
      <c r="D2099">
        <v>3.114226875780048</v>
      </c>
    </row>
    <row r="2100" spans="1:4" x14ac:dyDescent="0.35">
      <c r="A2100" t="s">
        <v>26</v>
      </c>
      <c r="B2100" t="s">
        <v>5</v>
      </c>
      <c r="C2100" t="s">
        <v>37</v>
      </c>
      <c r="D2100">
        <v>0.58222456685935109</v>
      </c>
    </row>
    <row r="2101" spans="1:4" x14ac:dyDescent="0.35">
      <c r="A2101" t="s">
        <v>27</v>
      </c>
      <c r="B2101" t="s">
        <v>5</v>
      </c>
      <c r="C2101" t="s">
        <v>37</v>
      </c>
      <c r="D2101">
        <v>2.5529887388036445</v>
      </c>
    </row>
    <row r="2102" spans="1:4" x14ac:dyDescent="0.35">
      <c r="A2102" t="s">
        <v>28</v>
      </c>
      <c r="B2102" t="s">
        <v>5</v>
      </c>
      <c r="C2102" t="s">
        <v>37</v>
      </c>
      <c r="D2102">
        <v>0</v>
      </c>
    </row>
    <row r="2103" spans="1:4" x14ac:dyDescent="0.35">
      <c r="A2103" t="s">
        <v>29</v>
      </c>
      <c r="B2103" t="s">
        <v>5</v>
      </c>
      <c r="C2103" t="s">
        <v>37</v>
      </c>
      <c r="D2103">
        <v>0.79576005587486509</v>
      </c>
    </row>
    <row r="2104" spans="1:4" x14ac:dyDescent="0.35">
      <c r="A2104" t="s">
        <v>30</v>
      </c>
      <c r="B2104" t="s">
        <v>5</v>
      </c>
      <c r="C2104" t="s">
        <v>37</v>
      </c>
      <c r="D2104">
        <v>6.0366434498271566E-2</v>
      </c>
    </row>
    <row r="2105" spans="1:4" x14ac:dyDescent="0.35">
      <c r="A2105" t="s">
        <v>31</v>
      </c>
      <c r="B2105" t="s">
        <v>5</v>
      </c>
      <c r="C2105" t="s">
        <v>37</v>
      </c>
      <c r="D2105">
        <v>7.1650628684091471</v>
      </c>
    </row>
    <row r="2106" spans="1:4" x14ac:dyDescent="0.35">
      <c r="A2106" t="s">
        <v>32</v>
      </c>
      <c r="B2106" t="s">
        <v>5</v>
      </c>
      <c r="C2106" t="s">
        <v>37</v>
      </c>
      <c r="D2106">
        <v>7.047831732917313</v>
      </c>
    </row>
    <row r="2107" spans="1:4" x14ac:dyDescent="0.35">
      <c r="A2107" t="s">
        <v>33</v>
      </c>
      <c r="B2107" t="s">
        <v>5</v>
      </c>
      <c r="C2107" t="s">
        <v>37</v>
      </c>
      <c r="D2107">
        <v>6.4125959553361254</v>
      </c>
    </row>
    <row r="2108" spans="1:4" x14ac:dyDescent="0.35">
      <c r="A2108" t="s">
        <v>34</v>
      </c>
      <c r="B2108" t="s">
        <v>5</v>
      </c>
      <c r="C2108" t="s">
        <v>37</v>
      </c>
      <c r="D2108">
        <v>4.9262893229227416</v>
      </c>
    </row>
    <row r="2109" spans="1:4" x14ac:dyDescent="0.35">
      <c r="A2109" t="s">
        <v>35</v>
      </c>
      <c r="B2109" t="s">
        <v>5</v>
      </c>
      <c r="C2109" t="s">
        <v>37</v>
      </c>
      <c r="D2109">
        <v>4.2926744175778753</v>
      </c>
    </row>
    <row r="2110" spans="1:4" x14ac:dyDescent="0.35">
      <c r="A2110" t="s">
        <v>36</v>
      </c>
      <c r="B2110" t="s">
        <v>5</v>
      </c>
      <c r="C2110" t="s">
        <v>37</v>
      </c>
      <c r="D2110">
        <v>3.636886255006682E-2</v>
      </c>
    </row>
    <row r="2111" spans="1:4" x14ac:dyDescent="0.35">
      <c r="A2111" t="s">
        <v>37</v>
      </c>
      <c r="B2111" t="s">
        <v>5</v>
      </c>
      <c r="C2111" t="s">
        <v>37</v>
      </c>
      <c r="D2111">
        <v>0.15253580996124305</v>
      </c>
    </row>
    <row r="2112" spans="1:4" x14ac:dyDescent="0.35">
      <c r="A2112" t="s">
        <v>38</v>
      </c>
      <c r="B2112" t="s">
        <v>5</v>
      </c>
      <c r="C2112" t="s">
        <v>37</v>
      </c>
      <c r="D2112">
        <v>9.1698811073975488</v>
      </c>
    </row>
    <row r="2113" spans="1:4" x14ac:dyDescent="0.35">
      <c r="A2113" t="s">
        <v>39</v>
      </c>
      <c r="B2113" t="s">
        <v>5</v>
      </c>
      <c r="C2113" t="s">
        <v>37</v>
      </c>
      <c r="D2113">
        <v>0</v>
      </c>
    </row>
    <row r="2114" spans="1:4" x14ac:dyDescent="0.35">
      <c r="A2114" t="s">
        <v>7</v>
      </c>
      <c r="B2114" t="s">
        <v>5</v>
      </c>
      <c r="C2114" t="s">
        <v>38</v>
      </c>
      <c r="D2114">
        <v>0</v>
      </c>
    </row>
    <row r="2115" spans="1:4" x14ac:dyDescent="0.35">
      <c r="A2115" t="s">
        <v>8</v>
      </c>
      <c r="B2115" t="s">
        <v>5</v>
      </c>
      <c r="C2115" t="s">
        <v>38</v>
      </c>
      <c r="D2115">
        <v>0</v>
      </c>
    </row>
    <row r="2116" spans="1:4" x14ac:dyDescent="0.35">
      <c r="A2116" t="s">
        <v>9</v>
      </c>
      <c r="B2116" t="s">
        <v>5</v>
      </c>
      <c r="C2116" t="s">
        <v>38</v>
      </c>
      <c r="D2116">
        <v>248.76088558944494</v>
      </c>
    </row>
    <row r="2117" spans="1:4" x14ac:dyDescent="0.35">
      <c r="A2117" t="s">
        <v>10</v>
      </c>
      <c r="B2117" t="s">
        <v>5</v>
      </c>
      <c r="C2117" t="s">
        <v>38</v>
      </c>
      <c r="D2117">
        <v>48.364697280557216</v>
      </c>
    </row>
    <row r="2118" spans="1:4" x14ac:dyDescent="0.35">
      <c r="A2118" t="s">
        <v>11</v>
      </c>
      <c r="B2118" t="s">
        <v>5</v>
      </c>
      <c r="C2118" t="s">
        <v>38</v>
      </c>
      <c r="D2118">
        <v>1.5783010688467047</v>
      </c>
    </row>
    <row r="2119" spans="1:4" x14ac:dyDescent="0.35">
      <c r="A2119" t="s">
        <v>12</v>
      </c>
      <c r="B2119" t="s">
        <v>5</v>
      </c>
      <c r="C2119" t="s">
        <v>38</v>
      </c>
      <c r="D2119">
        <v>1.1943796302589695</v>
      </c>
    </row>
    <row r="2120" spans="1:4" x14ac:dyDescent="0.35">
      <c r="A2120" t="s">
        <v>13</v>
      </c>
      <c r="B2120" t="s">
        <v>5</v>
      </c>
      <c r="C2120" t="s">
        <v>38</v>
      </c>
      <c r="D2120">
        <v>20.663972618574483</v>
      </c>
    </row>
    <row r="2121" spans="1:4" x14ac:dyDescent="0.35">
      <c r="A2121" t="s">
        <v>14</v>
      </c>
      <c r="B2121" t="s">
        <v>5</v>
      </c>
      <c r="C2121" t="s">
        <v>38</v>
      </c>
      <c r="D2121">
        <v>174.11448658148208</v>
      </c>
    </row>
    <row r="2122" spans="1:4" x14ac:dyDescent="0.35">
      <c r="A2122" t="s">
        <v>15</v>
      </c>
      <c r="B2122" t="s">
        <v>5</v>
      </c>
      <c r="C2122" t="s">
        <v>38</v>
      </c>
      <c r="D2122">
        <v>179.50176487265458</v>
      </c>
    </row>
    <row r="2123" spans="1:4" x14ac:dyDescent="0.35">
      <c r="A2123" t="s">
        <v>16</v>
      </c>
      <c r="B2123" t="s">
        <v>5</v>
      </c>
      <c r="C2123" t="s">
        <v>38</v>
      </c>
      <c r="D2123">
        <v>12.013365184767787</v>
      </c>
    </row>
    <row r="2124" spans="1:4" x14ac:dyDescent="0.35">
      <c r="A2124" t="s">
        <v>17</v>
      </c>
      <c r="B2124" t="s">
        <v>5</v>
      </c>
      <c r="C2124" t="s">
        <v>38</v>
      </c>
      <c r="D2124">
        <v>0</v>
      </c>
    </row>
    <row r="2125" spans="1:4" x14ac:dyDescent="0.35">
      <c r="A2125" t="s">
        <v>18</v>
      </c>
      <c r="B2125" t="s">
        <v>5</v>
      </c>
      <c r="C2125" t="s">
        <v>38</v>
      </c>
      <c r="D2125">
        <v>0.46290199596115483</v>
      </c>
    </row>
    <row r="2126" spans="1:4" x14ac:dyDescent="0.35">
      <c r="A2126" t="s">
        <v>19</v>
      </c>
      <c r="B2126" t="s">
        <v>5</v>
      </c>
      <c r="C2126" t="s">
        <v>38</v>
      </c>
      <c r="D2126">
        <v>45.461630853889119</v>
      </c>
    </row>
    <row r="2127" spans="1:4" x14ac:dyDescent="0.35">
      <c r="A2127" t="s">
        <v>20</v>
      </c>
      <c r="B2127" t="s">
        <v>5</v>
      </c>
      <c r="C2127" t="s">
        <v>38</v>
      </c>
      <c r="D2127">
        <v>0.66620064264076662</v>
      </c>
    </row>
    <row r="2128" spans="1:4" x14ac:dyDescent="0.35">
      <c r="A2128" t="s">
        <v>21</v>
      </c>
      <c r="B2128" t="s">
        <v>5</v>
      </c>
      <c r="C2128" t="s">
        <v>38</v>
      </c>
      <c r="D2128">
        <v>141.75204127686209</v>
      </c>
    </row>
    <row r="2129" spans="1:4" x14ac:dyDescent="0.35">
      <c r="A2129" t="s">
        <v>22</v>
      </c>
      <c r="B2129" t="s">
        <v>5</v>
      </c>
      <c r="C2129" t="s">
        <v>38</v>
      </c>
      <c r="D2129">
        <v>32.051406022591266</v>
      </c>
    </row>
    <row r="2130" spans="1:4" x14ac:dyDescent="0.35">
      <c r="A2130" t="s">
        <v>23</v>
      </c>
      <c r="B2130" t="s">
        <v>5</v>
      </c>
      <c r="C2130" t="s">
        <v>38</v>
      </c>
      <c r="D2130">
        <v>3.0870300668633095</v>
      </c>
    </row>
    <row r="2131" spans="1:4" x14ac:dyDescent="0.35">
      <c r="A2131" t="s">
        <v>24</v>
      </c>
      <c r="B2131" t="s">
        <v>5</v>
      </c>
      <c r="C2131" t="s">
        <v>38</v>
      </c>
      <c r="D2131">
        <v>10.521416981471114</v>
      </c>
    </row>
    <row r="2132" spans="1:4" x14ac:dyDescent="0.35">
      <c r="A2132" t="s">
        <v>25</v>
      </c>
      <c r="B2132" t="s">
        <v>5</v>
      </c>
      <c r="C2132" t="s">
        <v>38</v>
      </c>
      <c r="D2132">
        <v>4.6577343174910801</v>
      </c>
    </row>
    <row r="2133" spans="1:4" x14ac:dyDescent="0.35">
      <c r="A2133" t="s">
        <v>26</v>
      </c>
      <c r="B2133" t="s">
        <v>5</v>
      </c>
      <c r="C2133" t="s">
        <v>38</v>
      </c>
      <c r="D2133">
        <v>8.7609127352372335E-2</v>
      </c>
    </row>
    <row r="2134" spans="1:4" x14ac:dyDescent="0.35">
      <c r="A2134" t="s">
        <v>27</v>
      </c>
      <c r="B2134" t="s">
        <v>5</v>
      </c>
      <c r="C2134" t="s">
        <v>38</v>
      </c>
      <c r="D2134">
        <v>0.52098795876907911</v>
      </c>
    </row>
    <row r="2135" spans="1:4" x14ac:dyDescent="0.35">
      <c r="A2135" t="s">
        <v>28</v>
      </c>
      <c r="B2135" t="s">
        <v>5</v>
      </c>
      <c r="C2135" t="s">
        <v>38</v>
      </c>
      <c r="D2135">
        <v>0</v>
      </c>
    </row>
    <row r="2136" spans="1:4" x14ac:dyDescent="0.35">
      <c r="A2136" t="s">
        <v>29</v>
      </c>
      <c r="B2136" t="s">
        <v>5</v>
      </c>
      <c r="C2136" t="s">
        <v>38</v>
      </c>
      <c r="D2136">
        <v>0.36251716491804625</v>
      </c>
    </row>
    <row r="2137" spans="1:4" x14ac:dyDescent="0.35">
      <c r="A2137" t="s">
        <v>30</v>
      </c>
      <c r="B2137" t="s">
        <v>5</v>
      </c>
      <c r="C2137" t="s">
        <v>38</v>
      </c>
      <c r="D2137">
        <v>6.0341274646606271E-3</v>
      </c>
    </row>
    <row r="2138" spans="1:4" x14ac:dyDescent="0.35">
      <c r="A2138" t="s">
        <v>31</v>
      </c>
      <c r="B2138" t="s">
        <v>5</v>
      </c>
      <c r="C2138" t="s">
        <v>38</v>
      </c>
      <c r="D2138">
        <v>6.4384805031803181</v>
      </c>
    </row>
    <row r="2139" spans="1:4" x14ac:dyDescent="0.35">
      <c r="A2139" t="s">
        <v>32</v>
      </c>
      <c r="B2139" t="s">
        <v>5</v>
      </c>
      <c r="C2139" t="s">
        <v>38</v>
      </c>
      <c r="D2139">
        <v>9.7048014886398182</v>
      </c>
    </row>
    <row r="2140" spans="1:4" x14ac:dyDescent="0.35">
      <c r="A2140" t="s">
        <v>33</v>
      </c>
      <c r="B2140" t="s">
        <v>5</v>
      </c>
      <c r="C2140" t="s">
        <v>38</v>
      </c>
      <c r="D2140">
        <v>4.651991946064916</v>
      </c>
    </row>
    <row r="2141" spans="1:4" x14ac:dyDescent="0.35">
      <c r="A2141" t="s">
        <v>34</v>
      </c>
      <c r="B2141" t="s">
        <v>5</v>
      </c>
      <c r="C2141" t="s">
        <v>38</v>
      </c>
      <c r="D2141">
        <v>3.4744543196207949</v>
      </c>
    </row>
    <row r="2142" spans="1:4" x14ac:dyDescent="0.35">
      <c r="A2142" t="s">
        <v>35</v>
      </c>
      <c r="B2142" t="s">
        <v>5</v>
      </c>
      <c r="C2142" t="s">
        <v>38</v>
      </c>
      <c r="D2142">
        <v>0.44183512538554748</v>
      </c>
    </row>
    <row r="2143" spans="1:4" x14ac:dyDescent="0.35">
      <c r="A2143" t="s">
        <v>36</v>
      </c>
      <c r="B2143" t="s">
        <v>5</v>
      </c>
      <c r="C2143" t="s">
        <v>38</v>
      </c>
      <c r="D2143">
        <v>2.8352781579844129</v>
      </c>
    </row>
    <row r="2144" spans="1:4" x14ac:dyDescent="0.35">
      <c r="A2144" t="s">
        <v>37</v>
      </c>
      <c r="B2144" t="s">
        <v>5</v>
      </c>
      <c r="C2144" t="s">
        <v>38</v>
      </c>
      <c r="D2144">
        <v>0.26378409324479535</v>
      </c>
    </row>
    <row r="2145" spans="1:4" x14ac:dyDescent="0.35">
      <c r="A2145" t="s">
        <v>38</v>
      </c>
      <c r="B2145" t="s">
        <v>5</v>
      </c>
      <c r="C2145" t="s">
        <v>38</v>
      </c>
      <c r="D2145">
        <v>7.8201324759858295</v>
      </c>
    </row>
    <row r="2146" spans="1:4" x14ac:dyDescent="0.35">
      <c r="A2146" t="s">
        <v>39</v>
      </c>
      <c r="B2146" t="s">
        <v>5</v>
      </c>
      <c r="C2146" t="s">
        <v>38</v>
      </c>
      <c r="D2146">
        <v>0</v>
      </c>
    </row>
    <row r="2147" spans="1:4" x14ac:dyDescent="0.35">
      <c r="A2147" t="s">
        <v>7</v>
      </c>
      <c r="B2147" t="s">
        <v>5</v>
      </c>
      <c r="C2147" t="s">
        <v>39</v>
      </c>
      <c r="D2147">
        <v>0</v>
      </c>
    </row>
    <row r="2148" spans="1:4" x14ac:dyDescent="0.35">
      <c r="A2148" t="s">
        <v>8</v>
      </c>
      <c r="B2148" t="s">
        <v>5</v>
      </c>
      <c r="C2148" t="s">
        <v>39</v>
      </c>
      <c r="D2148">
        <v>0</v>
      </c>
    </row>
    <row r="2149" spans="1:4" x14ac:dyDescent="0.35">
      <c r="A2149" t="s">
        <v>9</v>
      </c>
      <c r="B2149" t="s">
        <v>5</v>
      </c>
      <c r="C2149" t="s">
        <v>39</v>
      </c>
      <c r="D2149">
        <v>0</v>
      </c>
    </row>
    <row r="2150" spans="1:4" x14ac:dyDescent="0.35">
      <c r="A2150" t="s">
        <v>10</v>
      </c>
      <c r="B2150" t="s">
        <v>5</v>
      </c>
      <c r="C2150" t="s">
        <v>39</v>
      </c>
      <c r="D2150">
        <v>0</v>
      </c>
    </row>
    <row r="2151" spans="1:4" x14ac:dyDescent="0.35">
      <c r="A2151" t="s">
        <v>11</v>
      </c>
      <c r="B2151" t="s">
        <v>5</v>
      </c>
      <c r="C2151" t="s">
        <v>39</v>
      </c>
      <c r="D2151">
        <v>0</v>
      </c>
    </row>
    <row r="2152" spans="1:4" x14ac:dyDescent="0.35">
      <c r="A2152" t="s">
        <v>12</v>
      </c>
      <c r="B2152" t="s">
        <v>5</v>
      </c>
      <c r="C2152" t="s">
        <v>39</v>
      </c>
      <c r="D2152">
        <v>0</v>
      </c>
    </row>
    <row r="2153" spans="1:4" x14ac:dyDescent="0.35">
      <c r="A2153" t="s">
        <v>13</v>
      </c>
      <c r="B2153" t="s">
        <v>5</v>
      </c>
      <c r="C2153" t="s">
        <v>39</v>
      </c>
      <c r="D2153">
        <v>0</v>
      </c>
    </row>
    <row r="2154" spans="1:4" x14ac:dyDescent="0.35">
      <c r="A2154" t="s">
        <v>14</v>
      </c>
      <c r="B2154" t="s">
        <v>5</v>
      </c>
      <c r="C2154" t="s">
        <v>39</v>
      </c>
      <c r="D2154">
        <v>0</v>
      </c>
    </row>
    <row r="2155" spans="1:4" x14ac:dyDescent="0.35">
      <c r="A2155" t="s">
        <v>15</v>
      </c>
      <c r="B2155" t="s">
        <v>5</v>
      </c>
      <c r="C2155" t="s">
        <v>39</v>
      </c>
      <c r="D2155">
        <v>0</v>
      </c>
    </row>
    <row r="2156" spans="1:4" x14ac:dyDescent="0.35">
      <c r="A2156" t="s">
        <v>16</v>
      </c>
      <c r="B2156" t="s">
        <v>5</v>
      </c>
      <c r="C2156" t="s">
        <v>39</v>
      </c>
      <c r="D2156">
        <v>0</v>
      </c>
    </row>
    <row r="2157" spans="1:4" x14ac:dyDescent="0.35">
      <c r="A2157" t="s">
        <v>17</v>
      </c>
      <c r="B2157" t="s">
        <v>5</v>
      </c>
      <c r="C2157" t="s">
        <v>39</v>
      </c>
      <c r="D2157">
        <v>0</v>
      </c>
    </row>
    <row r="2158" spans="1:4" x14ac:dyDescent="0.35">
      <c r="A2158" t="s">
        <v>18</v>
      </c>
      <c r="B2158" t="s">
        <v>5</v>
      </c>
      <c r="C2158" t="s">
        <v>39</v>
      </c>
      <c r="D2158">
        <v>0</v>
      </c>
    </row>
    <row r="2159" spans="1:4" x14ac:dyDescent="0.35">
      <c r="A2159" t="s">
        <v>19</v>
      </c>
      <c r="B2159" t="s">
        <v>5</v>
      </c>
      <c r="C2159" t="s">
        <v>39</v>
      </c>
      <c r="D2159">
        <v>0</v>
      </c>
    </row>
    <row r="2160" spans="1:4" x14ac:dyDescent="0.35">
      <c r="A2160" t="s">
        <v>20</v>
      </c>
      <c r="B2160" t="s">
        <v>5</v>
      </c>
      <c r="C2160" t="s">
        <v>39</v>
      </c>
      <c r="D2160">
        <v>0</v>
      </c>
    </row>
    <row r="2161" spans="1:4" x14ac:dyDescent="0.35">
      <c r="A2161" t="s">
        <v>21</v>
      </c>
      <c r="B2161" t="s">
        <v>5</v>
      </c>
      <c r="C2161" t="s">
        <v>39</v>
      </c>
      <c r="D2161">
        <v>0</v>
      </c>
    </row>
    <row r="2162" spans="1:4" x14ac:dyDescent="0.35">
      <c r="A2162" t="s">
        <v>22</v>
      </c>
      <c r="B2162" t="s">
        <v>5</v>
      </c>
      <c r="C2162" t="s">
        <v>39</v>
      </c>
      <c r="D2162">
        <v>0</v>
      </c>
    </row>
    <row r="2163" spans="1:4" x14ac:dyDescent="0.35">
      <c r="A2163" t="s">
        <v>23</v>
      </c>
      <c r="B2163" t="s">
        <v>5</v>
      </c>
      <c r="C2163" t="s">
        <v>39</v>
      </c>
      <c r="D2163">
        <v>0</v>
      </c>
    </row>
    <row r="2164" spans="1:4" x14ac:dyDescent="0.35">
      <c r="A2164" t="s">
        <v>24</v>
      </c>
      <c r="B2164" t="s">
        <v>5</v>
      </c>
      <c r="C2164" t="s">
        <v>39</v>
      </c>
      <c r="D2164">
        <v>0</v>
      </c>
    </row>
    <row r="2165" spans="1:4" x14ac:dyDescent="0.35">
      <c r="A2165" t="s">
        <v>25</v>
      </c>
      <c r="B2165" t="s">
        <v>5</v>
      </c>
      <c r="C2165" t="s">
        <v>39</v>
      </c>
      <c r="D2165">
        <v>0</v>
      </c>
    </row>
    <row r="2166" spans="1:4" x14ac:dyDescent="0.35">
      <c r="A2166" t="s">
        <v>26</v>
      </c>
      <c r="B2166" t="s">
        <v>5</v>
      </c>
      <c r="C2166" t="s">
        <v>39</v>
      </c>
      <c r="D2166">
        <v>0</v>
      </c>
    </row>
    <row r="2167" spans="1:4" x14ac:dyDescent="0.35">
      <c r="A2167" t="s">
        <v>27</v>
      </c>
      <c r="B2167" t="s">
        <v>5</v>
      </c>
      <c r="C2167" t="s">
        <v>39</v>
      </c>
      <c r="D2167">
        <v>0</v>
      </c>
    </row>
    <row r="2168" spans="1:4" x14ac:dyDescent="0.35">
      <c r="A2168" t="s">
        <v>28</v>
      </c>
      <c r="B2168" t="s">
        <v>5</v>
      </c>
      <c r="C2168" t="s">
        <v>39</v>
      </c>
      <c r="D2168">
        <v>0</v>
      </c>
    </row>
    <row r="2169" spans="1:4" x14ac:dyDescent="0.35">
      <c r="A2169" t="s">
        <v>29</v>
      </c>
      <c r="B2169" t="s">
        <v>5</v>
      </c>
      <c r="C2169" t="s">
        <v>39</v>
      </c>
      <c r="D2169">
        <v>0</v>
      </c>
    </row>
    <row r="2170" spans="1:4" x14ac:dyDescent="0.35">
      <c r="A2170" t="s">
        <v>30</v>
      </c>
      <c r="B2170" t="s">
        <v>5</v>
      </c>
      <c r="C2170" t="s">
        <v>39</v>
      </c>
      <c r="D2170">
        <v>0</v>
      </c>
    </row>
    <row r="2171" spans="1:4" x14ac:dyDescent="0.35">
      <c r="A2171" t="s">
        <v>31</v>
      </c>
      <c r="B2171" t="s">
        <v>5</v>
      </c>
      <c r="C2171" t="s">
        <v>39</v>
      </c>
      <c r="D2171">
        <v>0</v>
      </c>
    </row>
    <row r="2172" spans="1:4" x14ac:dyDescent="0.35">
      <c r="A2172" t="s">
        <v>32</v>
      </c>
      <c r="B2172" t="s">
        <v>5</v>
      </c>
      <c r="C2172" t="s">
        <v>39</v>
      </c>
      <c r="D2172">
        <v>0</v>
      </c>
    </row>
    <row r="2173" spans="1:4" x14ac:dyDescent="0.35">
      <c r="A2173" t="s">
        <v>33</v>
      </c>
      <c r="B2173" t="s">
        <v>5</v>
      </c>
      <c r="C2173" t="s">
        <v>39</v>
      </c>
      <c r="D2173">
        <v>0</v>
      </c>
    </row>
    <row r="2174" spans="1:4" x14ac:dyDescent="0.35">
      <c r="A2174" t="s">
        <v>34</v>
      </c>
      <c r="B2174" t="s">
        <v>5</v>
      </c>
      <c r="C2174" t="s">
        <v>39</v>
      </c>
      <c r="D2174">
        <v>0</v>
      </c>
    </row>
    <row r="2175" spans="1:4" x14ac:dyDescent="0.35">
      <c r="A2175" t="s">
        <v>35</v>
      </c>
      <c r="B2175" t="s">
        <v>5</v>
      </c>
      <c r="C2175" t="s">
        <v>39</v>
      </c>
      <c r="D2175">
        <v>0</v>
      </c>
    </row>
    <row r="2176" spans="1:4" x14ac:dyDescent="0.35">
      <c r="A2176" t="s">
        <v>36</v>
      </c>
      <c r="B2176" t="s">
        <v>5</v>
      </c>
      <c r="C2176" t="s">
        <v>39</v>
      </c>
      <c r="D2176">
        <v>0</v>
      </c>
    </row>
    <row r="2177" spans="1:4" x14ac:dyDescent="0.35">
      <c r="A2177" t="s">
        <v>37</v>
      </c>
      <c r="B2177" t="s">
        <v>5</v>
      </c>
      <c r="C2177" t="s">
        <v>39</v>
      </c>
      <c r="D2177">
        <v>0</v>
      </c>
    </row>
    <row r="2178" spans="1:4" x14ac:dyDescent="0.35">
      <c r="A2178" t="s">
        <v>38</v>
      </c>
      <c r="B2178" t="s">
        <v>5</v>
      </c>
      <c r="C2178" t="s">
        <v>39</v>
      </c>
      <c r="D2178">
        <v>0</v>
      </c>
    </row>
    <row r="2179" spans="1:4" x14ac:dyDescent="0.35">
      <c r="A2179" t="s">
        <v>39</v>
      </c>
      <c r="B2179" t="s">
        <v>5</v>
      </c>
      <c r="C2179" t="s">
        <v>39</v>
      </c>
      <c r="D217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AD22-844B-44A8-9BBE-2CB5BBE577D8}">
  <sheetPr codeName="Sheet7">
    <tabColor rgb="FFFFC000"/>
  </sheetPr>
  <dimension ref="A1:B34"/>
  <sheetViews>
    <sheetView workbookViewId="0">
      <selection activeCell="R21" sqref="R21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 s="8">
        <f>'1CAP'!B2/0.15</f>
        <v>2762.1491038158647</v>
      </c>
    </row>
    <row r="3" spans="1:2" x14ac:dyDescent="0.35">
      <c r="A3" t="s">
        <v>8</v>
      </c>
      <c r="B3" s="8">
        <f>'1CAP'!B3/0.15</f>
        <v>49042.65507684138</v>
      </c>
    </row>
    <row r="4" spans="1:2" x14ac:dyDescent="0.35">
      <c r="A4" t="s">
        <v>9</v>
      </c>
      <c r="B4" s="8">
        <f>'1CAP'!B4/0.15</f>
        <v>22662.129433207792</v>
      </c>
    </row>
    <row r="5" spans="1:2" x14ac:dyDescent="0.35">
      <c r="A5" t="s">
        <v>10</v>
      </c>
      <c r="B5" s="8">
        <f>'1CAP'!B5/0.15</f>
        <v>5416.5816989448349</v>
      </c>
    </row>
    <row r="6" spans="1:2" x14ac:dyDescent="0.35">
      <c r="A6" t="s">
        <v>11</v>
      </c>
      <c r="B6" s="8">
        <f>'1CAP'!B6/0.15</f>
        <v>25.404263363594929</v>
      </c>
    </row>
    <row r="7" spans="1:2" x14ac:dyDescent="0.35">
      <c r="A7" t="s">
        <v>12</v>
      </c>
      <c r="B7" s="8">
        <f>'1CAP'!B7/0.15</f>
        <v>2051.157195770782</v>
      </c>
    </row>
    <row r="8" spans="1:2" x14ac:dyDescent="0.35">
      <c r="A8" t="s">
        <v>13</v>
      </c>
      <c r="B8" s="8">
        <f>'1CAP'!B8/0.15</f>
        <v>5861.0992259569584</v>
      </c>
    </row>
    <row r="9" spans="1:2" x14ac:dyDescent="0.35">
      <c r="A9" t="s">
        <v>14</v>
      </c>
      <c r="B9" s="8">
        <f>'1CAP'!B9/0.15</f>
        <v>12854.701327233939</v>
      </c>
    </row>
    <row r="10" spans="1:2" x14ac:dyDescent="0.35">
      <c r="A10" t="s">
        <v>15</v>
      </c>
      <c r="B10" s="8">
        <f>'1CAP'!B10/0.15</f>
        <v>16245.114280442513</v>
      </c>
    </row>
    <row r="11" spans="1:2" x14ac:dyDescent="0.35">
      <c r="A11" t="s">
        <v>16</v>
      </c>
      <c r="B11" s="8">
        <f>'1CAP'!B11/0.15</f>
        <v>8015.6187424950958</v>
      </c>
    </row>
    <row r="12" spans="1:2" x14ac:dyDescent="0.35">
      <c r="A12" t="s">
        <v>17</v>
      </c>
      <c r="B12" s="8">
        <f>'1CAP'!B12/0.15</f>
        <v>5643.5775592795007</v>
      </c>
    </row>
    <row r="13" spans="1:2" x14ac:dyDescent="0.35">
      <c r="A13" t="s">
        <v>18</v>
      </c>
      <c r="B13" s="8">
        <f>'1CAP'!B13/0.15</f>
        <v>48814.375002162458</v>
      </c>
    </row>
    <row r="14" spans="1:2" x14ac:dyDescent="0.35">
      <c r="A14" t="s">
        <v>19</v>
      </c>
      <c r="B14" s="8">
        <f>'1CAP'!B14/0.15</f>
        <v>6545.5485890239233</v>
      </c>
    </row>
    <row r="15" spans="1:2" x14ac:dyDescent="0.35">
      <c r="A15" t="s">
        <v>20</v>
      </c>
      <c r="B15" s="8">
        <f>'1CAP'!B15/0.15</f>
        <v>4567.3789367923182</v>
      </c>
    </row>
    <row r="16" spans="1:2" x14ac:dyDescent="0.35">
      <c r="A16" t="s">
        <v>21</v>
      </c>
      <c r="B16" s="8">
        <f>'1CAP'!B16/0.15</f>
        <v>4094.8050938087108</v>
      </c>
    </row>
    <row r="17" spans="1:2" x14ac:dyDescent="0.35">
      <c r="A17" t="s">
        <v>22</v>
      </c>
      <c r="B17" s="8">
        <f>'1CAP'!B17/0.15</f>
        <v>13352.635318184266</v>
      </c>
    </row>
    <row r="18" spans="1:2" x14ac:dyDescent="0.35">
      <c r="A18" t="s">
        <v>23</v>
      </c>
      <c r="B18" s="8">
        <f>'1CAP'!B18/0.15</f>
        <v>95328.615269564791</v>
      </c>
    </row>
    <row r="19" spans="1:2" x14ac:dyDescent="0.35">
      <c r="A19" t="s">
        <v>24</v>
      </c>
      <c r="B19" s="8">
        <f>'1CAP'!B19/0.15</f>
        <v>41617.730885180499</v>
      </c>
    </row>
    <row r="20" spans="1:2" x14ac:dyDescent="0.35">
      <c r="A20" t="s">
        <v>25</v>
      </c>
      <c r="B20" s="8">
        <f>'1CAP'!B20/0.15</f>
        <v>287964.7252166844</v>
      </c>
    </row>
    <row r="21" spans="1:2" x14ac:dyDescent="0.35">
      <c r="A21" t="s">
        <v>26</v>
      </c>
      <c r="B21" s="8">
        <f>'1CAP'!B21/0.15</f>
        <v>98934.221314599403</v>
      </c>
    </row>
    <row r="22" spans="1:2" x14ac:dyDescent="0.35">
      <c r="A22" t="s">
        <v>27</v>
      </c>
      <c r="B22" s="8">
        <f>'1CAP'!B22/0.15</f>
        <v>26839.322663125771</v>
      </c>
    </row>
    <row r="23" spans="1:2" x14ac:dyDescent="0.35">
      <c r="A23" t="s">
        <v>28</v>
      </c>
      <c r="B23" s="8">
        <f>'1CAP'!B23/0.15</f>
        <v>2396.8813295866375</v>
      </c>
    </row>
    <row r="24" spans="1:2" x14ac:dyDescent="0.35">
      <c r="A24" t="s">
        <v>29</v>
      </c>
      <c r="B24" s="8">
        <f>'1CAP'!B24/0.15</f>
        <v>110710.71945049742</v>
      </c>
    </row>
    <row r="25" spans="1:2" x14ac:dyDescent="0.35">
      <c r="A25" t="s">
        <v>30</v>
      </c>
      <c r="B25" s="8">
        <f>'1CAP'!B25/0.15</f>
        <v>64396.96989012351</v>
      </c>
    </row>
    <row r="26" spans="1:2" x14ac:dyDescent="0.35">
      <c r="A26" t="s">
        <v>31</v>
      </c>
      <c r="B26" s="8">
        <f>'1CAP'!B26/0.15</f>
        <v>17646.526885360705</v>
      </c>
    </row>
    <row r="27" spans="1:2" x14ac:dyDescent="0.35">
      <c r="A27" t="s">
        <v>32</v>
      </c>
      <c r="B27" s="8">
        <f>'1CAP'!B27/0.15</f>
        <v>226156.16932644224</v>
      </c>
    </row>
    <row r="28" spans="1:2" x14ac:dyDescent="0.35">
      <c r="A28" t="s">
        <v>33</v>
      </c>
      <c r="B28" s="8">
        <f>'1CAP'!B28/0.15</f>
        <v>79461.059067776616</v>
      </c>
    </row>
    <row r="29" spans="1:2" x14ac:dyDescent="0.35">
      <c r="A29" t="s">
        <v>34</v>
      </c>
      <c r="B29" s="8">
        <f>'1CAP'!B29/0.15</f>
        <v>44840.13904083884</v>
      </c>
    </row>
    <row r="30" spans="1:2" x14ac:dyDescent="0.35">
      <c r="A30" t="s">
        <v>35</v>
      </c>
      <c r="B30" s="8">
        <f>'1CAP'!B30/0.15</f>
        <v>49320.135458424629</v>
      </c>
    </row>
    <row r="31" spans="1:2" x14ac:dyDescent="0.35">
      <c r="A31" t="s">
        <v>36</v>
      </c>
      <c r="B31" s="8">
        <f>'1CAP'!B31/0.15</f>
        <v>11679.413655881181</v>
      </c>
    </row>
    <row r="32" spans="1:2" x14ac:dyDescent="0.35">
      <c r="A32" t="s">
        <v>37</v>
      </c>
      <c r="B32" s="8">
        <f>'1CAP'!B32/0.15</f>
        <v>488.07903467002689</v>
      </c>
    </row>
    <row r="33" spans="1:2" x14ac:dyDescent="0.35">
      <c r="A33" t="s">
        <v>38</v>
      </c>
      <c r="B33" s="8">
        <f>'1CAP'!B33/0.15</f>
        <v>277.45652086699317</v>
      </c>
    </row>
    <row r="34" spans="1:2" x14ac:dyDescent="0.35">
      <c r="A34" t="s">
        <v>39</v>
      </c>
      <c r="B34" s="8">
        <f>'1CAP'!B34/0.15</f>
        <v>2.2794892592840674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8CCF-9234-4BF0-AC33-62603E8D2E89}">
  <sheetPr codeName="Sheet8">
    <tabColor rgb="FFFFC000"/>
  </sheetPr>
  <dimension ref="A1:B35"/>
  <sheetViews>
    <sheetView workbookViewId="0">
      <selection activeCell="R21" sqref="R21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ht="15" thickBot="1" x14ac:dyDescent="0.4">
      <c r="A2" t="s">
        <v>7</v>
      </c>
      <c r="B2" s="9">
        <f>VCAPSTOCK!B2*0.0410637168940699</f>
        <v>113.42410881830357</v>
      </c>
    </row>
    <row r="3" spans="1:2" ht="15.5" thickTop="1" thickBot="1" x14ac:dyDescent="0.4">
      <c r="A3" t="s">
        <v>8</v>
      </c>
      <c r="B3" s="9">
        <f>VCAPSTOCK!B3*0.0410637168940699</f>
        <v>2013.8737038089344</v>
      </c>
    </row>
    <row r="4" spans="1:2" ht="15.5" thickTop="1" thickBot="1" x14ac:dyDescent="0.4">
      <c r="A4" t="s">
        <v>9</v>
      </c>
      <c r="B4" s="9">
        <f>VCAPSTOCK!B4*0.0410637168940699</f>
        <v>930.59126726201362</v>
      </c>
    </row>
    <row r="5" spans="1:2" ht="15.5" thickTop="1" thickBot="1" x14ac:dyDescent="0.4">
      <c r="A5" t="s">
        <v>10</v>
      </c>
      <c r="B5" s="9">
        <f>VCAPSTOCK!B5*0.0410637168940699</f>
        <v>222.42497741907087</v>
      </c>
    </row>
    <row r="6" spans="1:2" ht="15.5" thickTop="1" thickBot="1" x14ac:dyDescent="0.4">
      <c r="A6" t="s">
        <v>11</v>
      </c>
      <c r="B6" s="9">
        <f>VCAPSTOCK!B6*0.0410637168940699</f>
        <v>1.0431934786650541</v>
      </c>
    </row>
    <row r="7" spans="1:2" ht="15.5" thickTop="1" thickBot="1" x14ac:dyDescent="0.4">
      <c r="A7" t="s">
        <v>12</v>
      </c>
      <c r="B7" s="9">
        <f>VCAPSTOCK!B7*0.0410637168940699</f>
        <v>84.228138392365707</v>
      </c>
    </row>
    <row r="8" spans="1:2" ht="15.5" thickTop="1" thickBot="1" x14ac:dyDescent="0.4">
      <c r="A8" t="s">
        <v>13</v>
      </c>
      <c r="B8" s="9">
        <f>VCAPSTOCK!B8*0.0410637168940699</f>
        <v>240.67851930274878</v>
      </c>
    </row>
    <row r="9" spans="1:2" ht="15.5" thickTop="1" thickBot="1" x14ac:dyDescent="0.4">
      <c r="A9" t="s">
        <v>14</v>
      </c>
      <c r="B9" s="9">
        <f>VCAPSTOCK!B9*0.0410637168940699</f>
        <v>527.86181605935906</v>
      </c>
    </row>
    <row r="10" spans="1:2" ht="15.5" thickTop="1" thickBot="1" x14ac:dyDescent="0.4">
      <c r="A10" t="s">
        <v>15</v>
      </c>
      <c r="B10" s="9">
        <f>VCAPSTOCK!B10*0.0410637168940699</f>
        <v>667.08477372390337</v>
      </c>
    </row>
    <row r="11" spans="1:2" ht="15.5" thickTop="1" thickBot="1" x14ac:dyDescent="0.4">
      <c r="A11" t="s">
        <v>16</v>
      </c>
      <c r="B11" s="9">
        <f>VCAPSTOCK!B11*0.0410637168940699</f>
        <v>329.15109877261921</v>
      </c>
    </row>
    <row r="12" spans="1:2" ht="15.5" thickTop="1" thickBot="1" x14ac:dyDescent="0.4">
      <c r="A12" t="s">
        <v>17</v>
      </c>
      <c r="B12" s="9">
        <f>VCAPSTOCK!B12*0.0410637168940699</f>
        <v>231.74627116397943</v>
      </c>
    </row>
    <row r="13" spans="1:2" ht="15.5" thickTop="1" thickBot="1" x14ac:dyDescent="0.4">
      <c r="A13" t="s">
        <v>18</v>
      </c>
      <c r="B13" s="9">
        <f>VCAPSTOCK!B13*0.0410637168940699</f>
        <v>2004.499675449762</v>
      </c>
    </row>
    <row r="14" spans="1:2" ht="15.5" thickTop="1" thickBot="1" x14ac:dyDescent="0.4">
      <c r="A14" t="s">
        <v>19</v>
      </c>
      <c r="B14" s="9">
        <f>VCAPSTOCK!B14*0.0410637168940699</f>
        <v>268.7845541760571</v>
      </c>
    </row>
    <row r="15" spans="1:2" ht="15.5" thickTop="1" thickBot="1" x14ac:dyDescent="0.4">
      <c r="A15" t="s">
        <v>20</v>
      </c>
      <c r="B15" s="9">
        <f>VCAPSTOCK!B15*0.0410637168940699</f>
        <v>187.55355560837774</v>
      </c>
    </row>
    <row r="16" spans="1:2" ht="15.5" thickTop="1" thickBot="1" x14ac:dyDescent="0.4">
      <c r="A16" t="s">
        <v>21</v>
      </c>
      <c r="B16" s="9">
        <f>VCAPSTOCK!B16*0.0410637168940699</f>
        <v>168.14791710855624</v>
      </c>
    </row>
    <row r="17" spans="1:2" ht="15.5" thickTop="1" thickBot="1" x14ac:dyDescent="0.4">
      <c r="A17" t="s">
        <v>22</v>
      </c>
      <c r="B17" s="9">
        <f>VCAPSTOCK!B17*0.0410637168940699</f>
        <v>548.30883649567772</v>
      </c>
    </row>
    <row r="18" spans="1:2" ht="15.5" thickTop="1" thickBot="1" x14ac:dyDescent="0.4">
      <c r="A18" t="s">
        <v>23</v>
      </c>
      <c r="B18" s="9">
        <f>VCAPSTOCK!B18*0.0410637168940699</f>
        <v>3914.5472693331176</v>
      </c>
    </row>
    <row r="19" spans="1:2" ht="15.5" thickTop="1" thickBot="1" x14ac:dyDescent="0.4">
      <c r="A19" t="s">
        <v>24</v>
      </c>
      <c r="B19" s="9">
        <f>VCAPSTOCK!B19*0.0410637168940699</f>
        <v>1708.9787188426412</v>
      </c>
    </row>
    <row r="20" spans="1:2" ht="15.5" thickTop="1" thickBot="1" x14ac:dyDescent="0.4">
      <c r="A20" t="s">
        <v>25</v>
      </c>
      <c r="B20" s="9">
        <f>VCAPSTOCK!B20*0.0410637168940699</f>
        <v>11824.901951776561</v>
      </c>
    </row>
    <row r="21" spans="1:2" ht="15.5" thickTop="1" thickBot="1" x14ac:dyDescent="0.4">
      <c r="A21" t="s">
        <v>26</v>
      </c>
      <c r="B21" s="9">
        <f>VCAPSTOCK!B21*0.0410637168940699</f>
        <v>4062.6068551979661</v>
      </c>
    </row>
    <row r="22" spans="1:2" ht="15.5" thickTop="1" thickBot="1" x14ac:dyDescent="0.4">
      <c r="A22" t="s">
        <v>27</v>
      </c>
      <c r="B22" s="9">
        <f>VCAPSTOCK!B22*0.0410637168940699</f>
        <v>1102.1223474671908</v>
      </c>
    </row>
    <row r="23" spans="1:2" ht="15.5" thickTop="1" thickBot="1" x14ac:dyDescent="0.4">
      <c r="A23" t="s">
        <v>28</v>
      </c>
      <c r="B23" s="9">
        <f>VCAPSTOCK!B23*0.0410637168940699</f>
        <v>98.424856346827539</v>
      </c>
    </row>
    <row r="24" spans="1:2" ht="15.5" thickTop="1" thickBot="1" x14ac:dyDescent="0.4">
      <c r="A24" t="s">
        <v>29</v>
      </c>
      <c r="B24" s="9">
        <f>VCAPSTOCK!B24*0.0410637168940699</f>
        <v>4546.1936406540244</v>
      </c>
    </row>
    <row r="25" spans="1:2" ht="15.5" thickTop="1" thickBot="1" x14ac:dyDescent="0.4">
      <c r="A25" t="s">
        <v>30</v>
      </c>
      <c r="B25" s="9">
        <f>VCAPSTOCK!B25*0.0410637168940699</f>
        <v>2644.3789404039753</v>
      </c>
    </row>
    <row r="26" spans="1:2" ht="15.5" thickTop="1" thickBot="1" x14ac:dyDescent="0.4">
      <c r="A26" t="s">
        <v>31</v>
      </c>
      <c r="B26" s="9">
        <f>VCAPSTOCK!B26*0.0410637168940699</f>
        <v>724.63198418404511</v>
      </c>
    </row>
    <row r="27" spans="1:2" ht="15.5" thickTop="1" thickBot="1" x14ac:dyDescent="0.4">
      <c r="A27" t="s">
        <v>32</v>
      </c>
      <c r="B27" s="9">
        <f>VCAPSTOCK!B27*0.0410637168940699</f>
        <v>9286.8129110683585</v>
      </c>
    </row>
    <row r="28" spans="1:2" ht="15.5" thickTop="1" thickBot="1" x14ac:dyDescent="0.4">
      <c r="A28" t="s">
        <v>33</v>
      </c>
      <c r="B28" s="9">
        <f>VCAPSTOCK!B28*0.0410637168940699</f>
        <v>3262.9664336621449</v>
      </c>
    </row>
    <row r="29" spans="1:2" ht="15.5" thickTop="1" thickBot="1" x14ac:dyDescent="0.4">
      <c r="A29" t="s">
        <v>34</v>
      </c>
      <c r="B29" s="9">
        <f>VCAPSTOCK!B29*0.0410637168940699</f>
        <v>1841.3027750637373</v>
      </c>
    </row>
    <row r="30" spans="1:2" ht="15.5" thickTop="1" thickBot="1" x14ac:dyDescent="0.4">
      <c r="A30" t="s">
        <v>35</v>
      </c>
      <c r="B30" s="9">
        <f>VCAPSTOCK!B30*0.0410637168940699</f>
        <v>2025.2680796419274</v>
      </c>
    </row>
    <row r="31" spans="1:2" ht="15.5" thickTop="1" thickBot="1" x14ac:dyDescent="0.4">
      <c r="A31" t="s">
        <v>36</v>
      </c>
      <c r="B31" s="9">
        <f>VCAPSTOCK!B31*0.0410637168940699</f>
        <v>479.60013585383876</v>
      </c>
    </row>
    <row r="32" spans="1:2" ht="15.5" thickTop="1" thickBot="1" x14ac:dyDescent="0.4">
      <c r="A32" t="s">
        <v>37</v>
      </c>
      <c r="B32" s="9">
        <f>VCAPSTOCK!B32*0.0410637168940699</f>
        <v>20.042339301620913</v>
      </c>
    </row>
    <row r="33" spans="1:2" ht="15.5" thickTop="1" thickBot="1" x14ac:dyDescent="0.4">
      <c r="A33" t="s">
        <v>38</v>
      </c>
      <c r="B33" s="9">
        <f>VCAPSTOCK!B33*0.0410637168940699</f>
        <v>11.393396023295805</v>
      </c>
    </row>
    <row r="34" spans="1:2" ht="15.5" thickTop="1" thickBot="1" x14ac:dyDescent="0.4">
      <c r="A34" t="s">
        <v>39</v>
      </c>
      <c r="B34" s="9">
        <f>VCAPSTOCK!B34*0.0410637168940699</f>
        <v>9.3604301606314042E-2</v>
      </c>
    </row>
    <row r="35" spans="1:2" ht="15" thickTop="1" x14ac:dyDescent="0.3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AD6F-79C2-463A-A314-4E779D6CAED9}">
  <sheetPr>
    <tabColor rgb="FFFFC000"/>
  </sheetPr>
  <dimension ref="A1:V2179"/>
  <sheetViews>
    <sheetView workbookViewId="0">
      <selection activeCell="M52" sqref="M52"/>
    </sheetView>
  </sheetViews>
  <sheetFormatPr defaultRowHeight="14.5" x14ac:dyDescent="0.35"/>
  <sheetData>
    <row r="1" spans="1:22" x14ac:dyDescent="0.35">
      <c r="A1" s="1" t="s">
        <v>1</v>
      </c>
      <c r="B1" s="1" t="s">
        <v>2</v>
      </c>
      <c r="C1" s="1" t="s">
        <v>0</v>
      </c>
      <c r="K1" s="1" t="s">
        <v>1</v>
      </c>
      <c r="L1" s="1" t="s">
        <v>2</v>
      </c>
      <c r="M1" s="1" t="s">
        <v>3</v>
      </c>
      <c r="N1" s="1" t="s">
        <v>0</v>
      </c>
    </row>
    <row r="2" spans="1:22" x14ac:dyDescent="0.35">
      <c r="A2" t="s">
        <v>7</v>
      </c>
      <c r="B2" t="s">
        <v>4</v>
      </c>
      <c r="C2">
        <v>22.681406791589673</v>
      </c>
      <c r="F2">
        <v>0</v>
      </c>
      <c r="G2">
        <v>0</v>
      </c>
      <c r="H2">
        <v>0</v>
      </c>
      <c r="K2" t="str">
        <f ca="1">OFFSET(A$2,G2,0)</f>
        <v>AG</v>
      </c>
      <c r="L2" t="str">
        <f ca="1">OFFSET($V$3,H2,0)</f>
        <v>dom</v>
      </c>
      <c r="M2" t="str">
        <f t="shared" ref="M2:M65" ca="1" si="0">OFFSET(A$2,F2,0)</f>
        <v>AG</v>
      </c>
      <c r="N2">
        <f t="shared" ref="N2:N65" ca="1" si="1">SUMIFS(C:C,A:A,K2,B:B,L2)*SUMIFS(U:U,S:S,M2)</f>
        <v>4.5862900647655185E-2</v>
      </c>
      <c r="P2" t="s">
        <v>52</v>
      </c>
      <c r="Q2">
        <f ca="1">SUM(N2:N2179)-SUM(C2:C67)</f>
        <v>0</v>
      </c>
      <c r="S2" s="1" t="s">
        <v>3</v>
      </c>
      <c r="T2" s="1" t="s">
        <v>0</v>
      </c>
    </row>
    <row r="3" spans="1:22" x14ac:dyDescent="0.35">
      <c r="A3" t="s">
        <v>8</v>
      </c>
      <c r="B3" t="s">
        <v>4</v>
      </c>
      <c r="C3">
        <v>39.565834700082526</v>
      </c>
      <c r="F3">
        <f t="shared" ref="F3:F66" si="2">F2</f>
        <v>0</v>
      </c>
      <c r="G3">
        <f t="shared" ref="G3:G34" si="3">G2+1</f>
        <v>1</v>
      </c>
      <c r="H3">
        <v>0</v>
      </c>
      <c r="K3" t="str">
        <f t="shared" ref="K3:K66" ca="1" si="4">OFFSET(A$2,G3,0)</f>
        <v>MIN</v>
      </c>
      <c r="L3" t="str">
        <f t="shared" ref="L3:L66" ca="1" si="5">OFFSET($V$3,H3,0)</f>
        <v>dom</v>
      </c>
      <c r="M3" t="str">
        <f t="shared" ca="1" si="0"/>
        <v>AG</v>
      </c>
      <c r="N3">
        <f t="shared" ca="1" si="1"/>
        <v>8.0004029845463245E-2</v>
      </c>
      <c r="S3" t="s">
        <v>7</v>
      </c>
      <c r="T3" s="8">
        <f>'1CAP'!B2</f>
        <v>414.32236557237968</v>
      </c>
      <c r="U3" s="7">
        <f>T3/SUM($T$3:$T$35)</f>
        <v>2.0220483265906272E-3</v>
      </c>
      <c r="V3" t="s">
        <v>4</v>
      </c>
    </row>
    <row r="4" spans="1:22" x14ac:dyDescent="0.35">
      <c r="A4" t="s">
        <v>9</v>
      </c>
      <c r="B4" t="s">
        <v>4</v>
      </c>
      <c r="C4">
        <v>66.620511796821233</v>
      </c>
      <c r="F4">
        <f t="shared" si="2"/>
        <v>0</v>
      </c>
      <c r="G4">
        <f t="shared" si="3"/>
        <v>2</v>
      </c>
      <c r="H4">
        <v>0</v>
      </c>
      <c r="K4" t="str">
        <f t="shared" ca="1" si="4"/>
        <v>FBT</v>
      </c>
      <c r="L4" t="str">
        <f t="shared" ca="1" si="5"/>
        <v>dom</v>
      </c>
      <c r="M4" t="str">
        <f t="shared" ca="1" si="0"/>
        <v>AG</v>
      </c>
      <c r="N4">
        <f t="shared" ca="1" si="1"/>
        <v>0.13470989439537351</v>
      </c>
      <c r="S4" t="s">
        <v>8</v>
      </c>
      <c r="T4" s="8">
        <f>'1CAP'!B3</f>
        <v>7356.3982615262066</v>
      </c>
      <c r="U4" s="7">
        <f t="shared" ref="U4:U35" si="6">T4/SUM($T$3:$T$35)</f>
        <v>3.5901978822465208E-2</v>
      </c>
      <c r="V4" t="s">
        <v>5</v>
      </c>
    </row>
    <row r="5" spans="1:22" x14ac:dyDescent="0.35">
      <c r="A5" t="s">
        <v>10</v>
      </c>
      <c r="B5" t="s">
        <v>4</v>
      </c>
      <c r="C5">
        <v>347.01645481780764</v>
      </c>
      <c r="F5">
        <f t="shared" si="2"/>
        <v>0</v>
      </c>
      <c r="G5">
        <f t="shared" si="3"/>
        <v>3</v>
      </c>
      <c r="H5">
        <v>0</v>
      </c>
      <c r="K5" t="str">
        <f t="shared" ca="1" si="4"/>
        <v>TEX</v>
      </c>
      <c r="L5" t="str">
        <f t="shared" ca="1" si="5"/>
        <v>dom</v>
      </c>
      <c r="M5" t="str">
        <f t="shared" ca="1" si="0"/>
        <v>AG</v>
      </c>
      <c r="N5">
        <f t="shared" ca="1" si="1"/>
        <v>0.70168404176375998</v>
      </c>
      <c r="S5" t="s">
        <v>9</v>
      </c>
      <c r="T5" s="8">
        <f>'1CAP'!B4</f>
        <v>3399.3194149811688</v>
      </c>
      <c r="U5" s="7">
        <f t="shared" si="6"/>
        <v>1.6589951945060823E-2</v>
      </c>
    </row>
    <row r="6" spans="1:22" x14ac:dyDescent="0.35">
      <c r="A6" t="s">
        <v>11</v>
      </c>
      <c r="B6" t="s">
        <v>4</v>
      </c>
      <c r="C6">
        <v>2.4623656555546969</v>
      </c>
      <c r="F6">
        <f t="shared" si="2"/>
        <v>0</v>
      </c>
      <c r="G6">
        <f t="shared" si="3"/>
        <v>4</v>
      </c>
      <c r="H6">
        <v>0</v>
      </c>
      <c r="K6" t="str">
        <f t="shared" ca="1" si="4"/>
        <v>LEATHER</v>
      </c>
      <c r="L6" t="str">
        <f t="shared" ca="1" si="5"/>
        <v>dom</v>
      </c>
      <c r="M6" t="str">
        <f t="shared" ca="1" si="0"/>
        <v>AG</v>
      </c>
      <c r="N6">
        <f t="shared" ca="1" si="1"/>
        <v>4.9790223532686076E-3</v>
      </c>
      <c r="S6" t="s">
        <v>10</v>
      </c>
      <c r="T6" s="8">
        <f>'1CAP'!B5</f>
        <v>812.48725484172519</v>
      </c>
      <c r="U6" s="7">
        <f t="shared" si="6"/>
        <v>3.9652421171116328E-3</v>
      </c>
    </row>
    <row r="7" spans="1:22" x14ac:dyDescent="0.35">
      <c r="A7" t="s">
        <v>12</v>
      </c>
      <c r="B7" t="s">
        <v>4</v>
      </c>
      <c r="C7">
        <v>15.15812118030518</v>
      </c>
      <c r="F7">
        <f t="shared" si="2"/>
        <v>0</v>
      </c>
      <c r="G7">
        <f t="shared" si="3"/>
        <v>5</v>
      </c>
      <c r="H7">
        <v>0</v>
      </c>
      <c r="K7" t="str">
        <f t="shared" ca="1" si="4"/>
        <v>WOOD</v>
      </c>
      <c r="L7" t="str">
        <f t="shared" ca="1" si="5"/>
        <v>dom</v>
      </c>
      <c r="M7" t="str">
        <f t="shared" ca="1" si="0"/>
        <v>AG</v>
      </c>
      <c r="N7">
        <f t="shared" ca="1" si="1"/>
        <v>3.0650453566894033E-2</v>
      </c>
      <c r="S7" t="s">
        <v>11</v>
      </c>
      <c r="T7" s="8">
        <f>'1CAP'!B6</f>
        <v>3.8106395045392389</v>
      </c>
      <c r="U7" s="7">
        <f t="shared" si="6"/>
        <v>1.8597348040212503E-5</v>
      </c>
    </row>
    <row r="8" spans="1:22" x14ac:dyDescent="0.35">
      <c r="A8" t="s">
        <v>13</v>
      </c>
      <c r="B8" t="s">
        <v>4</v>
      </c>
      <c r="C8">
        <v>303.39858344695091</v>
      </c>
      <c r="F8">
        <f t="shared" si="2"/>
        <v>0</v>
      </c>
      <c r="G8">
        <f t="shared" si="3"/>
        <v>6</v>
      </c>
      <c r="H8">
        <v>0</v>
      </c>
      <c r="K8" t="str">
        <f t="shared" ca="1" si="4"/>
        <v>PPP</v>
      </c>
      <c r="L8" t="str">
        <f t="shared" ca="1" si="5"/>
        <v>dom</v>
      </c>
      <c r="M8" t="str">
        <f t="shared" ca="1" si="0"/>
        <v>AG</v>
      </c>
      <c r="N8">
        <f t="shared" ca="1" si="1"/>
        <v>0.61348659794887384</v>
      </c>
      <c r="S8" t="s">
        <v>12</v>
      </c>
      <c r="T8" s="8">
        <f>'1CAP'!B7</f>
        <v>307.67357936561729</v>
      </c>
      <c r="U8" s="7">
        <f t="shared" si="6"/>
        <v>1.5015623050735655E-3</v>
      </c>
    </row>
    <row r="9" spans="1:22" x14ac:dyDescent="0.35">
      <c r="A9" t="s">
        <v>14</v>
      </c>
      <c r="B9" t="s">
        <v>4</v>
      </c>
      <c r="C9">
        <v>46.232100595578324</v>
      </c>
      <c r="F9">
        <f t="shared" si="2"/>
        <v>0</v>
      </c>
      <c r="G9">
        <f t="shared" si="3"/>
        <v>7</v>
      </c>
      <c r="H9">
        <v>0</v>
      </c>
      <c r="K9" t="str">
        <f t="shared" ca="1" si="4"/>
        <v>PC</v>
      </c>
      <c r="L9" t="str">
        <f t="shared" ca="1" si="5"/>
        <v>dom</v>
      </c>
      <c r="M9" t="str">
        <f t="shared" ca="1" si="0"/>
        <v>AG</v>
      </c>
      <c r="N9">
        <f t="shared" ca="1" si="1"/>
        <v>9.3483541644058685E-2</v>
      </c>
      <c r="S9" t="s">
        <v>13</v>
      </c>
      <c r="T9" s="8">
        <f>'1CAP'!B8</f>
        <v>879.16488389354379</v>
      </c>
      <c r="U9" s="7">
        <f t="shared" si="6"/>
        <v>4.2906539206936127E-3</v>
      </c>
    </row>
    <row r="10" spans="1:22" x14ac:dyDescent="0.35">
      <c r="A10" t="s">
        <v>15</v>
      </c>
      <c r="B10" t="s">
        <v>4</v>
      </c>
      <c r="C10">
        <v>287.89656520188737</v>
      </c>
      <c r="F10">
        <f t="shared" si="2"/>
        <v>0</v>
      </c>
      <c r="G10">
        <f t="shared" si="3"/>
        <v>8</v>
      </c>
      <c r="H10">
        <v>0</v>
      </c>
      <c r="K10" t="str">
        <f t="shared" ca="1" si="4"/>
        <v>CHM</v>
      </c>
      <c r="L10" t="str">
        <f t="shared" ca="1" si="5"/>
        <v>dom</v>
      </c>
      <c r="M10" t="str">
        <f t="shared" ca="1" si="0"/>
        <v>AG</v>
      </c>
      <c r="N10">
        <f t="shared" ca="1" si="1"/>
        <v>0.58214076789766578</v>
      </c>
      <c r="S10" t="s">
        <v>14</v>
      </c>
      <c r="T10" s="8">
        <f>'1CAP'!B9</f>
        <v>1928.2051990850907</v>
      </c>
      <c r="U10" s="7">
        <f t="shared" si="6"/>
        <v>9.4103635722079682E-3</v>
      </c>
    </row>
    <row r="11" spans="1:22" x14ac:dyDescent="0.35">
      <c r="A11" t="s">
        <v>16</v>
      </c>
      <c r="B11" t="s">
        <v>4</v>
      </c>
      <c r="C11">
        <v>450.67429247870393</v>
      </c>
      <c r="F11">
        <f t="shared" si="2"/>
        <v>0</v>
      </c>
      <c r="G11">
        <f t="shared" si="3"/>
        <v>9</v>
      </c>
      <c r="H11">
        <v>0</v>
      </c>
      <c r="K11" t="str">
        <f t="shared" ca="1" si="4"/>
        <v>RUBBER</v>
      </c>
      <c r="L11" t="str">
        <f t="shared" ca="1" si="5"/>
        <v>dom</v>
      </c>
      <c r="M11" t="str">
        <f t="shared" ca="1" si="0"/>
        <v>AG</v>
      </c>
      <c r="N11">
        <f t="shared" ca="1" si="1"/>
        <v>0.91128519894397819</v>
      </c>
      <c r="S11" t="s">
        <v>15</v>
      </c>
      <c r="T11" s="8">
        <f>'1CAP'!B10</f>
        <v>2436.7671420663769</v>
      </c>
      <c r="U11" s="7">
        <f t="shared" si="6"/>
        <v>1.1892336333568211E-2</v>
      </c>
    </row>
    <row r="12" spans="1:22" x14ac:dyDescent="0.35">
      <c r="A12" t="s">
        <v>17</v>
      </c>
      <c r="B12" t="s">
        <v>4</v>
      </c>
      <c r="C12">
        <v>417.4937167634933</v>
      </c>
      <c r="F12">
        <f t="shared" si="2"/>
        <v>0</v>
      </c>
      <c r="G12">
        <f t="shared" si="3"/>
        <v>10</v>
      </c>
      <c r="H12">
        <v>0</v>
      </c>
      <c r="K12" t="str">
        <f t="shared" ca="1" si="4"/>
        <v>NMM</v>
      </c>
      <c r="L12" t="str">
        <f t="shared" ca="1" si="5"/>
        <v>dom</v>
      </c>
      <c r="M12" t="str">
        <f t="shared" ca="1" si="0"/>
        <v>AG</v>
      </c>
      <c r="N12">
        <f t="shared" ca="1" si="1"/>
        <v>0.84419247134372288</v>
      </c>
      <c r="S12" t="s">
        <v>16</v>
      </c>
      <c r="T12" s="8">
        <f>'1CAP'!B11</f>
        <v>1202.3428113742643</v>
      </c>
      <c r="U12" s="7">
        <f t="shared" si="6"/>
        <v>5.8678832516534411E-3</v>
      </c>
    </row>
    <row r="13" spans="1:22" x14ac:dyDescent="0.35">
      <c r="A13" t="s">
        <v>18</v>
      </c>
      <c r="B13" t="s">
        <v>4</v>
      </c>
      <c r="C13">
        <v>1221.0968762127948</v>
      </c>
      <c r="F13">
        <f t="shared" si="2"/>
        <v>0</v>
      </c>
      <c r="G13">
        <f t="shared" si="3"/>
        <v>11</v>
      </c>
      <c r="H13">
        <v>0</v>
      </c>
      <c r="K13" t="str">
        <f t="shared" ca="1" si="4"/>
        <v>METAL</v>
      </c>
      <c r="L13" t="str">
        <f t="shared" ca="1" si="5"/>
        <v>dom</v>
      </c>
      <c r="M13" t="str">
        <f t="shared" ca="1" si="0"/>
        <v>AG</v>
      </c>
      <c r="N13">
        <f t="shared" ca="1" si="1"/>
        <v>2.469116895151124</v>
      </c>
      <c r="S13" t="s">
        <v>17</v>
      </c>
      <c r="T13" s="8">
        <f>'1CAP'!B12</f>
        <v>846.53663389192502</v>
      </c>
      <c r="U13" s="7">
        <f t="shared" si="6"/>
        <v>4.1314158399199394E-3</v>
      </c>
    </row>
    <row r="14" spans="1:22" x14ac:dyDescent="0.35">
      <c r="A14" t="s">
        <v>19</v>
      </c>
      <c r="B14" t="s">
        <v>4</v>
      </c>
      <c r="C14">
        <v>1767.441464458373</v>
      </c>
      <c r="F14">
        <f t="shared" si="2"/>
        <v>0</v>
      </c>
      <c r="G14">
        <f t="shared" si="3"/>
        <v>12</v>
      </c>
      <c r="H14">
        <v>0</v>
      </c>
      <c r="K14" t="str">
        <f t="shared" ca="1" si="4"/>
        <v>MACH</v>
      </c>
      <c r="L14" t="str">
        <f t="shared" ca="1" si="5"/>
        <v>dom</v>
      </c>
      <c r="M14" t="str">
        <f t="shared" ca="1" si="0"/>
        <v>AG</v>
      </c>
      <c r="N14">
        <f t="shared" ca="1" si="1"/>
        <v>3.5738520555549407</v>
      </c>
      <c r="S14" t="s">
        <v>18</v>
      </c>
      <c r="T14" s="8">
        <f>'1CAP'!B13</f>
        <v>7322.1562503243686</v>
      </c>
      <c r="U14" s="7">
        <f t="shared" si="6"/>
        <v>3.5734864982607396E-2</v>
      </c>
    </row>
    <row r="15" spans="1:22" x14ac:dyDescent="0.35">
      <c r="A15" t="s">
        <v>20</v>
      </c>
      <c r="B15" t="s">
        <v>4</v>
      </c>
      <c r="C15">
        <v>367.66619907291283</v>
      </c>
      <c r="F15">
        <f t="shared" si="2"/>
        <v>0</v>
      </c>
      <c r="G15">
        <f t="shared" si="3"/>
        <v>13</v>
      </c>
      <c r="H15">
        <v>0</v>
      </c>
      <c r="K15" t="str">
        <f t="shared" ca="1" si="4"/>
        <v>ELEC</v>
      </c>
      <c r="L15" t="str">
        <f t="shared" ca="1" si="5"/>
        <v>dom</v>
      </c>
      <c r="M15" t="str">
        <f t="shared" ca="1" si="0"/>
        <v>AG</v>
      </c>
      <c r="N15">
        <f t="shared" ca="1" si="1"/>
        <v>0.74343882257931981</v>
      </c>
      <c r="S15" t="s">
        <v>19</v>
      </c>
      <c r="T15" s="8">
        <f>'1CAP'!B14</f>
        <v>981.83228835358841</v>
      </c>
      <c r="U15" s="7">
        <f t="shared" si="6"/>
        <v>4.7917093080778834E-3</v>
      </c>
    </row>
    <row r="16" spans="1:22" x14ac:dyDescent="0.35">
      <c r="A16" t="s">
        <v>21</v>
      </c>
      <c r="B16" t="s">
        <v>4</v>
      </c>
      <c r="C16">
        <v>531.09673769860899</v>
      </c>
      <c r="F16">
        <f t="shared" si="2"/>
        <v>0</v>
      </c>
      <c r="G16">
        <f t="shared" si="3"/>
        <v>14</v>
      </c>
      <c r="H16">
        <v>0</v>
      </c>
      <c r="K16" t="str">
        <f t="shared" ca="1" si="4"/>
        <v>TRNEQUIP</v>
      </c>
      <c r="L16" t="str">
        <f t="shared" ca="1" si="5"/>
        <v>dom</v>
      </c>
      <c r="M16" t="str">
        <f t="shared" ca="1" si="0"/>
        <v>AG</v>
      </c>
      <c r="N16">
        <f t="shared" ca="1" si="1"/>
        <v>1.0739032697212136</v>
      </c>
      <c r="S16" t="s">
        <v>20</v>
      </c>
      <c r="T16" s="8">
        <f>'1CAP'!B15</f>
        <v>685.10684051884766</v>
      </c>
      <c r="U16" s="7">
        <f t="shared" si="6"/>
        <v>3.3435779854489181E-3</v>
      </c>
    </row>
    <row r="17" spans="1:21" x14ac:dyDescent="0.35">
      <c r="A17" t="s">
        <v>22</v>
      </c>
      <c r="B17" t="s">
        <v>4</v>
      </c>
      <c r="C17">
        <v>1446.1419327231338</v>
      </c>
      <c r="F17">
        <f t="shared" si="2"/>
        <v>0</v>
      </c>
      <c r="G17">
        <f t="shared" si="3"/>
        <v>15</v>
      </c>
      <c r="H17">
        <v>0</v>
      </c>
      <c r="K17" t="str">
        <f t="shared" ca="1" si="4"/>
        <v>ROMAN</v>
      </c>
      <c r="L17" t="str">
        <f t="shared" ca="1" si="5"/>
        <v>dom</v>
      </c>
      <c r="M17" t="str">
        <f t="shared" ca="1" si="0"/>
        <v>AG</v>
      </c>
      <c r="N17">
        <f t="shared" ca="1" si="1"/>
        <v>2.9241688750753481</v>
      </c>
      <c r="S17" t="s">
        <v>21</v>
      </c>
      <c r="T17" s="8">
        <f>'1CAP'!B16</f>
        <v>614.22076407130658</v>
      </c>
      <c r="U17" s="7">
        <f t="shared" si="6"/>
        <v>2.9976273823205772E-3</v>
      </c>
    </row>
    <row r="18" spans="1:21" x14ac:dyDescent="0.35">
      <c r="A18" t="s">
        <v>23</v>
      </c>
      <c r="B18" t="s">
        <v>4</v>
      </c>
      <c r="C18">
        <v>3.3000000000000003E-5</v>
      </c>
      <c r="F18">
        <f t="shared" si="2"/>
        <v>0</v>
      </c>
      <c r="G18">
        <f t="shared" si="3"/>
        <v>16</v>
      </c>
      <c r="H18">
        <v>0</v>
      </c>
      <c r="K18" t="str">
        <f t="shared" ca="1" si="4"/>
        <v>ELYGASWTR</v>
      </c>
      <c r="L18" t="str">
        <f t="shared" ca="1" si="5"/>
        <v>dom</v>
      </c>
      <c r="M18" t="str">
        <f t="shared" ca="1" si="0"/>
        <v>AG</v>
      </c>
      <c r="N18">
        <f t="shared" ca="1" si="1"/>
        <v>6.6727594777490705E-8</v>
      </c>
      <c r="S18" t="s">
        <v>22</v>
      </c>
      <c r="T18" s="8">
        <f>'1CAP'!B17</f>
        <v>2002.8952977276399</v>
      </c>
      <c r="U18" s="7">
        <f t="shared" si="6"/>
        <v>9.7748792284275254E-3</v>
      </c>
    </row>
    <row r="19" spans="1:21" x14ac:dyDescent="0.35">
      <c r="A19" t="s">
        <v>24</v>
      </c>
      <c r="B19" t="s">
        <v>4</v>
      </c>
      <c r="C19">
        <v>48038.578634270169</v>
      </c>
      <c r="F19">
        <f t="shared" si="2"/>
        <v>0</v>
      </c>
      <c r="G19">
        <f t="shared" si="3"/>
        <v>17</v>
      </c>
      <c r="H19">
        <v>0</v>
      </c>
      <c r="K19" t="str">
        <f t="shared" ca="1" si="4"/>
        <v>CNS</v>
      </c>
      <c r="L19" t="str">
        <f t="shared" ca="1" si="5"/>
        <v>dom</v>
      </c>
      <c r="M19" t="str">
        <f t="shared" ca="1" si="0"/>
        <v>AG</v>
      </c>
      <c r="N19">
        <f t="shared" ca="1" si="1"/>
        <v>97.136327539218257</v>
      </c>
      <c r="S19" t="s">
        <v>23</v>
      </c>
      <c r="T19" s="8">
        <f>'1CAP'!B18</f>
        <v>14299.292290434718</v>
      </c>
      <c r="U19" s="7">
        <f t="shared" si="6"/>
        <v>6.9785902113586706E-2</v>
      </c>
    </row>
    <row r="20" spans="1:21" x14ac:dyDescent="0.35">
      <c r="A20" t="s">
        <v>25</v>
      </c>
      <c r="B20" t="s">
        <v>4</v>
      </c>
      <c r="C20">
        <v>7681.0484476042175</v>
      </c>
      <c r="F20">
        <f t="shared" si="2"/>
        <v>0</v>
      </c>
      <c r="G20">
        <f t="shared" si="3"/>
        <v>18</v>
      </c>
      <c r="H20">
        <v>0</v>
      </c>
      <c r="K20" t="str">
        <f t="shared" ca="1" si="4"/>
        <v>TRD</v>
      </c>
      <c r="L20" t="str">
        <f t="shared" ca="1" si="5"/>
        <v>dom</v>
      </c>
      <c r="M20" t="str">
        <f t="shared" ca="1" si="0"/>
        <v>AG</v>
      </c>
      <c r="N20">
        <f t="shared" ca="1" si="1"/>
        <v>15.531451159939643</v>
      </c>
      <c r="S20" t="s">
        <v>24</v>
      </c>
      <c r="T20" s="8">
        <f>'1CAP'!B19</f>
        <v>6242.6596327770749</v>
      </c>
      <c r="U20" s="7">
        <f t="shared" si="6"/>
        <v>3.046651716832454E-2</v>
      </c>
    </row>
    <row r="21" spans="1:21" x14ac:dyDescent="0.35">
      <c r="A21" t="s">
        <v>26</v>
      </c>
      <c r="B21" t="s">
        <v>4</v>
      </c>
      <c r="C21">
        <v>3.3000000000000003E-5</v>
      </c>
      <c r="F21">
        <f t="shared" si="2"/>
        <v>0</v>
      </c>
      <c r="G21">
        <f t="shared" si="3"/>
        <v>19</v>
      </c>
      <c r="H21">
        <v>0</v>
      </c>
      <c r="K21" t="str">
        <f t="shared" ca="1" si="4"/>
        <v>AFS</v>
      </c>
      <c r="L21" t="str">
        <f t="shared" ca="1" si="5"/>
        <v>dom</v>
      </c>
      <c r="M21" t="str">
        <f t="shared" ca="1" si="0"/>
        <v>AG</v>
      </c>
      <c r="N21">
        <f t="shared" ca="1" si="1"/>
        <v>6.6727594777490705E-8</v>
      </c>
      <c r="S21" t="s">
        <v>25</v>
      </c>
      <c r="T21" s="8">
        <f>'1CAP'!B20</f>
        <v>43194.708782502654</v>
      </c>
      <c r="U21" s="7">
        <f t="shared" si="6"/>
        <v>0.2108063572444796</v>
      </c>
    </row>
    <row r="22" spans="1:21" x14ac:dyDescent="0.35">
      <c r="A22" t="s">
        <v>27</v>
      </c>
      <c r="B22" t="s">
        <v>4</v>
      </c>
      <c r="C22">
        <v>3.3000000000000003E-5</v>
      </c>
      <c r="F22">
        <f t="shared" si="2"/>
        <v>0</v>
      </c>
      <c r="G22">
        <f t="shared" si="3"/>
        <v>20</v>
      </c>
      <c r="H22">
        <v>0</v>
      </c>
      <c r="K22" t="str">
        <f t="shared" ca="1" si="4"/>
        <v>OTP</v>
      </c>
      <c r="L22" t="str">
        <f t="shared" ca="1" si="5"/>
        <v>dom</v>
      </c>
      <c r="M22" t="str">
        <f t="shared" ca="1" si="0"/>
        <v>AG</v>
      </c>
      <c r="N22">
        <f t="shared" ca="1" si="1"/>
        <v>6.6727594777490705E-8</v>
      </c>
      <c r="S22" t="s">
        <v>26</v>
      </c>
      <c r="T22" s="8">
        <f>'1CAP'!B21</f>
        <v>14840.133197189909</v>
      </c>
      <c r="U22" s="7">
        <f t="shared" si="6"/>
        <v>7.2425408308105774E-2</v>
      </c>
    </row>
    <row r="23" spans="1:21" x14ac:dyDescent="0.35">
      <c r="A23" t="s">
        <v>28</v>
      </c>
      <c r="B23" t="s">
        <v>4</v>
      </c>
      <c r="C23">
        <v>3.3000000000000003E-5</v>
      </c>
      <c r="F23">
        <f t="shared" si="2"/>
        <v>0</v>
      </c>
      <c r="G23">
        <f t="shared" si="3"/>
        <v>21</v>
      </c>
      <c r="H23">
        <v>0</v>
      </c>
      <c r="K23" t="str">
        <f t="shared" ca="1" si="4"/>
        <v>WTP</v>
      </c>
      <c r="L23" t="str">
        <f t="shared" ca="1" si="5"/>
        <v>dom</v>
      </c>
      <c r="M23" t="str">
        <f t="shared" ca="1" si="0"/>
        <v>AG</v>
      </c>
      <c r="N23">
        <f t="shared" ca="1" si="1"/>
        <v>6.6727594777490705E-8</v>
      </c>
      <c r="S23" t="s">
        <v>27</v>
      </c>
      <c r="T23" s="8">
        <f>'1CAP'!B22</f>
        <v>4025.8983994688656</v>
      </c>
      <c r="U23" s="7">
        <f t="shared" si="6"/>
        <v>1.964789207172982E-2</v>
      </c>
    </row>
    <row r="24" spans="1:21" x14ac:dyDescent="0.35">
      <c r="A24" t="s">
        <v>29</v>
      </c>
      <c r="B24" t="s">
        <v>4</v>
      </c>
      <c r="C24">
        <v>3.3000000000000003E-5</v>
      </c>
      <c r="F24">
        <f t="shared" si="2"/>
        <v>0</v>
      </c>
      <c r="G24">
        <f t="shared" si="3"/>
        <v>22</v>
      </c>
      <c r="H24">
        <v>0</v>
      </c>
      <c r="K24" t="str">
        <f t="shared" ca="1" si="4"/>
        <v>ATP</v>
      </c>
      <c r="L24" t="str">
        <f t="shared" ca="1" si="5"/>
        <v>dom</v>
      </c>
      <c r="M24" t="str">
        <f t="shared" ca="1" si="0"/>
        <v>AG</v>
      </c>
      <c r="N24">
        <f t="shared" ca="1" si="1"/>
        <v>6.6727594777490705E-8</v>
      </c>
      <c r="S24" t="s">
        <v>28</v>
      </c>
      <c r="T24" s="8">
        <f>'1CAP'!B23</f>
        <v>359.53219943799559</v>
      </c>
      <c r="U24" s="7">
        <f t="shared" si="6"/>
        <v>1.7546517944420391E-3</v>
      </c>
    </row>
    <row r="25" spans="1:21" x14ac:dyDescent="0.35">
      <c r="A25" t="s">
        <v>30</v>
      </c>
      <c r="B25" t="s">
        <v>4</v>
      </c>
      <c r="C25">
        <v>3.3000000000000003E-5</v>
      </c>
      <c r="F25">
        <f t="shared" si="2"/>
        <v>0</v>
      </c>
      <c r="G25">
        <f t="shared" si="3"/>
        <v>23</v>
      </c>
      <c r="H25">
        <v>0</v>
      </c>
      <c r="K25" t="str">
        <f t="shared" ca="1" si="4"/>
        <v>WHS</v>
      </c>
      <c r="L25" t="str">
        <f t="shared" ca="1" si="5"/>
        <v>dom</v>
      </c>
      <c r="M25" t="str">
        <f t="shared" ca="1" si="0"/>
        <v>AG</v>
      </c>
      <c r="N25">
        <f t="shared" ca="1" si="1"/>
        <v>6.6727594777490705E-8</v>
      </c>
      <c r="S25" t="s">
        <v>29</v>
      </c>
      <c r="T25" s="8">
        <f>'1CAP'!B24</f>
        <v>16606.607917574613</v>
      </c>
      <c r="U25" s="7">
        <f t="shared" si="6"/>
        <v>8.104646656882511E-2</v>
      </c>
    </row>
    <row r="26" spans="1:21" x14ac:dyDescent="0.35">
      <c r="A26" t="s">
        <v>31</v>
      </c>
      <c r="B26" t="s">
        <v>4</v>
      </c>
      <c r="C26">
        <v>3.3000000000000003E-5</v>
      </c>
      <c r="F26">
        <f t="shared" si="2"/>
        <v>0</v>
      </c>
      <c r="G26">
        <f t="shared" si="3"/>
        <v>24</v>
      </c>
      <c r="H26">
        <v>0</v>
      </c>
      <c r="K26" t="str">
        <f t="shared" ca="1" si="4"/>
        <v>CMN</v>
      </c>
      <c r="L26" t="str">
        <f t="shared" ca="1" si="5"/>
        <v>dom</v>
      </c>
      <c r="M26" t="str">
        <f t="shared" ca="1" si="0"/>
        <v>AG</v>
      </c>
      <c r="N26">
        <f t="shared" ca="1" si="1"/>
        <v>6.6727594777490705E-8</v>
      </c>
      <c r="S26" t="s">
        <v>30</v>
      </c>
      <c r="T26" s="8">
        <f>'1CAP'!B25</f>
        <v>9659.5454835185265</v>
      </c>
      <c r="U26" s="7">
        <f t="shared" si="6"/>
        <v>4.7142199899325853E-2</v>
      </c>
    </row>
    <row r="27" spans="1:21" x14ac:dyDescent="0.35">
      <c r="A27" t="s">
        <v>32</v>
      </c>
      <c r="B27" t="s">
        <v>4</v>
      </c>
      <c r="C27">
        <v>3.3000000000000003E-5</v>
      </c>
      <c r="F27">
        <f t="shared" si="2"/>
        <v>0</v>
      </c>
      <c r="G27">
        <f t="shared" si="3"/>
        <v>25</v>
      </c>
      <c r="H27">
        <v>0</v>
      </c>
      <c r="K27" t="str">
        <f t="shared" ca="1" si="4"/>
        <v>OFI</v>
      </c>
      <c r="L27" t="str">
        <f t="shared" ca="1" si="5"/>
        <v>dom</v>
      </c>
      <c r="M27" t="str">
        <f t="shared" ca="1" si="0"/>
        <v>AG</v>
      </c>
      <c r="N27">
        <f t="shared" ca="1" si="1"/>
        <v>6.6727594777490705E-8</v>
      </c>
      <c r="S27" t="s">
        <v>31</v>
      </c>
      <c r="T27" s="8">
        <f>'1CAP'!B26</f>
        <v>2646.9790328041054</v>
      </c>
      <c r="U27" s="7">
        <f t="shared" si="6"/>
        <v>1.2918249094296116E-2</v>
      </c>
    </row>
    <row r="28" spans="1:21" x14ac:dyDescent="0.35">
      <c r="A28" t="s">
        <v>33</v>
      </c>
      <c r="B28" t="s">
        <v>4</v>
      </c>
      <c r="C28">
        <v>3.3000000000000003E-5</v>
      </c>
      <c r="F28">
        <f t="shared" si="2"/>
        <v>0</v>
      </c>
      <c r="G28">
        <f t="shared" si="3"/>
        <v>26</v>
      </c>
      <c r="H28">
        <v>0</v>
      </c>
      <c r="K28" t="str">
        <f t="shared" ca="1" si="4"/>
        <v>RSA</v>
      </c>
      <c r="L28" t="str">
        <f t="shared" ca="1" si="5"/>
        <v>dom</v>
      </c>
      <c r="M28" t="str">
        <f t="shared" ca="1" si="0"/>
        <v>AG</v>
      </c>
      <c r="N28">
        <f t="shared" ca="1" si="1"/>
        <v>6.6727594777490705E-8</v>
      </c>
      <c r="S28" t="s">
        <v>32</v>
      </c>
      <c r="T28" s="8">
        <f>'1CAP'!B27</f>
        <v>33923.425398966334</v>
      </c>
      <c r="U28" s="7">
        <f t="shared" si="6"/>
        <v>0.16555902181490789</v>
      </c>
    </row>
    <row r="29" spans="1:21" x14ac:dyDescent="0.35">
      <c r="A29" t="s">
        <v>34</v>
      </c>
      <c r="B29" t="s">
        <v>4</v>
      </c>
      <c r="C29">
        <v>3.3000000000000003E-5</v>
      </c>
      <c r="F29">
        <f t="shared" si="2"/>
        <v>0</v>
      </c>
      <c r="G29">
        <f t="shared" si="3"/>
        <v>27</v>
      </c>
      <c r="H29">
        <v>0</v>
      </c>
      <c r="K29" t="str">
        <f t="shared" ca="1" si="4"/>
        <v>OBS</v>
      </c>
      <c r="L29" t="str">
        <f t="shared" ca="1" si="5"/>
        <v>dom</v>
      </c>
      <c r="M29" t="str">
        <f t="shared" ca="1" si="0"/>
        <v>AG</v>
      </c>
      <c r="N29">
        <f t="shared" ca="1" si="1"/>
        <v>6.6727594777490705E-8</v>
      </c>
      <c r="S29" t="s">
        <v>33</v>
      </c>
      <c r="T29" s="8">
        <f>'1CAP'!B28</f>
        <v>11919.158860166492</v>
      </c>
      <c r="U29" s="7">
        <f t="shared" si="6"/>
        <v>5.8169959505498088E-2</v>
      </c>
    </row>
    <row r="30" spans="1:21" x14ac:dyDescent="0.35">
      <c r="A30" t="s">
        <v>35</v>
      </c>
      <c r="B30" t="s">
        <v>4</v>
      </c>
      <c r="C30">
        <v>3.3000000000000003E-5</v>
      </c>
      <c r="F30">
        <f t="shared" si="2"/>
        <v>0</v>
      </c>
      <c r="G30">
        <f t="shared" si="3"/>
        <v>28</v>
      </c>
      <c r="H30">
        <v>0</v>
      </c>
      <c r="K30" t="str">
        <f t="shared" ca="1" si="4"/>
        <v>GOV</v>
      </c>
      <c r="L30" t="str">
        <f t="shared" ca="1" si="5"/>
        <v>dom</v>
      </c>
      <c r="M30" t="str">
        <f t="shared" ca="1" si="0"/>
        <v>AG</v>
      </c>
      <c r="N30">
        <f t="shared" ca="1" si="1"/>
        <v>6.6727594777490705E-8</v>
      </c>
      <c r="S30" t="s">
        <v>34</v>
      </c>
      <c r="T30" s="8">
        <f>'1CAP'!B29</f>
        <v>6726.020856125826</v>
      </c>
      <c r="U30" s="7">
        <f t="shared" si="6"/>
        <v>3.2825500979060673E-2</v>
      </c>
    </row>
    <row r="31" spans="1:21" x14ac:dyDescent="0.35">
      <c r="A31" t="s">
        <v>36</v>
      </c>
      <c r="B31" t="s">
        <v>4</v>
      </c>
      <c r="C31">
        <v>3.3000000000000003E-5</v>
      </c>
      <c r="F31">
        <f t="shared" si="2"/>
        <v>0</v>
      </c>
      <c r="G31">
        <f t="shared" si="3"/>
        <v>29</v>
      </c>
      <c r="H31">
        <v>0</v>
      </c>
      <c r="K31" t="str">
        <f t="shared" ca="1" si="4"/>
        <v>EDU</v>
      </c>
      <c r="L31" t="str">
        <f t="shared" ca="1" si="5"/>
        <v>dom</v>
      </c>
      <c r="M31" t="str">
        <f t="shared" ca="1" si="0"/>
        <v>AG</v>
      </c>
      <c r="N31">
        <f t="shared" ca="1" si="1"/>
        <v>6.6727594777490705E-8</v>
      </c>
      <c r="S31" t="s">
        <v>35</v>
      </c>
      <c r="T31" s="8">
        <f>'1CAP'!B30</f>
        <v>7398.0203187636944</v>
      </c>
      <c r="U31" s="7">
        <f t="shared" si="6"/>
        <v>3.6105110051140379E-2</v>
      </c>
    </row>
    <row r="32" spans="1:21" x14ac:dyDescent="0.35">
      <c r="A32" t="s">
        <v>37</v>
      </c>
      <c r="B32" t="s">
        <v>4</v>
      </c>
      <c r="C32">
        <v>3.3000000000000003E-5</v>
      </c>
      <c r="F32">
        <f t="shared" si="2"/>
        <v>0</v>
      </c>
      <c r="G32">
        <f t="shared" si="3"/>
        <v>30</v>
      </c>
      <c r="H32">
        <v>0</v>
      </c>
      <c r="K32" t="str">
        <f t="shared" ca="1" si="4"/>
        <v>HHT</v>
      </c>
      <c r="L32" t="str">
        <f t="shared" ca="1" si="5"/>
        <v>dom</v>
      </c>
      <c r="M32" t="str">
        <f t="shared" ca="1" si="0"/>
        <v>AG</v>
      </c>
      <c r="N32">
        <f t="shared" ca="1" si="1"/>
        <v>6.6727594777490705E-8</v>
      </c>
      <c r="S32" t="s">
        <v>36</v>
      </c>
      <c r="T32" s="8">
        <f>'1CAP'!B31</f>
        <v>1751.9120483821771</v>
      </c>
      <c r="U32" s="7">
        <f t="shared" si="6"/>
        <v>8.5499869669630312E-3</v>
      </c>
    </row>
    <row r="33" spans="1:21" x14ac:dyDescent="0.35">
      <c r="A33" t="s">
        <v>38</v>
      </c>
      <c r="B33" t="s">
        <v>4</v>
      </c>
      <c r="C33">
        <v>3.3000000000000003E-5</v>
      </c>
      <c r="F33">
        <f t="shared" si="2"/>
        <v>0</v>
      </c>
      <c r="G33">
        <f t="shared" si="3"/>
        <v>31</v>
      </c>
      <c r="H33">
        <v>0</v>
      </c>
      <c r="K33" t="str">
        <f t="shared" ca="1" si="4"/>
        <v>REC</v>
      </c>
      <c r="L33" t="str">
        <f t="shared" ca="1" si="5"/>
        <v>dom</v>
      </c>
      <c r="M33" t="str">
        <f t="shared" ca="1" si="0"/>
        <v>AG</v>
      </c>
      <c r="N33">
        <f t="shared" ca="1" si="1"/>
        <v>6.6727594777490705E-8</v>
      </c>
      <c r="S33" t="s">
        <v>37</v>
      </c>
      <c r="T33" s="8">
        <f>'1CAP'!B32</f>
        <v>73.211855200504033</v>
      </c>
      <c r="U33" s="7">
        <f t="shared" si="6"/>
        <v>3.5730127455287742E-4</v>
      </c>
    </row>
    <row r="34" spans="1:21" x14ac:dyDescent="0.35">
      <c r="A34" t="s">
        <v>39</v>
      </c>
      <c r="B34" t="s">
        <v>4</v>
      </c>
      <c r="C34">
        <v>3.3000000000000003E-5</v>
      </c>
      <c r="F34">
        <f t="shared" si="2"/>
        <v>0</v>
      </c>
      <c r="G34">
        <f t="shared" si="3"/>
        <v>32</v>
      </c>
      <c r="H34">
        <v>0</v>
      </c>
      <c r="K34" t="str">
        <f t="shared" ca="1" si="4"/>
        <v>DWE</v>
      </c>
      <c r="L34" t="str">
        <f t="shared" ca="1" si="5"/>
        <v>dom</v>
      </c>
      <c r="M34" t="str">
        <f t="shared" ca="1" si="0"/>
        <v>AG</v>
      </c>
      <c r="N34">
        <f t="shared" ca="1" si="1"/>
        <v>6.6727594777490705E-8</v>
      </c>
      <c r="S34" t="s">
        <v>38</v>
      </c>
      <c r="T34" s="8">
        <f>'1CAP'!B33</f>
        <v>41.61847813004897</v>
      </c>
      <c r="U34" s="7">
        <f t="shared" si="6"/>
        <v>2.0311376129033233E-4</v>
      </c>
    </row>
    <row r="35" spans="1:21" x14ac:dyDescent="0.35">
      <c r="A35" t="s">
        <v>7</v>
      </c>
      <c r="B35" t="s">
        <v>5</v>
      </c>
      <c r="C35">
        <v>305.31019337808732</v>
      </c>
      <c r="F35">
        <f t="shared" si="2"/>
        <v>0</v>
      </c>
      <c r="G35">
        <f>G2</f>
        <v>0</v>
      </c>
      <c r="H35">
        <v>1</v>
      </c>
      <c r="K35" t="str">
        <f t="shared" ca="1" si="4"/>
        <v>AG</v>
      </c>
      <c r="L35" t="str">
        <f t="shared" ca="1" si="5"/>
        <v>imp</v>
      </c>
      <c r="M35" t="str">
        <f t="shared" ca="1" si="0"/>
        <v>AG</v>
      </c>
      <c r="N35">
        <f t="shared" ca="1" si="1"/>
        <v>0.6173519656112223</v>
      </c>
      <c r="S35" t="s">
        <v>39</v>
      </c>
      <c r="T35" s="8">
        <f>'1CAP'!B34</f>
        <v>0.34192338889261009</v>
      </c>
      <c r="U35" s="7">
        <f t="shared" si="6"/>
        <v>1.6687142036789646E-6</v>
      </c>
    </row>
    <row r="36" spans="1:21" x14ac:dyDescent="0.35">
      <c r="A36" t="s">
        <v>8</v>
      </c>
      <c r="B36" t="s">
        <v>5</v>
      </c>
      <c r="C36">
        <v>481.66703641121177</v>
      </c>
      <c r="F36">
        <f t="shared" si="2"/>
        <v>0</v>
      </c>
      <c r="G36">
        <f t="shared" ref="G36:G67" si="7">G3</f>
        <v>1</v>
      </c>
      <c r="H36">
        <v>1</v>
      </c>
      <c r="K36" t="str">
        <f t="shared" ca="1" si="4"/>
        <v>MIN</v>
      </c>
      <c r="L36" t="str">
        <f t="shared" ca="1" si="5"/>
        <v>imp</v>
      </c>
      <c r="M36" t="str">
        <f t="shared" ca="1" si="0"/>
        <v>AG</v>
      </c>
      <c r="N36">
        <f t="shared" ca="1" si="1"/>
        <v>0.9739540249491575</v>
      </c>
    </row>
    <row r="37" spans="1:21" x14ac:dyDescent="0.35">
      <c r="A37" t="s">
        <v>9</v>
      </c>
      <c r="B37" t="s">
        <v>5</v>
      </c>
      <c r="C37">
        <v>120.52786680672436</v>
      </c>
      <c r="F37">
        <f t="shared" si="2"/>
        <v>0</v>
      </c>
      <c r="G37">
        <f t="shared" si="7"/>
        <v>2</v>
      </c>
      <c r="H37">
        <v>1</v>
      </c>
      <c r="K37" t="str">
        <f t="shared" ca="1" si="4"/>
        <v>FBT</v>
      </c>
      <c r="L37" t="str">
        <f t="shared" ca="1" si="5"/>
        <v>imp</v>
      </c>
      <c r="M37" t="str">
        <f t="shared" ca="1" si="0"/>
        <v>AG</v>
      </c>
      <c r="N37">
        <f t="shared" ca="1" si="1"/>
        <v>0.243713171384075</v>
      </c>
    </row>
    <row r="38" spans="1:21" x14ac:dyDescent="0.35">
      <c r="A38" t="s">
        <v>10</v>
      </c>
      <c r="B38" t="s">
        <v>5</v>
      </c>
      <c r="C38">
        <v>2365.2407770520717</v>
      </c>
      <c r="F38">
        <f t="shared" si="2"/>
        <v>0</v>
      </c>
      <c r="G38">
        <f t="shared" si="7"/>
        <v>3</v>
      </c>
      <c r="H38">
        <v>1</v>
      </c>
      <c r="K38" t="str">
        <f t="shared" ca="1" si="4"/>
        <v>TEX</v>
      </c>
      <c r="L38" t="str">
        <f t="shared" ca="1" si="5"/>
        <v>imp</v>
      </c>
      <c r="M38" t="str">
        <f t="shared" ca="1" si="0"/>
        <v>AG</v>
      </c>
      <c r="N38">
        <f t="shared" ca="1" si="1"/>
        <v>4.782631155222056</v>
      </c>
    </row>
    <row r="39" spans="1:21" x14ac:dyDescent="0.35">
      <c r="A39" t="s">
        <v>11</v>
      </c>
      <c r="B39" t="s">
        <v>5</v>
      </c>
      <c r="C39">
        <v>1232.6913011637071</v>
      </c>
      <c r="F39">
        <f t="shared" si="2"/>
        <v>0</v>
      </c>
      <c r="G39">
        <f t="shared" si="7"/>
        <v>4</v>
      </c>
      <c r="H39">
        <v>1</v>
      </c>
      <c r="K39" t="str">
        <f t="shared" ca="1" si="4"/>
        <v>LEATHER</v>
      </c>
      <c r="L39" t="str">
        <f t="shared" ca="1" si="5"/>
        <v>imp</v>
      </c>
      <c r="M39" t="str">
        <f t="shared" ca="1" si="0"/>
        <v>AG</v>
      </c>
      <c r="N39">
        <f t="shared" ca="1" si="1"/>
        <v>2.4925613827208966</v>
      </c>
    </row>
    <row r="40" spans="1:21" x14ac:dyDescent="0.35">
      <c r="A40" t="s">
        <v>12</v>
      </c>
      <c r="B40" t="s">
        <v>5</v>
      </c>
      <c r="C40">
        <v>22.064272277668866</v>
      </c>
      <c r="F40">
        <f t="shared" si="2"/>
        <v>0</v>
      </c>
      <c r="G40">
        <f t="shared" si="7"/>
        <v>5</v>
      </c>
      <c r="H40">
        <v>1</v>
      </c>
      <c r="K40" t="str">
        <f t="shared" ca="1" si="4"/>
        <v>WOOD</v>
      </c>
      <c r="L40" t="str">
        <f t="shared" ca="1" si="5"/>
        <v>imp</v>
      </c>
      <c r="M40" t="str">
        <f t="shared" ca="1" si="0"/>
        <v>AG</v>
      </c>
      <c r="N40">
        <f t="shared" ca="1" si="1"/>
        <v>4.4615024836500296E-2</v>
      </c>
    </row>
    <row r="41" spans="1:21" x14ac:dyDescent="0.35">
      <c r="A41" t="s">
        <v>13</v>
      </c>
      <c r="B41" t="s">
        <v>5</v>
      </c>
      <c r="C41">
        <v>317.72329443674454</v>
      </c>
      <c r="F41">
        <f t="shared" si="2"/>
        <v>0</v>
      </c>
      <c r="G41">
        <f t="shared" si="7"/>
        <v>6</v>
      </c>
      <c r="H41">
        <v>1</v>
      </c>
      <c r="K41" t="str">
        <f t="shared" ca="1" si="4"/>
        <v>PPP</v>
      </c>
      <c r="L41" t="str">
        <f t="shared" ca="1" si="5"/>
        <v>imp</v>
      </c>
      <c r="M41" t="str">
        <f t="shared" ca="1" si="0"/>
        <v>AG</v>
      </c>
      <c r="N41">
        <f t="shared" ca="1" si="1"/>
        <v>0.64245185583468045</v>
      </c>
    </row>
    <row r="42" spans="1:21" x14ac:dyDescent="0.35">
      <c r="A42" t="s">
        <v>14</v>
      </c>
      <c r="B42" t="s">
        <v>5</v>
      </c>
      <c r="C42">
        <v>80.006461616671245</v>
      </c>
      <c r="F42">
        <f t="shared" si="2"/>
        <v>0</v>
      </c>
      <c r="G42">
        <f t="shared" si="7"/>
        <v>7</v>
      </c>
      <c r="H42">
        <v>1</v>
      </c>
      <c r="K42" t="str">
        <f t="shared" ca="1" si="4"/>
        <v>PC</v>
      </c>
      <c r="L42" t="str">
        <f t="shared" ca="1" si="5"/>
        <v>imp</v>
      </c>
      <c r="M42" t="str">
        <f t="shared" ca="1" si="0"/>
        <v>AG</v>
      </c>
      <c r="N42">
        <f t="shared" ca="1" si="1"/>
        <v>0.16177693182842734</v>
      </c>
    </row>
    <row r="43" spans="1:21" x14ac:dyDescent="0.35">
      <c r="A43" t="s">
        <v>15</v>
      </c>
      <c r="B43" t="s">
        <v>5</v>
      </c>
      <c r="C43">
        <v>1096.7550015403478</v>
      </c>
      <c r="F43">
        <f t="shared" si="2"/>
        <v>0</v>
      </c>
      <c r="G43">
        <f t="shared" si="7"/>
        <v>8</v>
      </c>
      <c r="H43">
        <v>1</v>
      </c>
      <c r="K43" t="str">
        <f t="shared" ca="1" si="4"/>
        <v>CHM</v>
      </c>
      <c r="L43" t="str">
        <f t="shared" ca="1" si="5"/>
        <v>imp</v>
      </c>
      <c r="M43" t="str">
        <f t="shared" ca="1" si="0"/>
        <v>AG</v>
      </c>
      <c r="N43">
        <f t="shared" ca="1" si="1"/>
        <v>2.217691615544561</v>
      </c>
    </row>
    <row r="44" spans="1:21" x14ac:dyDescent="0.35">
      <c r="A44" t="s">
        <v>16</v>
      </c>
      <c r="B44" t="s">
        <v>5</v>
      </c>
      <c r="C44">
        <v>839.96855728772027</v>
      </c>
      <c r="F44">
        <f t="shared" si="2"/>
        <v>0</v>
      </c>
      <c r="G44">
        <f t="shared" si="7"/>
        <v>9</v>
      </c>
      <c r="H44">
        <v>1</v>
      </c>
      <c r="K44" t="str">
        <f t="shared" ca="1" si="4"/>
        <v>RUBBER</v>
      </c>
      <c r="L44" t="str">
        <f t="shared" ca="1" si="5"/>
        <v>imp</v>
      </c>
      <c r="M44" t="str">
        <f t="shared" ca="1" si="0"/>
        <v>AG</v>
      </c>
      <c r="N44">
        <f t="shared" ca="1" si="1"/>
        <v>1.6984570156523782</v>
      </c>
    </row>
    <row r="45" spans="1:21" x14ac:dyDescent="0.35">
      <c r="A45" t="s">
        <v>17</v>
      </c>
      <c r="B45" t="s">
        <v>5</v>
      </c>
      <c r="C45">
        <v>317.0775269602596</v>
      </c>
      <c r="F45">
        <f t="shared" si="2"/>
        <v>0</v>
      </c>
      <c r="G45">
        <f t="shared" si="7"/>
        <v>10</v>
      </c>
      <c r="H45">
        <v>1</v>
      </c>
      <c r="K45" t="str">
        <f t="shared" ca="1" si="4"/>
        <v>NMM</v>
      </c>
      <c r="L45" t="str">
        <f t="shared" ca="1" si="5"/>
        <v>imp</v>
      </c>
      <c r="M45" t="str">
        <f t="shared" ca="1" si="0"/>
        <v>AG</v>
      </c>
      <c r="N45">
        <f t="shared" ca="1" si="1"/>
        <v>0.64114608278948737</v>
      </c>
    </row>
    <row r="46" spans="1:21" x14ac:dyDescent="0.35">
      <c r="A46" t="s">
        <v>18</v>
      </c>
      <c r="B46" t="s">
        <v>5</v>
      </c>
      <c r="C46">
        <v>3968.9030796320349</v>
      </c>
      <c r="F46">
        <f t="shared" si="2"/>
        <v>0</v>
      </c>
      <c r="G46">
        <f t="shared" si="7"/>
        <v>11</v>
      </c>
      <c r="H46">
        <v>1</v>
      </c>
      <c r="K46" t="str">
        <f t="shared" ca="1" si="4"/>
        <v>METAL</v>
      </c>
      <c r="L46" t="str">
        <f t="shared" ca="1" si="5"/>
        <v>imp</v>
      </c>
      <c r="M46" t="str">
        <f t="shared" ca="1" si="0"/>
        <v>AG</v>
      </c>
      <c r="N46">
        <f t="shared" ca="1" si="1"/>
        <v>8.025313830570342</v>
      </c>
    </row>
    <row r="47" spans="1:21" x14ac:dyDescent="0.35">
      <c r="A47" t="s">
        <v>19</v>
      </c>
      <c r="B47" t="s">
        <v>5</v>
      </c>
      <c r="C47">
        <v>15203.962296773243</v>
      </c>
      <c r="F47">
        <f t="shared" si="2"/>
        <v>0</v>
      </c>
      <c r="G47">
        <f t="shared" si="7"/>
        <v>12</v>
      </c>
      <c r="H47">
        <v>1</v>
      </c>
      <c r="K47" t="str">
        <f t="shared" ca="1" si="4"/>
        <v>MACH</v>
      </c>
      <c r="L47" t="str">
        <f t="shared" ca="1" si="5"/>
        <v>imp</v>
      </c>
      <c r="M47" t="str">
        <f t="shared" ca="1" si="0"/>
        <v>AG</v>
      </c>
      <c r="N47">
        <f t="shared" ca="1" si="1"/>
        <v>30.743146519737326</v>
      </c>
    </row>
    <row r="48" spans="1:21" x14ac:dyDescent="0.35">
      <c r="A48" t="s">
        <v>20</v>
      </c>
      <c r="B48" t="s">
        <v>5</v>
      </c>
      <c r="C48">
        <v>8151.9008015578856</v>
      </c>
      <c r="F48">
        <f t="shared" si="2"/>
        <v>0</v>
      </c>
      <c r="G48">
        <f t="shared" si="7"/>
        <v>13</v>
      </c>
      <c r="H48">
        <v>1</v>
      </c>
      <c r="K48" t="str">
        <f t="shared" ca="1" si="4"/>
        <v>ELEC</v>
      </c>
      <c r="L48" t="str">
        <f t="shared" ca="1" si="5"/>
        <v>imp</v>
      </c>
      <c r="M48" t="str">
        <f t="shared" ca="1" si="0"/>
        <v>AG</v>
      </c>
      <c r="N48">
        <f t="shared" ca="1" si="1"/>
        <v>16.483537374322914</v>
      </c>
    </row>
    <row r="49" spans="1:14" x14ac:dyDescent="0.35">
      <c r="A49" t="s">
        <v>21</v>
      </c>
      <c r="B49" t="s">
        <v>5</v>
      </c>
      <c r="C49">
        <v>13009.516759955892</v>
      </c>
      <c r="F49">
        <f t="shared" si="2"/>
        <v>0</v>
      </c>
      <c r="G49">
        <f t="shared" si="7"/>
        <v>14</v>
      </c>
      <c r="H49">
        <v>1</v>
      </c>
      <c r="K49" t="str">
        <f t="shared" ca="1" si="4"/>
        <v>TRNEQUIP</v>
      </c>
      <c r="L49" t="str">
        <f t="shared" ca="1" si="5"/>
        <v>imp</v>
      </c>
      <c r="M49" t="str">
        <f t="shared" ca="1" si="0"/>
        <v>AG</v>
      </c>
      <c r="N49">
        <f t="shared" ca="1" si="1"/>
        <v>26.305871594221529</v>
      </c>
    </row>
    <row r="50" spans="1:14" x14ac:dyDescent="0.35">
      <c r="A50" t="s">
        <v>22</v>
      </c>
      <c r="B50" t="s">
        <v>5</v>
      </c>
      <c r="C50">
        <v>4936.2617000528471</v>
      </c>
      <c r="F50">
        <f t="shared" si="2"/>
        <v>0</v>
      </c>
      <c r="G50">
        <f t="shared" si="7"/>
        <v>15</v>
      </c>
      <c r="H50">
        <v>1</v>
      </c>
      <c r="K50" t="str">
        <f t="shared" ca="1" si="4"/>
        <v>ROMAN</v>
      </c>
      <c r="L50" t="str">
        <f t="shared" ca="1" si="5"/>
        <v>imp</v>
      </c>
      <c r="M50" t="str">
        <f t="shared" ca="1" si="0"/>
        <v>AG</v>
      </c>
      <c r="N50">
        <f t="shared" ca="1" si="1"/>
        <v>9.9813597102052647</v>
      </c>
    </row>
    <row r="51" spans="1:14" x14ac:dyDescent="0.35">
      <c r="A51" t="s">
        <v>23</v>
      </c>
      <c r="B51" t="s">
        <v>5</v>
      </c>
      <c r="C51">
        <v>3.3000000000000003E-5</v>
      </c>
      <c r="F51">
        <f t="shared" si="2"/>
        <v>0</v>
      </c>
      <c r="G51">
        <f t="shared" si="7"/>
        <v>16</v>
      </c>
      <c r="H51">
        <v>1</v>
      </c>
      <c r="K51" t="str">
        <f t="shared" ca="1" si="4"/>
        <v>ELYGASWTR</v>
      </c>
      <c r="L51" t="str">
        <f t="shared" ca="1" si="5"/>
        <v>imp</v>
      </c>
      <c r="M51" t="str">
        <f t="shared" ca="1" si="0"/>
        <v>AG</v>
      </c>
      <c r="N51">
        <f t="shared" ca="1" si="1"/>
        <v>6.6727594777490705E-8</v>
      </c>
    </row>
    <row r="52" spans="1:14" x14ac:dyDescent="0.35">
      <c r="A52" t="s">
        <v>24</v>
      </c>
      <c r="B52" t="s">
        <v>5</v>
      </c>
      <c r="C52">
        <v>966.30167641213836</v>
      </c>
      <c r="F52">
        <f t="shared" si="2"/>
        <v>0</v>
      </c>
      <c r="G52">
        <f t="shared" si="7"/>
        <v>17</v>
      </c>
      <c r="H52">
        <v>1</v>
      </c>
      <c r="K52" t="str">
        <f t="shared" ca="1" si="4"/>
        <v>CNS</v>
      </c>
      <c r="L52" t="str">
        <f t="shared" ca="1" si="5"/>
        <v>imp</v>
      </c>
      <c r="M52" t="str">
        <f t="shared" ca="1" si="0"/>
        <v>AG</v>
      </c>
      <c r="N52">
        <f t="shared" ca="1" si="1"/>
        <v>1.953908687770882</v>
      </c>
    </row>
    <row r="53" spans="1:14" x14ac:dyDescent="0.35">
      <c r="A53" t="s">
        <v>25</v>
      </c>
      <c r="B53" t="s">
        <v>5</v>
      </c>
      <c r="C53">
        <v>84.544868429960715</v>
      </c>
      <c r="F53">
        <f t="shared" si="2"/>
        <v>0</v>
      </c>
      <c r="G53">
        <f t="shared" si="7"/>
        <v>18</v>
      </c>
      <c r="H53">
        <v>1</v>
      </c>
      <c r="K53" t="str">
        <f t="shared" ca="1" si="4"/>
        <v>TRD</v>
      </c>
      <c r="L53" t="str">
        <f t="shared" ca="1" si="5"/>
        <v>imp</v>
      </c>
      <c r="M53" t="str">
        <f t="shared" ca="1" si="0"/>
        <v>AG</v>
      </c>
      <c r="N53">
        <f t="shared" ca="1" si="1"/>
        <v>0.17095380973062682</v>
      </c>
    </row>
    <row r="54" spans="1:14" x14ac:dyDescent="0.35">
      <c r="A54" t="s">
        <v>26</v>
      </c>
      <c r="B54" t="s">
        <v>5</v>
      </c>
      <c r="C54">
        <v>3.3000000000000003E-5</v>
      </c>
      <c r="F54">
        <f t="shared" si="2"/>
        <v>0</v>
      </c>
      <c r="G54">
        <f t="shared" si="7"/>
        <v>19</v>
      </c>
      <c r="H54">
        <v>1</v>
      </c>
      <c r="K54" t="str">
        <f t="shared" ca="1" si="4"/>
        <v>AFS</v>
      </c>
      <c r="L54" t="str">
        <f t="shared" ca="1" si="5"/>
        <v>imp</v>
      </c>
      <c r="M54" t="str">
        <f t="shared" ca="1" si="0"/>
        <v>AG</v>
      </c>
      <c r="N54">
        <f t="shared" ca="1" si="1"/>
        <v>6.6727594777490705E-8</v>
      </c>
    </row>
    <row r="55" spans="1:14" x14ac:dyDescent="0.35">
      <c r="A55" t="s">
        <v>27</v>
      </c>
      <c r="B55" t="s">
        <v>5</v>
      </c>
      <c r="C55">
        <v>3.3000000000000003E-5</v>
      </c>
      <c r="F55">
        <f t="shared" si="2"/>
        <v>0</v>
      </c>
      <c r="G55">
        <f t="shared" si="7"/>
        <v>20</v>
      </c>
      <c r="H55">
        <v>1</v>
      </c>
      <c r="K55" t="str">
        <f t="shared" ca="1" si="4"/>
        <v>OTP</v>
      </c>
      <c r="L55" t="str">
        <f t="shared" ca="1" si="5"/>
        <v>imp</v>
      </c>
      <c r="M55" t="str">
        <f t="shared" ca="1" si="0"/>
        <v>AG</v>
      </c>
      <c r="N55">
        <f t="shared" ca="1" si="1"/>
        <v>6.6727594777490705E-8</v>
      </c>
    </row>
    <row r="56" spans="1:14" x14ac:dyDescent="0.35">
      <c r="A56" t="s">
        <v>28</v>
      </c>
      <c r="B56" t="s">
        <v>5</v>
      </c>
      <c r="C56">
        <v>3.3000000000000003E-5</v>
      </c>
      <c r="F56">
        <f t="shared" si="2"/>
        <v>0</v>
      </c>
      <c r="G56">
        <f t="shared" si="7"/>
        <v>21</v>
      </c>
      <c r="H56">
        <v>1</v>
      </c>
      <c r="K56" t="str">
        <f t="shared" ca="1" si="4"/>
        <v>WTP</v>
      </c>
      <c r="L56" t="str">
        <f t="shared" ca="1" si="5"/>
        <v>imp</v>
      </c>
      <c r="M56" t="str">
        <f t="shared" ca="1" si="0"/>
        <v>AG</v>
      </c>
      <c r="N56">
        <f t="shared" ca="1" si="1"/>
        <v>6.6727594777490705E-8</v>
      </c>
    </row>
    <row r="57" spans="1:14" x14ac:dyDescent="0.35">
      <c r="A57" t="s">
        <v>29</v>
      </c>
      <c r="B57" t="s">
        <v>5</v>
      </c>
      <c r="C57">
        <v>3.3000000000000003E-5</v>
      </c>
      <c r="F57">
        <f t="shared" si="2"/>
        <v>0</v>
      </c>
      <c r="G57">
        <f t="shared" si="7"/>
        <v>22</v>
      </c>
      <c r="H57">
        <v>1</v>
      </c>
      <c r="K57" t="str">
        <f t="shared" ca="1" si="4"/>
        <v>ATP</v>
      </c>
      <c r="L57" t="str">
        <f t="shared" ca="1" si="5"/>
        <v>imp</v>
      </c>
      <c r="M57" t="str">
        <f t="shared" ca="1" si="0"/>
        <v>AG</v>
      </c>
      <c r="N57">
        <f t="shared" ca="1" si="1"/>
        <v>6.6727594777490705E-8</v>
      </c>
    </row>
    <row r="58" spans="1:14" x14ac:dyDescent="0.35">
      <c r="A58" t="s">
        <v>30</v>
      </c>
      <c r="B58" t="s">
        <v>5</v>
      </c>
      <c r="C58">
        <v>3.3000000000000003E-5</v>
      </c>
      <c r="F58">
        <f t="shared" si="2"/>
        <v>0</v>
      </c>
      <c r="G58">
        <f t="shared" si="7"/>
        <v>23</v>
      </c>
      <c r="H58">
        <v>1</v>
      </c>
      <c r="K58" t="str">
        <f t="shared" ca="1" si="4"/>
        <v>WHS</v>
      </c>
      <c r="L58" t="str">
        <f t="shared" ca="1" si="5"/>
        <v>imp</v>
      </c>
      <c r="M58" t="str">
        <f t="shared" ca="1" si="0"/>
        <v>AG</v>
      </c>
      <c r="N58">
        <f t="shared" ca="1" si="1"/>
        <v>6.6727594777490705E-8</v>
      </c>
    </row>
    <row r="59" spans="1:14" x14ac:dyDescent="0.35">
      <c r="A59" t="s">
        <v>31</v>
      </c>
      <c r="B59" t="s">
        <v>5</v>
      </c>
      <c r="C59">
        <v>3.3000000000000003E-5</v>
      </c>
      <c r="F59">
        <f t="shared" si="2"/>
        <v>0</v>
      </c>
      <c r="G59">
        <f t="shared" si="7"/>
        <v>24</v>
      </c>
      <c r="H59">
        <v>1</v>
      </c>
      <c r="K59" t="str">
        <f t="shared" ca="1" si="4"/>
        <v>CMN</v>
      </c>
      <c r="L59" t="str">
        <f t="shared" ca="1" si="5"/>
        <v>imp</v>
      </c>
      <c r="M59" t="str">
        <f t="shared" ca="1" si="0"/>
        <v>AG</v>
      </c>
      <c r="N59">
        <f t="shared" ca="1" si="1"/>
        <v>6.6727594777490705E-8</v>
      </c>
    </row>
    <row r="60" spans="1:14" x14ac:dyDescent="0.35">
      <c r="A60" t="s">
        <v>32</v>
      </c>
      <c r="B60" t="s">
        <v>5</v>
      </c>
      <c r="C60">
        <v>3.3000000000000003E-5</v>
      </c>
      <c r="F60">
        <f t="shared" si="2"/>
        <v>0</v>
      </c>
      <c r="G60">
        <f t="shared" si="7"/>
        <v>25</v>
      </c>
      <c r="H60">
        <v>1</v>
      </c>
      <c r="K60" t="str">
        <f t="shared" ca="1" si="4"/>
        <v>OFI</v>
      </c>
      <c r="L60" t="str">
        <f t="shared" ca="1" si="5"/>
        <v>imp</v>
      </c>
      <c r="M60" t="str">
        <f t="shared" ca="1" si="0"/>
        <v>AG</v>
      </c>
      <c r="N60">
        <f t="shared" ca="1" si="1"/>
        <v>6.6727594777490705E-8</v>
      </c>
    </row>
    <row r="61" spans="1:14" x14ac:dyDescent="0.35">
      <c r="A61" t="s">
        <v>33</v>
      </c>
      <c r="B61" t="s">
        <v>5</v>
      </c>
      <c r="C61">
        <v>3.3000000000000003E-5</v>
      </c>
      <c r="F61">
        <f t="shared" si="2"/>
        <v>0</v>
      </c>
      <c r="G61">
        <f t="shared" si="7"/>
        <v>26</v>
      </c>
      <c r="H61">
        <v>1</v>
      </c>
      <c r="K61" t="str">
        <f t="shared" ca="1" si="4"/>
        <v>RSA</v>
      </c>
      <c r="L61" t="str">
        <f t="shared" ca="1" si="5"/>
        <v>imp</v>
      </c>
      <c r="M61" t="str">
        <f t="shared" ca="1" si="0"/>
        <v>AG</v>
      </c>
      <c r="N61">
        <f t="shared" ca="1" si="1"/>
        <v>6.6727594777490705E-8</v>
      </c>
    </row>
    <row r="62" spans="1:14" x14ac:dyDescent="0.35">
      <c r="A62" t="s">
        <v>34</v>
      </c>
      <c r="B62" t="s">
        <v>5</v>
      </c>
      <c r="C62">
        <v>3.3000000000000003E-5</v>
      </c>
      <c r="F62">
        <f t="shared" si="2"/>
        <v>0</v>
      </c>
      <c r="G62">
        <f t="shared" si="7"/>
        <v>27</v>
      </c>
      <c r="H62">
        <v>1</v>
      </c>
      <c r="K62" t="str">
        <f t="shared" ca="1" si="4"/>
        <v>OBS</v>
      </c>
      <c r="L62" t="str">
        <f t="shared" ca="1" si="5"/>
        <v>imp</v>
      </c>
      <c r="M62" t="str">
        <f t="shared" ca="1" si="0"/>
        <v>AG</v>
      </c>
      <c r="N62">
        <f t="shared" ca="1" si="1"/>
        <v>6.6727594777490705E-8</v>
      </c>
    </row>
    <row r="63" spans="1:14" x14ac:dyDescent="0.35">
      <c r="A63" t="s">
        <v>35</v>
      </c>
      <c r="B63" t="s">
        <v>5</v>
      </c>
      <c r="C63">
        <v>3.3000000000000003E-5</v>
      </c>
      <c r="F63">
        <f t="shared" si="2"/>
        <v>0</v>
      </c>
      <c r="G63">
        <f t="shared" si="7"/>
        <v>28</v>
      </c>
      <c r="H63">
        <v>1</v>
      </c>
      <c r="K63" t="str">
        <f t="shared" ca="1" si="4"/>
        <v>GOV</v>
      </c>
      <c r="L63" t="str">
        <f t="shared" ca="1" si="5"/>
        <v>imp</v>
      </c>
      <c r="M63" t="str">
        <f t="shared" ca="1" si="0"/>
        <v>AG</v>
      </c>
      <c r="N63">
        <f t="shared" ca="1" si="1"/>
        <v>6.6727594777490705E-8</v>
      </c>
    </row>
    <row r="64" spans="1:14" x14ac:dyDescent="0.35">
      <c r="A64" t="s">
        <v>36</v>
      </c>
      <c r="B64" t="s">
        <v>5</v>
      </c>
      <c r="C64">
        <v>3.3000000000000003E-5</v>
      </c>
      <c r="F64">
        <f t="shared" si="2"/>
        <v>0</v>
      </c>
      <c r="G64">
        <f t="shared" si="7"/>
        <v>29</v>
      </c>
      <c r="H64">
        <v>1</v>
      </c>
      <c r="K64" t="str">
        <f t="shared" ca="1" si="4"/>
        <v>EDU</v>
      </c>
      <c r="L64" t="str">
        <f t="shared" ca="1" si="5"/>
        <v>imp</v>
      </c>
      <c r="M64" t="str">
        <f t="shared" ca="1" si="0"/>
        <v>AG</v>
      </c>
      <c r="N64">
        <f t="shared" ca="1" si="1"/>
        <v>6.6727594777490705E-8</v>
      </c>
    </row>
    <row r="65" spans="1:14" x14ac:dyDescent="0.35">
      <c r="A65" t="s">
        <v>37</v>
      </c>
      <c r="B65" t="s">
        <v>5</v>
      </c>
      <c r="C65">
        <v>3.3000000000000003E-5</v>
      </c>
      <c r="F65">
        <f t="shared" si="2"/>
        <v>0</v>
      </c>
      <c r="G65">
        <f t="shared" si="7"/>
        <v>30</v>
      </c>
      <c r="H65">
        <v>1</v>
      </c>
      <c r="K65" t="str">
        <f t="shared" ca="1" si="4"/>
        <v>HHT</v>
      </c>
      <c r="L65" t="str">
        <f t="shared" ca="1" si="5"/>
        <v>imp</v>
      </c>
      <c r="M65" t="str">
        <f t="shared" ca="1" si="0"/>
        <v>AG</v>
      </c>
      <c r="N65">
        <f t="shared" ca="1" si="1"/>
        <v>6.6727594777490705E-8</v>
      </c>
    </row>
    <row r="66" spans="1:14" x14ac:dyDescent="0.35">
      <c r="A66" t="s">
        <v>38</v>
      </c>
      <c r="B66" t="s">
        <v>5</v>
      </c>
      <c r="C66">
        <v>3.3000000000000003E-5</v>
      </c>
      <c r="F66">
        <f t="shared" si="2"/>
        <v>0</v>
      </c>
      <c r="G66">
        <f t="shared" si="7"/>
        <v>31</v>
      </c>
      <c r="H66">
        <v>1</v>
      </c>
      <c r="K66" t="str">
        <f t="shared" ca="1" si="4"/>
        <v>REC</v>
      </c>
      <c r="L66" t="str">
        <f t="shared" ca="1" si="5"/>
        <v>imp</v>
      </c>
      <c r="M66" t="str">
        <f t="shared" ref="M66:M129" ca="1" si="8">OFFSET(A$2,F66,0)</f>
        <v>AG</v>
      </c>
      <c r="N66">
        <f t="shared" ref="N66:N129" ca="1" si="9">SUMIFS(C:C,A:A,K66,B:B,L66)*SUMIFS(U:U,S:S,M66)</f>
        <v>6.6727594777490705E-8</v>
      </c>
    </row>
    <row r="67" spans="1:14" x14ac:dyDescent="0.35">
      <c r="A67" t="s">
        <v>39</v>
      </c>
      <c r="B67" t="s">
        <v>5</v>
      </c>
      <c r="C67">
        <v>3.3000000000000003E-5</v>
      </c>
      <c r="F67">
        <f t="shared" ref="F67" si="10">F66</f>
        <v>0</v>
      </c>
      <c r="G67">
        <f t="shared" si="7"/>
        <v>32</v>
      </c>
      <c r="H67">
        <v>1</v>
      </c>
      <c r="K67" t="str">
        <f t="shared" ref="K67:K130" ca="1" si="11">OFFSET(A$2,G67,0)</f>
        <v>DWE</v>
      </c>
      <c r="L67" t="str">
        <f t="shared" ref="L67:L130" ca="1" si="12">OFFSET($V$3,H67,0)</f>
        <v>imp</v>
      </c>
      <c r="M67" t="str">
        <f t="shared" ca="1" si="8"/>
        <v>AG</v>
      </c>
      <c r="N67">
        <f t="shared" ca="1" si="9"/>
        <v>6.6727594777490705E-8</v>
      </c>
    </row>
    <row r="68" spans="1:14" x14ac:dyDescent="0.35">
      <c r="F68">
        <f>F2+1</f>
        <v>1</v>
      </c>
      <c r="G68">
        <f>G35</f>
        <v>0</v>
      </c>
      <c r="H68">
        <f>H2</f>
        <v>0</v>
      </c>
      <c r="K68" t="str">
        <f t="shared" ca="1" si="11"/>
        <v>AG</v>
      </c>
      <c r="L68" t="str">
        <f t="shared" ca="1" si="12"/>
        <v>dom</v>
      </c>
      <c r="M68" t="str">
        <f t="shared" ca="1" si="8"/>
        <v>MIN</v>
      </c>
      <c r="N68">
        <f t="shared" ca="1" si="9"/>
        <v>0.81430738629537103</v>
      </c>
    </row>
    <row r="69" spans="1:14" x14ac:dyDescent="0.35">
      <c r="F69">
        <f t="shared" ref="F69:F84" si="13">F3+1</f>
        <v>1</v>
      </c>
      <c r="G69">
        <f t="shared" ref="G69:G132" si="14">G36</f>
        <v>1</v>
      </c>
      <c r="H69">
        <f t="shared" ref="H69:H132" si="15">H3</f>
        <v>0</v>
      </c>
      <c r="K69" t="str">
        <f t="shared" ca="1" si="11"/>
        <v>MIN</v>
      </c>
      <c r="L69" t="str">
        <f t="shared" ca="1" si="12"/>
        <v>dom</v>
      </c>
      <c r="M69" t="str">
        <f t="shared" ca="1" si="8"/>
        <v>MIN</v>
      </c>
      <c r="N69">
        <f t="shared" ca="1" si="9"/>
        <v>1.420491759495522</v>
      </c>
    </row>
    <row r="70" spans="1:14" x14ac:dyDescent="0.35">
      <c r="F70">
        <f t="shared" si="13"/>
        <v>1</v>
      </c>
      <c r="G70">
        <f t="shared" si="14"/>
        <v>2</v>
      </c>
      <c r="H70">
        <f t="shared" si="15"/>
        <v>0</v>
      </c>
      <c r="K70" t="str">
        <f t="shared" ca="1" si="11"/>
        <v>FBT</v>
      </c>
      <c r="L70" t="str">
        <f t="shared" ca="1" si="12"/>
        <v>dom</v>
      </c>
      <c r="M70" t="str">
        <f t="shared" ca="1" si="8"/>
        <v>MIN</v>
      </c>
      <c r="N70">
        <f t="shared" ca="1" si="9"/>
        <v>2.3918082036712693</v>
      </c>
    </row>
    <row r="71" spans="1:14" x14ac:dyDescent="0.35">
      <c r="F71">
        <f t="shared" si="13"/>
        <v>1</v>
      </c>
      <c r="G71">
        <f t="shared" si="14"/>
        <v>3</v>
      </c>
      <c r="H71">
        <f t="shared" si="15"/>
        <v>0</v>
      </c>
      <c r="K71" t="str">
        <f t="shared" ca="1" si="11"/>
        <v>TEX</v>
      </c>
      <c r="L71" t="str">
        <f t="shared" ca="1" si="12"/>
        <v>dom</v>
      </c>
      <c r="M71" t="str">
        <f t="shared" ca="1" si="8"/>
        <v>MIN</v>
      </c>
      <c r="N71">
        <f t="shared" ca="1" si="9"/>
        <v>12.458577411915885</v>
      </c>
    </row>
    <row r="72" spans="1:14" x14ac:dyDescent="0.35">
      <c r="F72">
        <f t="shared" si="13"/>
        <v>1</v>
      </c>
      <c r="G72">
        <f t="shared" si="14"/>
        <v>4</v>
      </c>
      <c r="H72">
        <f t="shared" si="15"/>
        <v>0</v>
      </c>
      <c r="K72" t="str">
        <f t="shared" ca="1" si="11"/>
        <v>LEATHER</v>
      </c>
      <c r="L72" t="str">
        <f t="shared" ca="1" si="12"/>
        <v>dom</v>
      </c>
      <c r="M72" t="str">
        <f t="shared" ca="1" si="8"/>
        <v>MIN</v>
      </c>
      <c r="N72">
        <f t="shared" ca="1" si="9"/>
        <v>8.8403799618890389E-2</v>
      </c>
    </row>
    <row r="73" spans="1:14" x14ac:dyDescent="0.35">
      <c r="F73">
        <f t="shared" si="13"/>
        <v>1</v>
      </c>
      <c r="G73">
        <f t="shared" si="14"/>
        <v>5</v>
      </c>
      <c r="H73">
        <f t="shared" si="15"/>
        <v>0</v>
      </c>
      <c r="K73" t="str">
        <f t="shared" ca="1" si="11"/>
        <v>WOOD</v>
      </c>
      <c r="L73" t="str">
        <f t="shared" ca="1" si="12"/>
        <v>dom</v>
      </c>
      <c r="M73" t="str">
        <f t="shared" ca="1" si="8"/>
        <v>MIN</v>
      </c>
      <c r="N73">
        <f t="shared" ca="1" si="9"/>
        <v>0.54420654560367787</v>
      </c>
    </row>
    <row r="74" spans="1:14" x14ac:dyDescent="0.35">
      <c r="F74">
        <f t="shared" si="13"/>
        <v>1</v>
      </c>
      <c r="G74">
        <f t="shared" si="14"/>
        <v>6</v>
      </c>
      <c r="H74">
        <f t="shared" si="15"/>
        <v>0</v>
      </c>
      <c r="K74" t="str">
        <f t="shared" ca="1" si="11"/>
        <v>PPP</v>
      </c>
      <c r="L74" t="str">
        <f t="shared" ca="1" si="12"/>
        <v>dom</v>
      </c>
      <c r="M74" t="str">
        <f t="shared" ca="1" si="8"/>
        <v>MIN</v>
      </c>
      <c r="N74">
        <f t="shared" ca="1" si="9"/>
        <v>10.892609517678375</v>
      </c>
    </row>
    <row r="75" spans="1:14" x14ac:dyDescent="0.35">
      <c r="F75">
        <f t="shared" si="13"/>
        <v>1</v>
      </c>
      <c r="G75">
        <f t="shared" si="14"/>
        <v>7</v>
      </c>
      <c r="H75">
        <f t="shared" si="15"/>
        <v>0</v>
      </c>
      <c r="K75" t="str">
        <f t="shared" ca="1" si="11"/>
        <v>PC</v>
      </c>
      <c r="L75" t="str">
        <f t="shared" ca="1" si="12"/>
        <v>dom</v>
      </c>
      <c r="M75" t="str">
        <f t="shared" ca="1" si="8"/>
        <v>MIN</v>
      </c>
      <c r="N75">
        <f t="shared" ca="1" si="9"/>
        <v>1.6598238965005341</v>
      </c>
    </row>
    <row r="76" spans="1:14" x14ac:dyDescent="0.35">
      <c r="F76">
        <f t="shared" si="13"/>
        <v>1</v>
      </c>
      <c r="G76">
        <f t="shared" si="14"/>
        <v>8</v>
      </c>
      <c r="H76">
        <f t="shared" si="15"/>
        <v>0</v>
      </c>
      <c r="K76" t="str">
        <f t="shared" ca="1" si="11"/>
        <v>CHM</v>
      </c>
      <c r="L76" t="str">
        <f t="shared" ca="1" si="12"/>
        <v>dom</v>
      </c>
      <c r="M76" t="str">
        <f t="shared" ca="1" si="8"/>
        <v>MIN</v>
      </c>
      <c r="N76">
        <f t="shared" ca="1" si="9"/>
        <v>10.336056386938635</v>
      </c>
    </row>
    <row r="77" spans="1:14" x14ac:dyDescent="0.35">
      <c r="F77">
        <f t="shared" si="13"/>
        <v>1</v>
      </c>
      <c r="G77">
        <f t="shared" si="14"/>
        <v>9</v>
      </c>
      <c r="H77">
        <f t="shared" si="15"/>
        <v>0</v>
      </c>
      <c r="K77" t="str">
        <f t="shared" ca="1" si="11"/>
        <v>RUBBER</v>
      </c>
      <c r="L77" t="str">
        <f t="shared" ca="1" si="12"/>
        <v>dom</v>
      </c>
      <c r="M77" t="str">
        <f t="shared" ca="1" si="8"/>
        <v>MIN</v>
      </c>
      <c r="N77">
        <f t="shared" ca="1" si="9"/>
        <v>16.180098904399919</v>
      </c>
    </row>
    <row r="78" spans="1:14" x14ac:dyDescent="0.35">
      <c r="F78">
        <f t="shared" si="13"/>
        <v>1</v>
      </c>
      <c r="G78">
        <f t="shared" si="14"/>
        <v>10</v>
      </c>
      <c r="H78">
        <f t="shared" si="15"/>
        <v>0</v>
      </c>
      <c r="K78" t="str">
        <f t="shared" ca="1" si="11"/>
        <v>NMM</v>
      </c>
      <c r="L78" t="str">
        <f t="shared" ca="1" si="12"/>
        <v>dom</v>
      </c>
      <c r="M78" t="str">
        <f t="shared" ca="1" si="8"/>
        <v>MIN</v>
      </c>
      <c r="N78">
        <f t="shared" ca="1" si="9"/>
        <v>14.988850577755224</v>
      </c>
    </row>
    <row r="79" spans="1:14" x14ac:dyDescent="0.35">
      <c r="F79">
        <f t="shared" si="13"/>
        <v>1</v>
      </c>
      <c r="G79">
        <f t="shared" si="14"/>
        <v>11</v>
      </c>
      <c r="H79">
        <f t="shared" si="15"/>
        <v>0</v>
      </c>
      <c r="K79" t="str">
        <f t="shared" ca="1" si="11"/>
        <v>METAL</v>
      </c>
      <c r="L79" t="str">
        <f t="shared" ca="1" si="12"/>
        <v>dom</v>
      </c>
      <c r="M79" t="str">
        <f t="shared" ca="1" si="8"/>
        <v>MIN</v>
      </c>
      <c r="N79">
        <f t="shared" ca="1" si="9"/>
        <v>43.839794189970178</v>
      </c>
    </row>
    <row r="80" spans="1:14" x14ac:dyDescent="0.35">
      <c r="F80">
        <f t="shared" si="13"/>
        <v>1</v>
      </c>
      <c r="G80">
        <f t="shared" si="14"/>
        <v>12</v>
      </c>
      <c r="H80">
        <f t="shared" si="15"/>
        <v>0</v>
      </c>
      <c r="K80" t="str">
        <f t="shared" ca="1" si="11"/>
        <v>MACH</v>
      </c>
      <c r="L80" t="str">
        <f t="shared" ca="1" si="12"/>
        <v>dom</v>
      </c>
      <c r="M80" t="str">
        <f t="shared" ca="1" si="8"/>
        <v>MIN</v>
      </c>
      <c r="N80">
        <f t="shared" ca="1" si="9"/>
        <v>63.4546460269314</v>
      </c>
    </row>
    <row r="81" spans="6:14" x14ac:dyDescent="0.35">
      <c r="F81">
        <f t="shared" si="13"/>
        <v>1</v>
      </c>
      <c r="G81">
        <f t="shared" si="14"/>
        <v>13</v>
      </c>
      <c r="H81">
        <f t="shared" si="15"/>
        <v>0</v>
      </c>
      <c r="K81" t="str">
        <f t="shared" ca="1" si="11"/>
        <v>ELEC</v>
      </c>
      <c r="L81" t="str">
        <f t="shared" ca="1" si="12"/>
        <v>dom</v>
      </c>
      <c r="M81" t="str">
        <f t="shared" ca="1" si="8"/>
        <v>MIN</v>
      </c>
      <c r="N81">
        <f t="shared" ca="1" si="9"/>
        <v>13.199944092851993</v>
      </c>
    </row>
    <row r="82" spans="6:14" x14ac:dyDescent="0.35">
      <c r="F82">
        <f t="shared" si="13"/>
        <v>1</v>
      </c>
      <c r="G82">
        <f t="shared" si="14"/>
        <v>14</v>
      </c>
      <c r="H82">
        <f t="shared" si="15"/>
        <v>0</v>
      </c>
      <c r="K82" t="str">
        <f t="shared" ca="1" si="11"/>
        <v>TRNEQUIP</v>
      </c>
      <c r="L82" t="str">
        <f t="shared" ca="1" si="12"/>
        <v>dom</v>
      </c>
      <c r="M82" t="str">
        <f t="shared" ca="1" si="8"/>
        <v>MIN</v>
      </c>
      <c r="N82">
        <f t="shared" ca="1" si="9"/>
        <v>19.067423829535819</v>
      </c>
    </row>
    <row r="83" spans="6:14" x14ac:dyDescent="0.35">
      <c r="F83">
        <f t="shared" si="13"/>
        <v>1</v>
      </c>
      <c r="G83">
        <f t="shared" si="14"/>
        <v>15</v>
      </c>
      <c r="H83">
        <f t="shared" si="15"/>
        <v>0</v>
      </c>
      <c r="K83" t="str">
        <f t="shared" ca="1" si="11"/>
        <v>ROMAN</v>
      </c>
      <c r="L83" t="str">
        <f t="shared" ca="1" si="12"/>
        <v>dom</v>
      </c>
      <c r="M83" t="str">
        <f t="shared" ca="1" si="8"/>
        <v>MIN</v>
      </c>
      <c r="N83">
        <f t="shared" ca="1" si="9"/>
        <v>51.919357042904856</v>
      </c>
    </row>
    <row r="84" spans="6:14" x14ac:dyDescent="0.35">
      <c r="F84">
        <f t="shared" si="13"/>
        <v>1</v>
      </c>
      <c r="G84">
        <f t="shared" si="14"/>
        <v>16</v>
      </c>
      <c r="H84">
        <f t="shared" si="15"/>
        <v>0</v>
      </c>
      <c r="K84" t="str">
        <f t="shared" ca="1" si="11"/>
        <v>ELYGASWTR</v>
      </c>
      <c r="L84" t="str">
        <f t="shared" ca="1" si="12"/>
        <v>dom</v>
      </c>
      <c r="M84" t="str">
        <f t="shared" ca="1" si="8"/>
        <v>MIN</v>
      </c>
      <c r="N84">
        <f t="shared" ca="1" si="9"/>
        <v>1.1847653011413519E-6</v>
      </c>
    </row>
    <row r="85" spans="6:14" x14ac:dyDescent="0.35">
      <c r="F85">
        <f t="shared" ref="F85:F100" si="16">F19+1</f>
        <v>1</v>
      </c>
      <c r="G85">
        <f t="shared" si="14"/>
        <v>17</v>
      </c>
      <c r="H85">
        <f t="shared" si="15"/>
        <v>0</v>
      </c>
      <c r="K85" t="str">
        <f t="shared" ca="1" si="11"/>
        <v>CNS</v>
      </c>
      <c r="L85" t="str">
        <f t="shared" ca="1" si="12"/>
        <v>dom</v>
      </c>
      <c r="M85" t="str">
        <f t="shared" ca="1" si="8"/>
        <v>MIN</v>
      </c>
      <c r="N85">
        <f t="shared" ca="1" si="9"/>
        <v>1724.6800327888973</v>
      </c>
    </row>
    <row r="86" spans="6:14" x14ac:dyDescent="0.35">
      <c r="F86">
        <f t="shared" si="16"/>
        <v>1</v>
      </c>
      <c r="G86">
        <f t="shared" si="14"/>
        <v>18</v>
      </c>
      <c r="H86">
        <f t="shared" si="15"/>
        <v>0</v>
      </c>
      <c r="K86" t="str">
        <f t="shared" ca="1" si="11"/>
        <v>TRD</v>
      </c>
      <c r="L86" t="str">
        <f t="shared" ca="1" si="12"/>
        <v>dom</v>
      </c>
      <c r="M86" t="str">
        <f t="shared" ca="1" si="8"/>
        <v>MIN</v>
      </c>
      <c r="N86">
        <f t="shared" ca="1" si="9"/>
        <v>275.76483870021588</v>
      </c>
    </row>
    <row r="87" spans="6:14" x14ac:dyDescent="0.35">
      <c r="F87">
        <f t="shared" si="16"/>
        <v>1</v>
      </c>
      <c r="G87">
        <f t="shared" si="14"/>
        <v>19</v>
      </c>
      <c r="H87">
        <f t="shared" si="15"/>
        <v>0</v>
      </c>
      <c r="K87" t="str">
        <f t="shared" ca="1" si="11"/>
        <v>AFS</v>
      </c>
      <c r="L87" t="str">
        <f t="shared" ca="1" si="12"/>
        <v>dom</v>
      </c>
      <c r="M87" t="str">
        <f t="shared" ca="1" si="8"/>
        <v>MIN</v>
      </c>
      <c r="N87">
        <f t="shared" ca="1" si="9"/>
        <v>1.1847653011413519E-6</v>
      </c>
    </row>
    <row r="88" spans="6:14" x14ac:dyDescent="0.35">
      <c r="F88">
        <f t="shared" si="16"/>
        <v>1</v>
      </c>
      <c r="G88">
        <f t="shared" si="14"/>
        <v>20</v>
      </c>
      <c r="H88">
        <f t="shared" si="15"/>
        <v>0</v>
      </c>
      <c r="K88" t="str">
        <f t="shared" ca="1" si="11"/>
        <v>OTP</v>
      </c>
      <c r="L88" t="str">
        <f t="shared" ca="1" si="12"/>
        <v>dom</v>
      </c>
      <c r="M88" t="str">
        <f t="shared" ca="1" si="8"/>
        <v>MIN</v>
      </c>
      <c r="N88">
        <f t="shared" ca="1" si="9"/>
        <v>1.1847653011413519E-6</v>
      </c>
    </row>
    <row r="89" spans="6:14" x14ac:dyDescent="0.35">
      <c r="F89">
        <f t="shared" si="16"/>
        <v>1</v>
      </c>
      <c r="G89">
        <f t="shared" si="14"/>
        <v>21</v>
      </c>
      <c r="H89">
        <f t="shared" si="15"/>
        <v>0</v>
      </c>
      <c r="K89" t="str">
        <f t="shared" ca="1" si="11"/>
        <v>WTP</v>
      </c>
      <c r="L89" t="str">
        <f t="shared" ca="1" si="12"/>
        <v>dom</v>
      </c>
      <c r="M89" t="str">
        <f t="shared" ca="1" si="8"/>
        <v>MIN</v>
      </c>
      <c r="N89">
        <f t="shared" ca="1" si="9"/>
        <v>1.1847653011413519E-6</v>
      </c>
    </row>
    <row r="90" spans="6:14" x14ac:dyDescent="0.35">
      <c r="F90">
        <f t="shared" si="16"/>
        <v>1</v>
      </c>
      <c r="G90">
        <f t="shared" si="14"/>
        <v>22</v>
      </c>
      <c r="H90">
        <f t="shared" si="15"/>
        <v>0</v>
      </c>
      <c r="K90" t="str">
        <f t="shared" ca="1" si="11"/>
        <v>ATP</v>
      </c>
      <c r="L90" t="str">
        <f t="shared" ca="1" si="12"/>
        <v>dom</v>
      </c>
      <c r="M90" t="str">
        <f t="shared" ca="1" si="8"/>
        <v>MIN</v>
      </c>
      <c r="N90">
        <f t="shared" ca="1" si="9"/>
        <v>1.1847653011413519E-6</v>
      </c>
    </row>
    <row r="91" spans="6:14" x14ac:dyDescent="0.35">
      <c r="F91">
        <f t="shared" si="16"/>
        <v>1</v>
      </c>
      <c r="G91">
        <f t="shared" si="14"/>
        <v>23</v>
      </c>
      <c r="H91">
        <f t="shared" si="15"/>
        <v>0</v>
      </c>
      <c r="K91" t="str">
        <f t="shared" ca="1" si="11"/>
        <v>WHS</v>
      </c>
      <c r="L91" t="str">
        <f t="shared" ca="1" si="12"/>
        <v>dom</v>
      </c>
      <c r="M91" t="str">
        <f t="shared" ca="1" si="8"/>
        <v>MIN</v>
      </c>
      <c r="N91">
        <f t="shared" ca="1" si="9"/>
        <v>1.1847653011413519E-6</v>
      </c>
    </row>
    <row r="92" spans="6:14" x14ac:dyDescent="0.35">
      <c r="F92">
        <f t="shared" si="16"/>
        <v>1</v>
      </c>
      <c r="G92">
        <f t="shared" si="14"/>
        <v>24</v>
      </c>
      <c r="H92">
        <f t="shared" si="15"/>
        <v>0</v>
      </c>
      <c r="K92" t="str">
        <f t="shared" ca="1" si="11"/>
        <v>CMN</v>
      </c>
      <c r="L92" t="str">
        <f t="shared" ca="1" si="12"/>
        <v>dom</v>
      </c>
      <c r="M92" t="str">
        <f t="shared" ca="1" si="8"/>
        <v>MIN</v>
      </c>
      <c r="N92">
        <f t="shared" ca="1" si="9"/>
        <v>1.1847653011413519E-6</v>
      </c>
    </row>
    <row r="93" spans="6:14" x14ac:dyDescent="0.35">
      <c r="F93">
        <f t="shared" si="16"/>
        <v>1</v>
      </c>
      <c r="G93">
        <f t="shared" si="14"/>
        <v>25</v>
      </c>
      <c r="H93">
        <f t="shared" si="15"/>
        <v>0</v>
      </c>
      <c r="K93" t="str">
        <f t="shared" ca="1" si="11"/>
        <v>OFI</v>
      </c>
      <c r="L93" t="str">
        <f t="shared" ca="1" si="12"/>
        <v>dom</v>
      </c>
      <c r="M93" t="str">
        <f t="shared" ca="1" si="8"/>
        <v>MIN</v>
      </c>
      <c r="N93">
        <f t="shared" ca="1" si="9"/>
        <v>1.1847653011413519E-6</v>
      </c>
    </row>
    <row r="94" spans="6:14" x14ac:dyDescent="0.35">
      <c r="F94">
        <f t="shared" si="16"/>
        <v>1</v>
      </c>
      <c r="G94">
        <f t="shared" si="14"/>
        <v>26</v>
      </c>
      <c r="H94">
        <f t="shared" si="15"/>
        <v>0</v>
      </c>
      <c r="K94" t="str">
        <f t="shared" ca="1" si="11"/>
        <v>RSA</v>
      </c>
      <c r="L94" t="str">
        <f t="shared" ca="1" si="12"/>
        <v>dom</v>
      </c>
      <c r="M94" t="str">
        <f t="shared" ca="1" si="8"/>
        <v>MIN</v>
      </c>
      <c r="N94">
        <f t="shared" ca="1" si="9"/>
        <v>1.1847653011413519E-6</v>
      </c>
    </row>
    <row r="95" spans="6:14" x14ac:dyDescent="0.35">
      <c r="F95">
        <f t="shared" si="16"/>
        <v>1</v>
      </c>
      <c r="G95">
        <f t="shared" si="14"/>
        <v>27</v>
      </c>
      <c r="H95">
        <f t="shared" si="15"/>
        <v>0</v>
      </c>
      <c r="K95" t="str">
        <f t="shared" ca="1" si="11"/>
        <v>OBS</v>
      </c>
      <c r="L95" t="str">
        <f t="shared" ca="1" si="12"/>
        <v>dom</v>
      </c>
      <c r="M95" t="str">
        <f t="shared" ca="1" si="8"/>
        <v>MIN</v>
      </c>
      <c r="N95">
        <f t="shared" ca="1" si="9"/>
        <v>1.1847653011413519E-6</v>
      </c>
    </row>
    <row r="96" spans="6:14" x14ac:dyDescent="0.35">
      <c r="F96">
        <f t="shared" si="16"/>
        <v>1</v>
      </c>
      <c r="G96">
        <f t="shared" si="14"/>
        <v>28</v>
      </c>
      <c r="H96">
        <f t="shared" si="15"/>
        <v>0</v>
      </c>
      <c r="K96" t="str">
        <f t="shared" ca="1" si="11"/>
        <v>GOV</v>
      </c>
      <c r="L96" t="str">
        <f t="shared" ca="1" si="12"/>
        <v>dom</v>
      </c>
      <c r="M96" t="str">
        <f t="shared" ca="1" si="8"/>
        <v>MIN</v>
      </c>
      <c r="N96">
        <f t="shared" ca="1" si="9"/>
        <v>1.1847653011413519E-6</v>
      </c>
    </row>
    <row r="97" spans="6:14" x14ac:dyDescent="0.35">
      <c r="F97">
        <f t="shared" si="16"/>
        <v>1</v>
      </c>
      <c r="G97">
        <f t="shared" si="14"/>
        <v>29</v>
      </c>
      <c r="H97">
        <f t="shared" si="15"/>
        <v>0</v>
      </c>
      <c r="K97" t="str">
        <f t="shared" ca="1" si="11"/>
        <v>EDU</v>
      </c>
      <c r="L97" t="str">
        <f t="shared" ca="1" si="12"/>
        <v>dom</v>
      </c>
      <c r="M97" t="str">
        <f t="shared" ca="1" si="8"/>
        <v>MIN</v>
      </c>
      <c r="N97">
        <f t="shared" ca="1" si="9"/>
        <v>1.1847653011413519E-6</v>
      </c>
    </row>
    <row r="98" spans="6:14" x14ac:dyDescent="0.35">
      <c r="F98">
        <f t="shared" si="16"/>
        <v>1</v>
      </c>
      <c r="G98">
        <f t="shared" si="14"/>
        <v>30</v>
      </c>
      <c r="H98">
        <f t="shared" si="15"/>
        <v>0</v>
      </c>
      <c r="K98" t="str">
        <f t="shared" ca="1" si="11"/>
        <v>HHT</v>
      </c>
      <c r="L98" t="str">
        <f t="shared" ca="1" si="12"/>
        <v>dom</v>
      </c>
      <c r="M98" t="str">
        <f t="shared" ca="1" si="8"/>
        <v>MIN</v>
      </c>
      <c r="N98">
        <f t="shared" ca="1" si="9"/>
        <v>1.1847653011413519E-6</v>
      </c>
    </row>
    <row r="99" spans="6:14" x14ac:dyDescent="0.35">
      <c r="F99">
        <f t="shared" si="16"/>
        <v>1</v>
      </c>
      <c r="G99">
        <f t="shared" si="14"/>
        <v>31</v>
      </c>
      <c r="H99">
        <f t="shared" si="15"/>
        <v>0</v>
      </c>
      <c r="K99" t="str">
        <f t="shared" ca="1" si="11"/>
        <v>REC</v>
      </c>
      <c r="L99" t="str">
        <f t="shared" ca="1" si="12"/>
        <v>dom</v>
      </c>
      <c r="M99" t="str">
        <f t="shared" ca="1" si="8"/>
        <v>MIN</v>
      </c>
      <c r="N99">
        <f t="shared" ca="1" si="9"/>
        <v>1.1847653011413519E-6</v>
      </c>
    </row>
    <row r="100" spans="6:14" x14ac:dyDescent="0.35">
      <c r="F100">
        <f t="shared" si="16"/>
        <v>1</v>
      </c>
      <c r="G100">
        <f t="shared" si="14"/>
        <v>32</v>
      </c>
      <c r="H100">
        <f t="shared" si="15"/>
        <v>0</v>
      </c>
      <c r="K100" t="str">
        <f t="shared" ca="1" si="11"/>
        <v>DWE</v>
      </c>
      <c r="L100" t="str">
        <f t="shared" ca="1" si="12"/>
        <v>dom</v>
      </c>
      <c r="M100" t="str">
        <f t="shared" ca="1" si="8"/>
        <v>MIN</v>
      </c>
      <c r="N100">
        <f t="shared" ca="1" si="9"/>
        <v>1.1847653011413519E-6</v>
      </c>
    </row>
    <row r="101" spans="6:14" x14ac:dyDescent="0.35">
      <c r="F101">
        <f t="shared" ref="F101:F116" si="17">F35+1</f>
        <v>1</v>
      </c>
      <c r="G101">
        <f t="shared" si="14"/>
        <v>0</v>
      </c>
      <c r="H101">
        <f t="shared" si="15"/>
        <v>1</v>
      </c>
      <c r="K101" t="str">
        <f t="shared" ca="1" si="11"/>
        <v>AG</v>
      </c>
      <c r="L101" t="str">
        <f t="shared" ca="1" si="12"/>
        <v>imp</v>
      </c>
      <c r="M101" t="str">
        <f t="shared" ca="1" si="8"/>
        <v>MIN</v>
      </c>
      <c r="N101">
        <f t="shared" ca="1" si="9"/>
        <v>10.961240096942849</v>
      </c>
    </row>
    <row r="102" spans="6:14" x14ac:dyDescent="0.35">
      <c r="F102">
        <f t="shared" si="17"/>
        <v>1</v>
      </c>
      <c r="G102">
        <f t="shared" si="14"/>
        <v>1</v>
      </c>
      <c r="H102">
        <f t="shared" si="15"/>
        <v>1</v>
      </c>
      <c r="K102" t="str">
        <f t="shared" ca="1" si="11"/>
        <v>MIN</v>
      </c>
      <c r="L102" t="str">
        <f t="shared" ca="1" si="12"/>
        <v>imp</v>
      </c>
      <c r="M102" t="str">
        <f t="shared" ca="1" si="8"/>
        <v>MIN</v>
      </c>
      <c r="N102">
        <f t="shared" ca="1" si="9"/>
        <v>17.292799740714901</v>
      </c>
    </row>
    <row r="103" spans="6:14" x14ac:dyDescent="0.35">
      <c r="F103">
        <f t="shared" si="17"/>
        <v>1</v>
      </c>
      <c r="G103">
        <f t="shared" si="14"/>
        <v>2</v>
      </c>
      <c r="H103">
        <f t="shared" si="15"/>
        <v>1</v>
      </c>
      <c r="K103" t="str">
        <f t="shared" ca="1" si="11"/>
        <v>FBT</v>
      </c>
      <c r="L103" t="str">
        <f t="shared" ca="1" si="12"/>
        <v>imp</v>
      </c>
      <c r="M103" t="str">
        <f t="shared" ca="1" si="8"/>
        <v>MIN</v>
      </c>
      <c r="N103">
        <f t="shared" ca="1" si="9"/>
        <v>4.327188921611925</v>
      </c>
    </row>
    <row r="104" spans="6:14" x14ac:dyDescent="0.35">
      <c r="F104">
        <f t="shared" si="17"/>
        <v>1</v>
      </c>
      <c r="G104">
        <f t="shared" si="14"/>
        <v>3</v>
      </c>
      <c r="H104">
        <f t="shared" si="15"/>
        <v>1</v>
      </c>
      <c r="K104" t="str">
        <f t="shared" ca="1" si="11"/>
        <v>TEX</v>
      </c>
      <c r="L104" t="str">
        <f t="shared" ca="1" si="12"/>
        <v>imp</v>
      </c>
      <c r="M104" t="str">
        <f t="shared" ca="1" si="8"/>
        <v>MIN</v>
      </c>
      <c r="N104">
        <f t="shared" ca="1" si="9"/>
        <v>84.916824287754636</v>
      </c>
    </row>
    <row r="105" spans="6:14" x14ac:dyDescent="0.35">
      <c r="F105">
        <f t="shared" si="17"/>
        <v>1</v>
      </c>
      <c r="G105">
        <f t="shared" si="14"/>
        <v>4</v>
      </c>
      <c r="H105">
        <f t="shared" si="15"/>
        <v>1</v>
      </c>
      <c r="K105" t="str">
        <f t="shared" ca="1" si="11"/>
        <v>LEATHER</v>
      </c>
      <c r="L105" t="str">
        <f t="shared" ca="1" si="12"/>
        <v>imp</v>
      </c>
      <c r="M105" t="str">
        <f t="shared" ca="1" si="8"/>
        <v>MIN</v>
      </c>
      <c r="N105">
        <f t="shared" ca="1" si="9"/>
        <v>44.256056989016493</v>
      </c>
    </row>
    <row r="106" spans="6:14" x14ac:dyDescent="0.35">
      <c r="F106">
        <f t="shared" si="17"/>
        <v>1</v>
      </c>
      <c r="G106">
        <f t="shared" si="14"/>
        <v>5</v>
      </c>
      <c r="H106">
        <f t="shared" si="15"/>
        <v>1</v>
      </c>
      <c r="K106" t="str">
        <f t="shared" ca="1" si="11"/>
        <v>WOOD</v>
      </c>
      <c r="L106" t="str">
        <f t="shared" ca="1" si="12"/>
        <v>imp</v>
      </c>
      <c r="M106" t="str">
        <f t="shared" ca="1" si="8"/>
        <v>MIN</v>
      </c>
      <c r="N106">
        <f t="shared" ca="1" si="9"/>
        <v>0.79215103604597381</v>
      </c>
    </row>
    <row r="107" spans="6:14" x14ac:dyDescent="0.35">
      <c r="F107">
        <f t="shared" si="17"/>
        <v>1</v>
      </c>
      <c r="G107">
        <f t="shared" si="14"/>
        <v>6</v>
      </c>
      <c r="H107">
        <f t="shared" si="15"/>
        <v>1</v>
      </c>
      <c r="K107" t="str">
        <f t="shared" ca="1" si="11"/>
        <v>PPP</v>
      </c>
      <c r="L107" t="str">
        <f t="shared" ca="1" si="12"/>
        <v>imp</v>
      </c>
      <c r="M107" t="str">
        <f t="shared" ca="1" si="8"/>
        <v>MIN</v>
      </c>
      <c r="N107">
        <f t="shared" ca="1" si="9"/>
        <v>11.40689498827188</v>
      </c>
    </row>
    <row r="108" spans="6:14" x14ac:dyDescent="0.35">
      <c r="F108">
        <f t="shared" si="17"/>
        <v>1</v>
      </c>
      <c r="G108">
        <f t="shared" si="14"/>
        <v>7</v>
      </c>
      <c r="H108">
        <f t="shared" si="15"/>
        <v>1</v>
      </c>
      <c r="K108" t="str">
        <f t="shared" ca="1" si="11"/>
        <v>PC</v>
      </c>
      <c r="L108" t="str">
        <f t="shared" ca="1" si="12"/>
        <v>imp</v>
      </c>
      <c r="M108" t="str">
        <f t="shared" ca="1" si="8"/>
        <v>MIN</v>
      </c>
      <c r="N108">
        <f t="shared" ca="1" si="9"/>
        <v>2.8723902906221066</v>
      </c>
    </row>
    <row r="109" spans="6:14" x14ac:dyDescent="0.35">
      <c r="F109">
        <f t="shared" si="17"/>
        <v>1</v>
      </c>
      <c r="G109">
        <f t="shared" si="14"/>
        <v>8</v>
      </c>
      <c r="H109">
        <f t="shared" si="15"/>
        <v>1</v>
      </c>
      <c r="K109" t="str">
        <f t="shared" ca="1" si="11"/>
        <v>CHM</v>
      </c>
      <c r="L109" t="str">
        <f t="shared" ca="1" si="12"/>
        <v>imp</v>
      </c>
      <c r="M109" t="str">
        <f t="shared" ca="1" si="8"/>
        <v>MIN</v>
      </c>
      <c r="N109">
        <f t="shared" ca="1" si="9"/>
        <v>39.375674838734362</v>
      </c>
    </row>
    <row r="110" spans="6:14" x14ac:dyDescent="0.35">
      <c r="F110">
        <f t="shared" si="17"/>
        <v>1</v>
      </c>
      <c r="G110">
        <f t="shared" si="14"/>
        <v>9</v>
      </c>
      <c r="H110">
        <f t="shared" si="15"/>
        <v>1</v>
      </c>
      <c r="K110" t="str">
        <f t="shared" ca="1" si="11"/>
        <v>RUBBER</v>
      </c>
      <c r="L110" t="str">
        <f t="shared" ca="1" si="12"/>
        <v>imp</v>
      </c>
      <c r="M110" t="str">
        <f t="shared" ca="1" si="8"/>
        <v>MIN</v>
      </c>
      <c r="N110">
        <f t="shared" ca="1" si="9"/>
        <v>30.156533355280388</v>
      </c>
    </row>
    <row r="111" spans="6:14" x14ac:dyDescent="0.35">
      <c r="F111">
        <f t="shared" si="17"/>
        <v>1</v>
      </c>
      <c r="G111">
        <f t="shared" si="14"/>
        <v>10</v>
      </c>
      <c r="H111">
        <f t="shared" si="15"/>
        <v>1</v>
      </c>
      <c r="K111" t="str">
        <f t="shared" ca="1" si="11"/>
        <v>NMM</v>
      </c>
      <c r="L111" t="str">
        <f t="shared" ca="1" si="12"/>
        <v>imp</v>
      </c>
      <c r="M111" t="str">
        <f t="shared" ca="1" si="8"/>
        <v>MIN</v>
      </c>
      <c r="N111">
        <f t="shared" ca="1" si="9"/>
        <v>11.383710658006882</v>
      </c>
    </row>
    <row r="112" spans="6:14" x14ac:dyDescent="0.35">
      <c r="F112">
        <f t="shared" si="17"/>
        <v>1</v>
      </c>
      <c r="G112">
        <f t="shared" si="14"/>
        <v>11</v>
      </c>
      <c r="H112">
        <f t="shared" si="15"/>
        <v>1</v>
      </c>
      <c r="K112" t="str">
        <f t="shared" ca="1" si="11"/>
        <v>METAL</v>
      </c>
      <c r="L112" t="str">
        <f t="shared" ca="1" si="12"/>
        <v>imp</v>
      </c>
      <c r="M112" t="str">
        <f t="shared" ca="1" si="8"/>
        <v>MIN</v>
      </c>
      <c r="N112">
        <f t="shared" ca="1" si="9"/>
        <v>142.49147431336627</v>
      </c>
    </row>
    <row r="113" spans="6:14" x14ac:dyDescent="0.35">
      <c r="F113">
        <f t="shared" si="17"/>
        <v>1</v>
      </c>
      <c r="G113">
        <f t="shared" si="14"/>
        <v>12</v>
      </c>
      <c r="H113">
        <f t="shared" si="15"/>
        <v>1</v>
      </c>
      <c r="K113" t="str">
        <f t="shared" ca="1" si="11"/>
        <v>MACH</v>
      </c>
      <c r="L113" t="str">
        <f t="shared" ca="1" si="12"/>
        <v>imp</v>
      </c>
      <c r="M113" t="str">
        <f t="shared" ca="1" si="8"/>
        <v>MIN</v>
      </c>
      <c r="N113">
        <f t="shared" ca="1" si="9"/>
        <v>545.85233239631248</v>
      </c>
    </row>
    <row r="114" spans="6:14" x14ac:dyDescent="0.35">
      <c r="F114">
        <f t="shared" si="17"/>
        <v>1</v>
      </c>
      <c r="G114">
        <f t="shared" si="14"/>
        <v>13</v>
      </c>
      <c r="H114">
        <f t="shared" si="15"/>
        <v>1</v>
      </c>
      <c r="K114" t="str">
        <f t="shared" ca="1" si="11"/>
        <v>ELEC</v>
      </c>
      <c r="L114" t="str">
        <f t="shared" ca="1" si="12"/>
        <v>imp</v>
      </c>
      <c r="M114" t="str">
        <f t="shared" ca="1" si="8"/>
        <v>MIN</v>
      </c>
      <c r="N114">
        <f t="shared" ca="1" si="9"/>
        <v>292.66936994036837</v>
      </c>
    </row>
    <row r="115" spans="6:14" x14ac:dyDescent="0.35">
      <c r="F115">
        <f t="shared" si="17"/>
        <v>1</v>
      </c>
      <c r="G115">
        <f t="shared" si="14"/>
        <v>14</v>
      </c>
      <c r="H115">
        <f t="shared" si="15"/>
        <v>1</v>
      </c>
      <c r="K115" t="str">
        <f t="shared" ca="1" si="11"/>
        <v>TRNEQUIP</v>
      </c>
      <c r="L115" t="str">
        <f t="shared" ca="1" si="12"/>
        <v>imp</v>
      </c>
      <c r="M115" t="str">
        <f t="shared" ca="1" si="8"/>
        <v>MIN</v>
      </c>
      <c r="N115">
        <f t="shared" ca="1" si="9"/>
        <v>467.0673952064426</v>
      </c>
    </row>
    <row r="116" spans="6:14" x14ac:dyDescent="0.35">
      <c r="F116">
        <f t="shared" si="17"/>
        <v>1</v>
      </c>
      <c r="G116">
        <f t="shared" si="14"/>
        <v>15</v>
      </c>
      <c r="H116">
        <f t="shared" si="15"/>
        <v>1</v>
      </c>
      <c r="K116" t="str">
        <f t="shared" ca="1" si="11"/>
        <v>ROMAN</v>
      </c>
      <c r="L116" t="str">
        <f t="shared" ca="1" si="12"/>
        <v>imp</v>
      </c>
      <c r="M116" t="str">
        <f t="shared" ca="1" si="8"/>
        <v>MIN</v>
      </c>
      <c r="N116">
        <f t="shared" ca="1" si="9"/>
        <v>177.22156301744343</v>
      </c>
    </row>
    <row r="117" spans="6:14" x14ac:dyDescent="0.35">
      <c r="F117">
        <f t="shared" ref="F117:F132" si="18">F51+1</f>
        <v>1</v>
      </c>
      <c r="G117">
        <f t="shared" si="14"/>
        <v>16</v>
      </c>
      <c r="H117">
        <f t="shared" si="15"/>
        <v>1</v>
      </c>
      <c r="K117" t="str">
        <f t="shared" ca="1" si="11"/>
        <v>ELYGASWTR</v>
      </c>
      <c r="L117" t="str">
        <f t="shared" ca="1" si="12"/>
        <v>imp</v>
      </c>
      <c r="M117" t="str">
        <f t="shared" ca="1" si="8"/>
        <v>MIN</v>
      </c>
      <c r="N117">
        <f t="shared" ca="1" si="9"/>
        <v>1.1847653011413519E-6</v>
      </c>
    </row>
    <row r="118" spans="6:14" x14ac:dyDescent="0.35">
      <c r="F118">
        <f t="shared" si="18"/>
        <v>1</v>
      </c>
      <c r="G118">
        <f t="shared" si="14"/>
        <v>17</v>
      </c>
      <c r="H118">
        <f t="shared" si="15"/>
        <v>1</v>
      </c>
      <c r="K118" t="str">
        <f t="shared" ca="1" si="11"/>
        <v>CNS</v>
      </c>
      <c r="L118" t="str">
        <f t="shared" ca="1" si="12"/>
        <v>imp</v>
      </c>
      <c r="M118" t="str">
        <f t="shared" ca="1" si="8"/>
        <v>MIN</v>
      </c>
      <c r="N118">
        <f t="shared" ca="1" si="9"/>
        <v>34.692142322661219</v>
      </c>
    </row>
    <row r="119" spans="6:14" x14ac:dyDescent="0.35">
      <c r="F119">
        <f t="shared" si="18"/>
        <v>1</v>
      </c>
      <c r="G119">
        <f t="shared" si="14"/>
        <v>18</v>
      </c>
      <c r="H119">
        <f t="shared" si="15"/>
        <v>1</v>
      </c>
      <c r="K119" t="str">
        <f t="shared" ca="1" si="11"/>
        <v>TRD</v>
      </c>
      <c r="L119" t="str">
        <f t="shared" ca="1" si="12"/>
        <v>imp</v>
      </c>
      <c r="M119" t="str">
        <f t="shared" ca="1" si="8"/>
        <v>MIN</v>
      </c>
      <c r="N119">
        <f t="shared" ca="1" si="9"/>
        <v>3.0353280759205568</v>
      </c>
    </row>
    <row r="120" spans="6:14" x14ac:dyDescent="0.35">
      <c r="F120">
        <f t="shared" si="18"/>
        <v>1</v>
      </c>
      <c r="G120">
        <f t="shared" si="14"/>
        <v>19</v>
      </c>
      <c r="H120">
        <f t="shared" si="15"/>
        <v>1</v>
      </c>
      <c r="K120" t="str">
        <f t="shared" ca="1" si="11"/>
        <v>AFS</v>
      </c>
      <c r="L120" t="str">
        <f t="shared" ca="1" si="12"/>
        <v>imp</v>
      </c>
      <c r="M120" t="str">
        <f t="shared" ca="1" si="8"/>
        <v>MIN</v>
      </c>
      <c r="N120">
        <f t="shared" ca="1" si="9"/>
        <v>1.1847653011413519E-6</v>
      </c>
    </row>
    <row r="121" spans="6:14" x14ac:dyDescent="0.35">
      <c r="F121">
        <f t="shared" si="18"/>
        <v>1</v>
      </c>
      <c r="G121">
        <f t="shared" si="14"/>
        <v>20</v>
      </c>
      <c r="H121">
        <f t="shared" si="15"/>
        <v>1</v>
      </c>
      <c r="K121" t="str">
        <f t="shared" ca="1" si="11"/>
        <v>OTP</v>
      </c>
      <c r="L121" t="str">
        <f t="shared" ca="1" si="12"/>
        <v>imp</v>
      </c>
      <c r="M121" t="str">
        <f t="shared" ca="1" si="8"/>
        <v>MIN</v>
      </c>
      <c r="N121">
        <f t="shared" ca="1" si="9"/>
        <v>1.1847653011413519E-6</v>
      </c>
    </row>
    <row r="122" spans="6:14" x14ac:dyDescent="0.35">
      <c r="F122">
        <f t="shared" si="18"/>
        <v>1</v>
      </c>
      <c r="G122">
        <f t="shared" si="14"/>
        <v>21</v>
      </c>
      <c r="H122">
        <f t="shared" si="15"/>
        <v>1</v>
      </c>
      <c r="K122" t="str">
        <f t="shared" ca="1" si="11"/>
        <v>WTP</v>
      </c>
      <c r="L122" t="str">
        <f t="shared" ca="1" si="12"/>
        <v>imp</v>
      </c>
      <c r="M122" t="str">
        <f t="shared" ca="1" si="8"/>
        <v>MIN</v>
      </c>
      <c r="N122">
        <f t="shared" ca="1" si="9"/>
        <v>1.1847653011413519E-6</v>
      </c>
    </row>
    <row r="123" spans="6:14" x14ac:dyDescent="0.35">
      <c r="F123">
        <f t="shared" si="18"/>
        <v>1</v>
      </c>
      <c r="G123">
        <f t="shared" si="14"/>
        <v>22</v>
      </c>
      <c r="H123">
        <f t="shared" si="15"/>
        <v>1</v>
      </c>
      <c r="K123" t="str">
        <f t="shared" ca="1" si="11"/>
        <v>ATP</v>
      </c>
      <c r="L123" t="str">
        <f t="shared" ca="1" si="12"/>
        <v>imp</v>
      </c>
      <c r="M123" t="str">
        <f t="shared" ca="1" si="8"/>
        <v>MIN</v>
      </c>
      <c r="N123">
        <f t="shared" ca="1" si="9"/>
        <v>1.1847653011413519E-6</v>
      </c>
    </row>
    <row r="124" spans="6:14" x14ac:dyDescent="0.35">
      <c r="F124">
        <f t="shared" si="18"/>
        <v>1</v>
      </c>
      <c r="G124">
        <f t="shared" si="14"/>
        <v>23</v>
      </c>
      <c r="H124">
        <f t="shared" si="15"/>
        <v>1</v>
      </c>
      <c r="K124" t="str">
        <f t="shared" ca="1" si="11"/>
        <v>WHS</v>
      </c>
      <c r="L124" t="str">
        <f t="shared" ca="1" si="12"/>
        <v>imp</v>
      </c>
      <c r="M124" t="str">
        <f t="shared" ca="1" si="8"/>
        <v>MIN</v>
      </c>
      <c r="N124">
        <f t="shared" ca="1" si="9"/>
        <v>1.1847653011413519E-6</v>
      </c>
    </row>
    <row r="125" spans="6:14" x14ac:dyDescent="0.35">
      <c r="F125">
        <f t="shared" si="18"/>
        <v>1</v>
      </c>
      <c r="G125">
        <f t="shared" si="14"/>
        <v>24</v>
      </c>
      <c r="H125">
        <f t="shared" si="15"/>
        <v>1</v>
      </c>
      <c r="K125" t="str">
        <f t="shared" ca="1" si="11"/>
        <v>CMN</v>
      </c>
      <c r="L125" t="str">
        <f t="shared" ca="1" si="12"/>
        <v>imp</v>
      </c>
      <c r="M125" t="str">
        <f t="shared" ca="1" si="8"/>
        <v>MIN</v>
      </c>
      <c r="N125">
        <f t="shared" ca="1" si="9"/>
        <v>1.1847653011413519E-6</v>
      </c>
    </row>
    <row r="126" spans="6:14" x14ac:dyDescent="0.35">
      <c r="F126">
        <f t="shared" si="18"/>
        <v>1</v>
      </c>
      <c r="G126">
        <f t="shared" si="14"/>
        <v>25</v>
      </c>
      <c r="H126">
        <f t="shared" si="15"/>
        <v>1</v>
      </c>
      <c r="K126" t="str">
        <f t="shared" ca="1" si="11"/>
        <v>OFI</v>
      </c>
      <c r="L126" t="str">
        <f t="shared" ca="1" si="12"/>
        <v>imp</v>
      </c>
      <c r="M126" t="str">
        <f t="shared" ca="1" si="8"/>
        <v>MIN</v>
      </c>
      <c r="N126">
        <f t="shared" ca="1" si="9"/>
        <v>1.1847653011413519E-6</v>
      </c>
    </row>
    <row r="127" spans="6:14" x14ac:dyDescent="0.35">
      <c r="F127">
        <f t="shared" si="18"/>
        <v>1</v>
      </c>
      <c r="G127">
        <f t="shared" si="14"/>
        <v>26</v>
      </c>
      <c r="H127">
        <f t="shared" si="15"/>
        <v>1</v>
      </c>
      <c r="K127" t="str">
        <f t="shared" ca="1" si="11"/>
        <v>RSA</v>
      </c>
      <c r="L127" t="str">
        <f t="shared" ca="1" si="12"/>
        <v>imp</v>
      </c>
      <c r="M127" t="str">
        <f t="shared" ca="1" si="8"/>
        <v>MIN</v>
      </c>
      <c r="N127">
        <f t="shared" ca="1" si="9"/>
        <v>1.1847653011413519E-6</v>
      </c>
    </row>
    <row r="128" spans="6:14" x14ac:dyDescent="0.35">
      <c r="F128">
        <f t="shared" si="18"/>
        <v>1</v>
      </c>
      <c r="G128">
        <f t="shared" si="14"/>
        <v>27</v>
      </c>
      <c r="H128">
        <f t="shared" si="15"/>
        <v>1</v>
      </c>
      <c r="K128" t="str">
        <f t="shared" ca="1" si="11"/>
        <v>OBS</v>
      </c>
      <c r="L128" t="str">
        <f t="shared" ca="1" si="12"/>
        <v>imp</v>
      </c>
      <c r="M128" t="str">
        <f t="shared" ca="1" si="8"/>
        <v>MIN</v>
      </c>
      <c r="N128">
        <f t="shared" ca="1" si="9"/>
        <v>1.1847653011413519E-6</v>
      </c>
    </row>
    <row r="129" spans="6:14" x14ac:dyDescent="0.35">
      <c r="F129">
        <f t="shared" si="18"/>
        <v>1</v>
      </c>
      <c r="G129">
        <f t="shared" si="14"/>
        <v>28</v>
      </c>
      <c r="H129">
        <f t="shared" si="15"/>
        <v>1</v>
      </c>
      <c r="K129" t="str">
        <f t="shared" ca="1" si="11"/>
        <v>GOV</v>
      </c>
      <c r="L129" t="str">
        <f t="shared" ca="1" si="12"/>
        <v>imp</v>
      </c>
      <c r="M129" t="str">
        <f t="shared" ca="1" si="8"/>
        <v>MIN</v>
      </c>
      <c r="N129">
        <f t="shared" ca="1" si="9"/>
        <v>1.1847653011413519E-6</v>
      </c>
    </row>
    <row r="130" spans="6:14" x14ac:dyDescent="0.35">
      <c r="F130">
        <f t="shared" si="18"/>
        <v>1</v>
      </c>
      <c r="G130">
        <f t="shared" si="14"/>
        <v>29</v>
      </c>
      <c r="H130">
        <f t="shared" si="15"/>
        <v>1</v>
      </c>
      <c r="K130" t="str">
        <f t="shared" ca="1" si="11"/>
        <v>EDU</v>
      </c>
      <c r="L130" t="str">
        <f t="shared" ca="1" si="12"/>
        <v>imp</v>
      </c>
      <c r="M130" t="str">
        <f t="shared" ref="M130:M193" ca="1" si="19">OFFSET(A$2,F130,0)</f>
        <v>MIN</v>
      </c>
      <c r="N130">
        <f t="shared" ref="N130:N193" ca="1" si="20">SUMIFS(C:C,A:A,K130,B:B,L130)*SUMIFS(U:U,S:S,M130)</f>
        <v>1.1847653011413519E-6</v>
      </c>
    </row>
    <row r="131" spans="6:14" x14ac:dyDescent="0.35">
      <c r="F131">
        <f t="shared" si="18"/>
        <v>1</v>
      </c>
      <c r="G131">
        <f t="shared" si="14"/>
        <v>30</v>
      </c>
      <c r="H131">
        <f t="shared" si="15"/>
        <v>1</v>
      </c>
      <c r="K131" t="str">
        <f t="shared" ref="K131:K194" ca="1" si="21">OFFSET(A$2,G131,0)</f>
        <v>HHT</v>
      </c>
      <c r="L131" t="str">
        <f t="shared" ref="L131:L194" ca="1" si="22">OFFSET($V$3,H131,0)</f>
        <v>imp</v>
      </c>
      <c r="M131" t="str">
        <f t="shared" ca="1" si="19"/>
        <v>MIN</v>
      </c>
      <c r="N131">
        <f t="shared" ca="1" si="20"/>
        <v>1.1847653011413519E-6</v>
      </c>
    </row>
    <row r="132" spans="6:14" x14ac:dyDescent="0.35">
      <c r="F132">
        <f t="shared" si="18"/>
        <v>1</v>
      </c>
      <c r="G132">
        <f t="shared" si="14"/>
        <v>31</v>
      </c>
      <c r="H132">
        <f t="shared" si="15"/>
        <v>1</v>
      </c>
      <c r="K132" t="str">
        <f t="shared" ca="1" si="21"/>
        <v>REC</v>
      </c>
      <c r="L132" t="str">
        <f t="shared" ca="1" si="22"/>
        <v>imp</v>
      </c>
      <c r="M132" t="str">
        <f t="shared" ca="1" si="19"/>
        <v>MIN</v>
      </c>
      <c r="N132">
        <f t="shared" ca="1" si="20"/>
        <v>1.1847653011413519E-6</v>
      </c>
    </row>
    <row r="133" spans="6:14" x14ac:dyDescent="0.35">
      <c r="F133">
        <f t="shared" ref="F133:F148" si="23">F67+1</f>
        <v>1</v>
      </c>
      <c r="G133">
        <f t="shared" ref="G133:G196" si="24">G100</f>
        <v>32</v>
      </c>
      <c r="H133">
        <f t="shared" ref="H133:H196" si="25">H67</f>
        <v>1</v>
      </c>
      <c r="K133" t="str">
        <f t="shared" ca="1" si="21"/>
        <v>DWE</v>
      </c>
      <c r="L133" t="str">
        <f t="shared" ca="1" si="22"/>
        <v>imp</v>
      </c>
      <c r="M133" t="str">
        <f t="shared" ca="1" si="19"/>
        <v>MIN</v>
      </c>
      <c r="N133">
        <f t="shared" ca="1" si="20"/>
        <v>1.1847653011413519E-6</v>
      </c>
    </row>
    <row r="134" spans="6:14" x14ac:dyDescent="0.35">
      <c r="F134">
        <f t="shared" si="23"/>
        <v>2</v>
      </c>
      <c r="G134">
        <f t="shared" si="24"/>
        <v>0</v>
      </c>
      <c r="H134">
        <f t="shared" si="25"/>
        <v>0</v>
      </c>
      <c r="K134" t="str">
        <f t="shared" ca="1" si="21"/>
        <v>AG</v>
      </c>
      <c r="L134" t="str">
        <f t="shared" ca="1" si="22"/>
        <v>dom</v>
      </c>
      <c r="M134" t="str">
        <f t="shared" ca="1" si="19"/>
        <v>FBT</v>
      </c>
      <c r="N134">
        <f t="shared" ca="1" si="20"/>
        <v>0.37628344871884889</v>
      </c>
    </row>
    <row r="135" spans="6:14" x14ac:dyDescent="0.35">
      <c r="F135">
        <f t="shared" si="23"/>
        <v>2</v>
      </c>
      <c r="G135">
        <f t="shared" si="24"/>
        <v>1</v>
      </c>
      <c r="H135">
        <f t="shared" si="25"/>
        <v>0</v>
      </c>
      <c r="K135" t="str">
        <f t="shared" ca="1" si="21"/>
        <v>MIN</v>
      </c>
      <c r="L135" t="str">
        <f t="shared" ca="1" si="22"/>
        <v>dom</v>
      </c>
      <c r="M135" t="str">
        <f t="shared" ca="1" si="19"/>
        <v>FBT</v>
      </c>
      <c r="N135">
        <f t="shared" ca="1" si="20"/>
        <v>0.65639529634058913</v>
      </c>
    </row>
    <row r="136" spans="6:14" x14ac:dyDescent="0.35">
      <c r="F136">
        <f t="shared" si="23"/>
        <v>2</v>
      </c>
      <c r="G136">
        <f t="shared" si="24"/>
        <v>2</v>
      </c>
      <c r="H136">
        <f t="shared" si="25"/>
        <v>0</v>
      </c>
      <c r="K136" t="str">
        <f t="shared" ca="1" si="21"/>
        <v>FBT</v>
      </c>
      <c r="L136" t="str">
        <f t="shared" ca="1" si="22"/>
        <v>dom</v>
      </c>
      <c r="M136" t="str">
        <f t="shared" ca="1" si="19"/>
        <v>FBT</v>
      </c>
      <c r="N136">
        <f t="shared" ca="1" si="20"/>
        <v>1.105231089264622</v>
      </c>
    </row>
    <row r="137" spans="6:14" x14ac:dyDescent="0.35">
      <c r="F137">
        <f t="shared" si="23"/>
        <v>2</v>
      </c>
      <c r="G137">
        <f t="shared" si="24"/>
        <v>3</v>
      </c>
      <c r="H137">
        <f t="shared" si="25"/>
        <v>0</v>
      </c>
      <c r="K137" t="str">
        <f t="shared" ca="1" si="21"/>
        <v>TEX</v>
      </c>
      <c r="L137" t="str">
        <f t="shared" ca="1" si="22"/>
        <v>dom</v>
      </c>
      <c r="M137" t="str">
        <f t="shared" ca="1" si="19"/>
        <v>FBT</v>
      </c>
      <c r="N137">
        <f t="shared" ca="1" si="20"/>
        <v>5.7569863095727989</v>
      </c>
    </row>
    <row r="138" spans="6:14" x14ac:dyDescent="0.35">
      <c r="F138">
        <f t="shared" si="23"/>
        <v>2</v>
      </c>
      <c r="G138">
        <f t="shared" si="24"/>
        <v>4</v>
      </c>
      <c r="H138">
        <f t="shared" si="25"/>
        <v>0</v>
      </c>
      <c r="K138" t="str">
        <f t="shared" ca="1" si="21"/>
        <v>LEATHER</v>
      </c>
      <c r="L138" t="str">
        <f t="shared" ca="1" si="22"/>
        <v>dom</v>
      </c>
      <c r="M138" t="str">
        <f t="shared" ca="1" si="19"/>
        <v>FBT</v>
      </c>
      <c r="N138">
        <f t="shared" ca="1" si="20"/>
        <v>4.0850527896820615E-2</v>
      </c>
    </row>
    <row r="139" spans="6:14" x14ac:dyDescent="0.35">
      <c r="F139">
        <f t="shared" si="23"/>
        <v>2</v>
      </c>
      <c r="G139">
        <f t="shared" si="24"/>
        <v>5</v>
      </c>
      <c r="H139">
        <f t="shared" si="25"/>
        <v>0</v>
      </c>
      <c r="K139" t="str">
        <f t="shared" ca="1" si="21"/>
        <v>WOOD</v>
      </c>
      <c r="L139" t="str">
        <f t="shared" ca="1" si="22"/>
        <v>dom</v>
      </c>
      <c r="M139" t="str">
        <f t="shared" ca="1" si="19"/>
        <v>FBT</v>
      </c>
      <c r="N139">
        <f t="shared" ca="1" si="20"/>
        <v>0.2514725019586716</v>
      </c>
    </row>
    <row r="140" spans="6:14" x14ac:dyDescent="0.35">
      <c r="F140">
        <f t="shared" si="23"/>
        <v>2</v>
      </c>
      <c r="G140">
        <f t="shared" si="24"/>
        <v>6</v>
      </c>
      <c r="H140">
        <f t="shared" si="25"/>
        <v>0</v>
      </c>
      <c r="K140" t="str">
        <f t="shared" ca="1" si="21"/>
        <v>PPP</v>
      </c>
      <c r="L140" t="str">
        <f t="shared" ca="1" si="22"/>
        <v>dom</v>
      </c>
      <c r="M140" t="str">
        <f t="shared" ca="1" si="19"/>
        <v>FBT</v>
      </c>
      <c r="N140">
        <f t="shared" ca="1" si="20"/>
        <v>5.0333679195844416</v>
      </c>
    </row>
    <row r="141" spans="6:14" x14ac:dyDescent="0.35">
      <c r="F141">
        <f t="shared" si="23"/>
        <v>2</v>
      </c>
      <c r="G141">
        <f t="shared" si="24"/>
        <v>7</v>
      </c>
      <c r="H141">
        <f t="shared" si="25"/>
        <v>0</v>
      </c>
      <c r="K141" t="str">
        <f t="shared" ca="1" si="21"/>
        <v>PC</v>
      </c>
      <c r="L141" t="str">
        <f t="shared" ca="1" si="22"/>
        <v>dom</v>
      </c>
      <c r="M141" t="str">
        <f t="shared" ca="1" si="19"/>
        <v>FBT</v>
      </c>
      <c r="N141">
        <f t="shared" ca="1" si="20"/>
        <v>0.76698832719986221</v>
      </c>
    </row>
    <row r="142" spans="6:14" x14ac:dyDescent="0.35">
      <c r="F142">
        <f t="shared" si="23"/>
        <v>2</v>
      </c>
      <c r="G142">
        <f t="shared" si="24"/>
        <v>8</v>
      </c>
      <c r="H142">
        <f t="shared" si="25"/>
        <v>0</v>
      </c>
      <c r="K142" t="str">
        <f t="shared" ca="1" si="21"/>
        <v>CHM</v>
      </c>
      <c r="L142" t="str">
        <f t="shared" ca="1" si="22"/>
        <v>dom</v>
      </c>
      <c r="M142" t="str">
        <f t="shared" ca="1" si="19"/>
        <v>FBT</v>
      </c>
      <c r="N142">
        <f t="shared" ca="1" si="20"/>
        <v>4.7761901818473813</v>
      </c>
    </row>
    <row r="143" spans="6:14" x14ac:dyDescent="0.35">
      <c r="F143">
        <f t="shared" si="23"/>
        <v>2</v>
      </c>
      <c r="G143">
        <f t="shared" si="24"/>
        <v>9</v>
      </c>
      <c r="H143">
        <f t="shared" si="25"/>
        <v>0</v>
      </c>
      <c r="K143" t="str">
        <f t="shared" ca="1" si="21"/>
        <v>RUBBER</v>
      </c>
      <c r="L143" t="str">
        <f t="shared" ca="1" si="22"/>
        <v>dom</v>
      </c>
      <c r="M143" t="str">
        <f t="shared" ca="1" si="19"/>
        <v>FBT</v>
      </c>
      <c r="N143">
        <f t="shared" ca="1" si="20"/>
        <v>7.4766648550959847</v>
      </c>
    </row>
    <row r="144" spans="6:14" x14ac:dyDescent="0.35">
      <c r="F144">
        <f t="shared" si="23"/>
        <v>2</v>
      </c>
      <c r="G144">
        <f t="shared" si="24"/>
        <v>10</v>
      </c>
      <c r="H144">
        <f t="shared" si="25"/>
        <v>0</v>
      </c>
      <c r="K144" t="str">
        <f t="shared" ca="1" si="21"/>
        <v>NMM</v>
      </c>
      <c r="L144" t="str">
        <f t="shared" ca="1" si="22"/>
        <v>dom</v>
      </c>
      <c r="M144" t="str">
        <f t="shared" ca="1" si="19"/>
        <v>FBT</v>
      </c>
      <c r="N144">
        <f t="shared" ca="1" si="20"/>
        <v>6.9262006984711881</v>
      </c>
    </row>
    <row r="145" spans="6:14" x14ac:dyDescent="0.35">
      <c r="F145">
        <f t="shared" si="23"/>
        <v>2</v>
      </c>
      <c r="G145">
        <f t="shared" si="24"/>
        <v>11</v>
      </c>
      <c r="H145">
        <f t="shared" si="25"/>
        <v>0</v>
      </c>
      <c r="K145" t="str">
        <f t="shared" ca="1" si="21"/>
        <v>METAL</v>
      </c>
      <c r="L145" t="str">
        <f t="shared" ca="1" si="22"/>
        <v>dom</v>
      </c>
      <c r="M145" t="str">
        <f t="shared" ca="1" si="19"/>
        <v>FBT</v>
      </c>
      <c r="N145">
        <f t="shared" ca="1" si="20"/>
        <v>20.25793849663415</v>
      </c>
    </row>
    <row r="146" spans="6:14" x14ac:dyDescent="0.35">
      <c r="F146">
        <f t="shared" si="23"/>
        <v>2</v>
      </c>
      <c r="G146">
        <f t="shared" si="24"/>
        <v>12</v>
      </c>
      <c r="H146">
        <f t="shared" si="25"/>
        <v>0</v>
      </c>
      <c r="K146" t="str">
        <f t="shared" ca="1" si="21"/>
        <v>MACH</v>
      </c>
      <c r="L146" t="str">
        <f t="shared" ca="1" si="22"/>
        <v>dom</v>
      </c>
      <c r="M146" t="str">
        <f t="shared" ca="1" si="19"/>
        <v>FBT</v>
      </c>
      <c r="N146">
        <f t="shared" ca="1" si="20"/>
        <v>29.321768961072337</v>
      </c>
    </row>
    <row r="147" spans="6:14" x14ac:dyDescent="0.35">
      <c r="F147">
        <f t="shared" si="23"/>
        <v>2</v>
      </c>
      <c r="G147">
        <f t="shared" si="24"/>
        <v>13</v>
      </c>
      <c r="H147">
        <f t="shared" si="25"/>
        <v>0</v>
      </c>
      <c r="K147" t="str">
        <f t="shared" ca="1" si="21"/>
        <v>ELEC</v>
      </c>
      <c r="L147" t="str">
        <f t="shared" ca="1" si="22"/>
        <v>dom</v>
      </c>
      <c r="M147" t="str">
        <f t="shared" ca="1" si="19"/>
        <v>FBT</v>
      </c>
      <c r="N147">
        <f t="shared" ca="1" si="20"/>
        <v>6.0995645744427902</v>
      </c>
    </row>
    <row r="148" spans="6:14" x14ac:dyDescent="0.35">
      <c r="F148">
        <f t="shared" si="23"/>
        <v>2</v>
      </c>
      <c r="G148">
        <f t="shared" si="24"/>
        <v>14</v>
      </c>
      <c r="H148">
        <f t="shared" si="25"/>
        <v>0</v>
      </c>
      <c r="K148" t="str">
        <f t="shared" ca="1" si="21"/>
        <v>TRNEQUIP</v>
      </c>
      <c r="L148" t="str">
        <f t="shared" ca="1" si="22"/>
        <v>dom</v>
      </c>
      <c r="M148" t="str">
        <f t="shared" ca="1" si="19"/>
        <v>FBT</v>
      </c>
      <c r="N148">
        <f t="shared" ca="1" si="20"/>
        <v>8.8108693565984968</v>
      </c>
    </row>
    <row r="149" spans="6:14" x14ac:dyDescent="0.35">
      <c r="F149">
        <f t="shared" ref="F149:F164" si="26">F83+1</f>
        <v>2</v>
      </c>
      <c r="G149">
        <f t="shared" si="24"/>
        <v>15</v>
      </c>
      <c r="H149">
        <f t="shared" si="25"/>
        <v>0</v>
      </c>
      <c r="K149" t="str">
        <f t="shared" ca="1" si="21"/>
        <v>ROMAN</v>
      </c>
      <c r="L149" t="str">
        <f t="shared" ca="1" si="22"/>
        <v>dom</v>
      </c>
      <c r="M149" t="str">
        <f t="shared" ca="1" si="19"/>
        <v>FBT</v>
      </c>
      <c r="N149">
        <f t="shared" ca="1" si="20"/>
        <v>23.991425169614171</v>
      </c>
    </row>
    <row r="150" spans="6:14" x14ac:dyDescent="0.35">
      <c r="F150">
        <f t="shared" si="26"/>
        <v>2</v>
      </c>
      <c r="G150">
        <f t="shared" si="24"/>
        <v>16</v>
      </c>
      <c r="H150">
        <f t="shared" si="25"/>
        <v>0</v>
      </c>
      <c r="K150" t="str">
        <f t="shared" ca="1" si="21"/>
        <v>ELYGASWTR</v>
      </c>
      <c r="L150" t="str">
        <f t="shared" ca="1" si="22"/>
        <v>dom</v>
      </c>
      <c r="M150" t="str">
        <f t="shared" ca="1" si="19"/>
        <v>FBT</v>
      </c>
      <c r="N150">
        <f t="shared" ca="1" si="20"/>
        <v>5.4746841418700723E-7</v>
      </c>
    </row>
    <row r="151" spans="6:14" x14ac:dyDescent="0.35">
      <c r="F151">
        <f t="shared" si="26"/>
        <v>2</v>
      </c>
      <c r="G151">
        <f t="shared" si="24"/>
        <v>17</v>
      </c>
      <c r="H151">
        <f t="shared" si="25"/>
        <v>0</v>
      </c>
      <c r="K151" t="str">
        <f t="shared" ca="1" si="21"/>
        <v>CNS</v>
      </c>
      <c r="L151" t="str">
        <f t="shared" ca="1" si="22"/>
        <v>dom</v>
      </c>
      <c r="M151" t="str">
        <f t="shared" ca="1" si="19"/>
        <v>FBT</v>
      </c>
      <c r="N151">
        <f t="shared" ca="1" si="20"/>
        <v>796.95771105156768</v>
      </c>
    </row>
    <row r="152" spans="6:14" x14ac:dyDescent="0.35">
      <c r="F152">
        <f t="shared" si="26"/>
        <v>2</v>
      </c>
      <c r="G152">
        <f t="shared" si="24"/>
        <v>18</v>
      </c>
      <c r="H152">
        <f t="shared" si="25"/>
        <v>0</v>
      </c>
      <c r="K152" t="str">
        <f t="shared" ca="1" si="21"/>
        <v>TRD</v>
      </c>
      <c r="L152" t="str">
        <f t="shared" ca="1" si="22"/>
        <v>dom</v>
      </c>
      <c r="M152" t="str">
        <f t="shared" ca="1" si="19"/>
        <v>FBT</v>
      </c>
      <c r="N152">
        <f t="shared" ca="1" si="20"/>
        <v>127.42822463343801</v>
      </c>
    </row>
    <row r="153" spans="6:14" x14ac:dyDescent="0.35">
      <c r="F153">
        <f t="shared" si="26"/>
        <v>2</v>
      </c>
      <c r="G153">
        <f t="shared" si="24"/>
        <v>19</v>
      </c>
      <c r="H153">
        <f t="shared" si="25"/>
        <v>0</v>
      </c>
      <c r="K153" t="str">
        <f t="shared" ca="1" si="21"/>
        <v>AFS</v>
      </c>
      <c r="L153" t="str">
        <f t="shared" ca="1" si="22"/>
        <v>dom</v>
      </c>
      <c r="M153" t="str">
        <f t="shared" ca="1" si="19"/>
        <v>FBT</v>
      </c>
      <c r="N153">
        <f t="shared" ca="1" si="20"/>
        <v>5.4746841418700723E-7</v>
      </c>
    </row>
    <row r="154" spans="6:14" x14ac:dyDescent="0.35">
      <c r="F154">
        <f t="shared" si="26"/>
        <v>2</v>
      </c>
      <c r="G154">
        <f t="shared" si="24"/>
        <v>20</v>
      </c>
      <c r="H154">
        <f t="shared" si="25"/>
        <v>0</v>
      </c>
      <c r="K154" t="str">
        <f t="shared" ca="1" si="21"/>
        <v>OTP</v>
      </c>
      <c r="L154" t="str">
        <f t="shared" ca="1" si="22"/>
        <v>dom</v>
      </c>
      <c r="M154" t="str">
        <f t="shared" ca="1" si="19"/>
        <v>FBT</v>
      </c>
      <c r="N154">
        <f t="shared" ca="1" si="20"/>
        <v>5.4746841418700723E-7</v>
      </c>
    </row>
    <row r="155" spans="6:14" x14ac:dyDescent="0.35">
      <c r="F155">
        <f t="shared" si="26"/>
        <v>2</v>
      </c>
      <c r="G155">
        <f t="shared" si="24"/>
        <v>21</v>
      </c>
      <c r="H155">
        <f t="shared" si="25"/>
        <v>0</v>
      </c>
      <c r="K155" t="str">
        <f t="shared" ca="1" si="21"/>
        <v>WTP</v>
      </c>
      <c r="L155" t="str">
        <f t="shared" ca="1" si="22"/>
        <v>dom</v>
      </c>
      <c r="M155" t="str">
        <f t="shared" ca="1" si="19"/>
        <v>FBT</v>
      </c>
      <c r="N155">
        <f t="shared" ca="1" si="20"/>
        <v>5.4746841418700723E-7</v>
      </c>
    </row>
    <row r="156" spans="6:14" x14ac:dyDescent="0.35">
      <c r="F156">
        <f t="shared" si="26"/>
        <v>2</v>
      </c>
      <c r="G156">
        <f t="shared" si="24"/>
        <v>22</v>
      </c>
      <c r="H156">
        <f t="shared" si="25"/>
        <v>0</v>
      </c>
      <c r="K156" t="str">
        <f t="shared" ca="1" si="21"/>
        <v>ATP</v>
      </c>
      <c r="L156" t="str">
        <f t="shared" ca="1" si="22"/>
        <v>dom</v>
      </c>
      <c r="M156" t="str">
        <f t="shared" ca="1" si="19"/>
        <v>FBT</v>
      </c>
      <c r="N156">
        <f t="shared" ca="1" si="20"/>
        <v>5.4746841418700723E-7</v>
      </c>
    </row>
    <row r="157" spans="6:14" x14ac:dyDescent="0.35">
      <c r="F157">
        <f t="shared" si="26"/>
        <v>2</v>
      </c>
      <c r="G157">
        <f t="shared" si="24"/>
        <v>23</v>
      </c>
      <c r="H157">
        <f t="shared" si="25"/>
        <v>0</v>
      </c>
      <c r="K157" t="str">
        <f t="shared" ca="1" si="21"/>
        <v>WHS</v>
      </c>
      <c r="L157" t="str">
        <f t="shared" ca="1" si="22"/>
        <v>dom</v>
      </c>
      <c r="M157" t="str">
        <f t="shared" ca="1" si="19"/>
        <v>FBT</v>
      </c>
      <c r="N157">
        <f t="shared" ca="1" si="20"/>
        <v>5.4746841418700723E-7</v>
      </c>
    </row>
    <row r="158" spans="6:14" x14ac:dyDescent="0.35">
      <c r="F158">
        <f t="shared" si="26"/>
        <v>2</v>
      </c>
      <c r="G158">
        <f t="shared" si="24"/>
        <v>24</v>
      </c>
      <c r="H158">
        <f t="shared" si="25"/>
        <v>0</v>
      </c>
      <c r="K158" t="str">
        <f t="shared" ca="1" si="21"/>
        <v>CMN</v>
      </c>
      <c r="L158" t="str">
        <f t="shared" ca="1" si="22"/>
        <v>dom</v>
      </c>
      <c r="M158" t="str">
        <f t="shared" ca="1" si="19"/>
        <v>FBT</v>
      </c>
      <c r="N158">
        <f t="shared" ca="1" si="20"/>
        <v>5.4746841418700723E-7</v>
      </c>
    </row>
    <row r="159" spans="6:14" x14ac:dyDescent="0.35">
      <c r="F159">
        <f t="shared" si="26"/>
        <v>2</v>
      </c>
      <c r="G159">
        <f t="shared" si="24"/>
        <v>25</v>
      </c>
      <c r="H159">
        <f t="shared" si="25"/>
        <v>0</v>
      </c>
      <c r="K159" t="str">
        <f t="shared" ca="1" si="21"/>
        <v>OFI</v>
      </c>
      <c r="L159" t="str">
        <f t="shared" ca="1" si="22"/>
        <v>dom</v>
      </c>
      <c r="M159" t="str">
        <f t="shared" ca="1" si="19"/>
        <v>FBT</v>
      </c>
      <c r="N159">
        <f t="shared" ca="1" si="20"/>
        <v>5.4746841418700723E-7</v>
      </c>
    </row>
    <row r="160" spans="6:14" x14ac:dyDescent="0.35">
      <c r="F160">
        <f t="shared" si="26"/>
        <v>2</v>
      </c>
      <c r="G160">
        <f t="shared" si="24"/>
        <v>26</v>
      </c>
      <c r="H160">
        <f t="shared" si="25"/>
        <v>0</v>
      </c>
      <c r="K160" t="str">
        <f t="shared" ca="1" si="21"/>
        <v>RSA</v>
      </c>
      <c r="L160" t="str">
        <f t="shared" ca="1" si="22"/>
        <v>dom</v>
      </c>
      <c r="M160" t="str">
        <f t="shared" ca="1" si="19"/>
        <v>FBT</v>
      </c>
      <c r="N160">
        <f t="shared" ca="1" si="20"/>
        <v>5.4746841418700723E-7</v>
      </c>
    </row>
    <row r="161" spans="6:14" x14ac:dyDescent="0.35">
      <c r="F161">
        <f t="shared" si="26"/>
        <v>2</v>
      </c>
      <c r="G161">
        <f t="shared" si="24"/>
        <v>27</v>
      </c>
      <c r="H161">
        <f t="shared" si="25"/>
        <v>0</v>
      </c>
      <c r="K161" t="str">
        <f t="shared" ca="1" si="21"/>
        <v>OBS</v>
      </c>
      <c r="L161" t="str">
        <f t="shared" ca="1" si="22"/>
        <v>dom</v>
      </c>
      <c r="M161" t="str">
        <f t="shared" ca="1" si="19"/>
        <v>FBT</v>
      </c>
      <c r="N161">
        <f t="shared" ca="1" si="20"/>
        <v>5.4746841418700723E-7</v>
      </c>
    </row>
    <row r="162" spans="6:14" x14ac:dyDescent="0.35">
      <c r="F162">
        <f t="shared" si="26"/>
        <v>2</v>
      </c>
      <c r="G162">
        <f t="shared" si="24"/>
        <v>28</v>
      </c>
      <c r="H162">
        <f t="shared" si="25"/>
        <v>0</v>
      </c>
      <c r="K162" t="str">
        <f t="shared" ca="1" si="21"/>
        <v>GOV</v>
      </c>
      <c r="L162" t="str">
        <f t="shared" ca="1" si="22"/>
        <v>dom</v>
      </c>
      <c r="M162" t="str">
        <f t="shared" ca="1" si="19"/>
        <v>FBT</v>
      </c>
      <c r="N162">
        <f t="shared" ca="1" si="20"/>
        <v>5.4746841418700723E-7</v>
      </c>
    </row>
    <row r="163" spans="6:14" x14ac:dyDescent="0.35">
      <c r="F163">
        <f t="shared" si="26"/>
        <v>2</v>
      </c>
      <c r="G163">
        <f t="shared" si="24"/>
        <v>29</v>
      </c>
      <c r="H163">
        <f t="shared" si="25"/>
        <v>0</v>
      </c>
      <c r="K163" t="str">
        <f t="shared" ca="1" si="21"/>
        <v>EDU</v>
      </c>
      <c r="L163" t="str">
        <f t="shared" ca="1" si="22"/>
        <v>dom</v>
      </c>
      <c r="M163" t="str">
        <f t="shared" ca="1" si="19"/>
        <v>FBT</v>
      </c>
      <c r="N163">
        <f t="shared" ca="1" si="20"/>
        <v>5.4746841418700723E-7</v>
      </c>
    </row>
    <row r="164" spans="6:14" x14ac:dyDescent="0.35">
      <c r="F164">
        <f t="shared" si="26"/>
        <v>2</v>
      </c>
      <c r="G164">
        <f t="shared" si="24"/>
        <v>30</v>
      </c>
      <c r="H164">
        <f t="shared" si="25"/>
        <v>0</v>
      </c>
      <c r="K164" t="str">
        <f t="shared" ca="1" si="21"/>
        <v>HHT</v>
      </c>
      <c r="L164" t="str">
        <f t="shared" ca="1" si="22"/>
        <v>dom</v>
      </c>
      <c r="M164" t="str">
        <f t="shared" ca="1" si="19"/>
        <v>FBT</v>
      </c>
      <c r="N164">
        <f t="shared" ca="1" si="20"/>
        <v>5.4746841418700723E-7</v>
      </c>
    </row>
    <row r="165" spans="6:14" x14ac:dyDescent="0.35">
      <c r="F165">
        <f t="shared" ref="F165:F180" si="27">F99+1</f>
        <v>2</v>
      </c>
      <c r="G165">
        <f t="shared" si="24"/>
        <v>31</v>
      </c>
      <c r="H165">
        <f t="shared" si="25"/>
        <v>0</v>
      </c>
      <c r="K165" t="str">
        <f t="shared" ca="1" si="21"/>
        <v>REC</v>
      </c>
      <c r="L165" t="str">
        <f t="shared" ca="1" si="22"/>
        <v>dom</v>
      </c>
      <c r="M165" t="str">
        <f t="shared" ca="1" si="19"/>
        <v>FBT</v>
      </c>
      <c r="N165">
        <f t="shared" ca="1" si="20"/>
        <v>5.4746841418700723E-7</v>
      </c>
    </row>
    <row r="166" spans="6:14" x14ac:dyDescent="0.35">
      <c r="F166">
        <f t="shared" si="27"/>
        <v>2</v>
      </c>
      <c r="G166">
        <f t="shared" si="24"/>
        <v>32</v>
      </c>
      <c r="H166">
        <f t="shared" si="25"/>
        <v>0</v>
      </c>
      <c r="K166" t="str">
        <f t="shared" ca="1" si="21"/>
        <v>DWE</v>
      </c>
      <c r="L166" t="str">
        <f t="shared" ca="1" si="22"/>
        <v>dom</v>
      </c>
      <c r="M166" t="str">
        <f t="shared" ca="1" si="19"/>
        <v>FBT</v>
      </c>
      <c r="N166">
        <f t="shared" ca="1" si="20"/>
        <v>5.4746841418700723E-7</v>
      </c>
    </row>
    <row r="167" spans="6:14" x14ac:dyDescent="0.35">
      <c r="F167">
        <f t="shared" si="27"/>
        <v>2</v>
      </c>
      <c r="G167">
        <f t="shared" si="24"/>
        <v>0</v>
      </c>
      <c r="H167">
        <f t="shared" si="25"/>
        <v>1</v>
      </c>
      <c r="K167" t="str">
        <f t="shared" ca="1" si="21"/>
        <v>AG</v>
      </c>
      <c r="L167" t="str">
        <f t="shared" ca="1" si="22"/>
        <v>imp</v>
      </c>
      <c r="M167" t="str">
        <f t="shared" ca="1" si="19"/>
        <v>FBT</v>
      </c>
      <c r="N167">
        <f t="shared" ca="1" si="20"/>
        <v>5.0650814364796961</v>
      </c>
    </row>
    <row r="168" spans="6:14" x14ac:dyDescent="0.35">
      <c r="F168">
        <f t="shared" si="27"/>
        <v>2</v>
      </c>
      <c r="G168">
        <f t="shared" si="24"/>
        <v>1</v>
      </c>
      <c r="H168">
        <f t="shared" si="25"/>
        <v>1</v>
      </c>
      <c r="K168" t="str">
        <f t="shared" ca="1" si="21"/>
        <v>MIN</v>
      </c>
      <c r="L168" t="str">
        <f t="shared" ca="1" si="22"/>
        <v>imp</v>
      </c>
      <c r="M168" t="str">
        <f t="shared" ca="1" si="19"/>
        <v>FBT</v>
      </c>
      <c r="N168">
        <f t="shared" ca="1" si="20"/>
        <v>7.9908329875818653</v>
      </c>
    </row>
    <row r="169" spans="6:14" x14ac:dyDescent="0.35">
      <c r="F169">
        <f t="shared" si="27"/>
        <v>2</v>
      </c>
      <c r="G169">
        <f t="shared" si="24"/>
        <v>2</v>
      </c>
      <c r="H169">
        <f t="shared" si="25"/>
        <v>1</v>
      </c>
      <c r="K169" t="str">
        <f t="shared" ca="1" si="21"/>
        <v>FBT</v>
      </c>
      <c r="L169" t="str">
        <f t="shared" ca="1" si="22"/>
        <v>imp</v>
      </c>
      <c r="M169" t="str">
        <f t="shared" ca="1" si="19"/>
        <v>FBT</v>
      </c>
      <c r="N169">
        <f t="shared" ca="1" si="20"/>
        <v>1.9995515183642487</v>
      </c>
    </row>
    <row r="170" spans="6:14" x14ac:dyDescent="0.35">
      <c r="F170">
        <f t="shared" si="27"/>
        <v>2</v>
      </c>
      <c r="G170">
        <f t="shared" si="24"/>
        <v>3</v>
      </c>
      <c r="H170">
        <f t="shared" si="25"/>
        <v>1</v>
      </c>
      <c r="K170" t="str">
        <f t="shared" ca="1" si="21"/>
        <v>TEX</v>
      </c>
      <c r="L170" t="str">
        <f t="shared" ca="1" si="22"/>
        <v>imp</v>
      </c>
      <c r="M170" t="str">
        <f t="shared" ca="1" si="19"/>
        <v>FBT</v>
      </c>
      <c r="N170">
        <f t="shared" ca="1" si="20"/>
        <v>39.239230829792191</v>
      </c>
    </row>
    <row r="171" spans="6:14" x14ac:dyDescent="0.35">
      <c r="F171">
        <f t="shared" si="27"/>
        <v>2</v>
      </c>
      <c r="G171">
        <f t="shared" si="24"/>
        <v>4</v>
      </c>
      <c r="H171">
        <f t="shared" si="25"/>
        <v>1</v>
      </c>
      <c r="K171" t="str">
        <f t="shared" ca="1" si="21"/>
        <v>LEATHER</v>
      </c>
      <c r="L171" t="str">
        <f t="shared" ca="1" si="22"/>
        <v>imp</v>
      </c>
      <c r="M171" t="str">
        <f t="shared" ca="1" si="19"/>
        <v>FBT</v>
      </c>
      <c r="N171">
        <f t="shared" ca="1" si="20"/>
        <v>20.450289449400398</v>
      </c>
    </row>
    <row r="172" spans="6:14" x14ac:dyDescent="0.35">
      <c r="F172">
        <f t="shared" si="27"/>
        <v>2</v>
      </c>
      <c r="G172">
        <f t="shared" si="24"/>
        <v>5</v>
      </c>
      <c r="H172">
        <f t="shared" si="25"/>
        <v>1</v>
      </c>
      <c r="K172" t="str">
        <f t="shared" ca="1" si="21"/>
        <v>WOOD</v>
      </c>
      <c r="L172" t="str">
        <f t="shared" ca="1" si="22"/>
        <v>imp</v>
      </c>
      <c r="M172" t="str">
        <f t="shared" ca="1" si="19"/>
        <v>FBT</v>
      </c>
      <c r="N172">
        <f t="shared" ca="1" si="20"/>
        <v>0.36604521678926422</v>
      </c>
    </row>
    <row r="173" spans="6:14" x14ac:dyDescent="0.35">
      <c r="F173">
        <f t="shared" si="27"/>
        <v>2</v>
      </c>
      <c r="G173">
        <f t="shared" si="24"/>
        <v>6</v>
      </c>
      <c r="H173">
        <f t="shared" si="25"/>
        <v>1</v>
      </c>
      <c r="K173" t="str">
        <f t="shared" ca="1" si="21"/>
        <v>PPP</v>
      </c>
      <c r="L173" t="str">
        <f t="shared" ca="1" si="22"/>
        <v>imp</v>
      </c>
      <c r="M173" t="str">
        <f t="shared" ca="1" si="19"/>
        <v>FBT</v>
      </c>
      <c r="N173">
        <f t="shared" ca="1" si="20"/>
        <v>5.2710141865320024</v>
      </c>
    </row>
    <row r="174" spans="6:14" x14ac:dyDescent="0.35">
      <c r="F174">
        <f t="shared" si="27"/>
        <v>2</v>
      </c>
      <c r="G174">
        <f t="shared" si="24"/>
        <v>7</v>
      </c>
      <c r="H174">
        <f t="shared" si="25"/>
        <v>1</v>
      </c>
      <c r="K174" t="str">
        <f t="shared" ca="1" si="21"/>
        <v>PC</v>
      </c>
      <c r="L174" t="str">
        <f t="shared" ca="1" si="22"/>
        <v>imp</v>
      </c>
      <c r="M174" t="str">
        <f t="shared" ca="1" si="19"/>
        <v>FBT</v>
      </c>
      <c r="N174">
        <f t="shared" ca="1" si="20"/>
        <v>1.3273033535149292</v>
      </c>
    </row>
    <row r="175" spans="6:14" x14ac:dyDescent="0.35">
      <c r="F175">
        <f t="shared" si="27"/>
        <v>2</v>
      </c>
      <c r="G175">
        <f t="shared" si="24"/>
        <v>8</v>
      </c>
      <c r="H175">
        <f t="shared" si="25"/>
        <v>1</v>
      </c>
      <c r="K175" t="str">
        <f t="shared" ca="1" si="21"/>
        <v>CHM</v>
      </c>
      <c r="L175" t="str">
        <f t="shared" ca="1" si="22"/>
        <v>imp</v>
      </c>
      <c r="M175" t="str">
        <f t="shared" ca="1" si="19"/>
        <v>FBT</v>
      </c>
      <c r="N175">
        <f t="shared" ca="1" si="20"/>
        <v>18.195112771059481</v>
      </c>
    </row>
    <row r="176" spans="6:14" x14ac:dyDescent="0.35">
      <c r="F176">
        <f t="shared" si="27"/>
        <v>2</v>
      </c>
      <c r="G176">
        <f t="shared" si="24"/>
        <v>9</v>
      </c>
      <c r="H176">
        <f t="shared" si="25"/>
        <v>1</v>
      </c>
      <c r="K176" t="str">
        <f t="shared" ca="1" si="21"/>
        <v>RUBBER</v>
      </c>
      <c r="L176" t="str">
        <f t="shared" ca="1" si="22"/>
        <v>imp</v>
      </c>
      <c r="M176" t="str">
        <f t="shared" ca="1" si="19"/>
        <v>FBT</v>
      </c>
      <c r="N176">
        <f t="shared" ca="1" si="20"/>
        <v>13.935038000765349</v>
      </c>
    </row>
    <row r="177" spans="6:14" x14ac:dyDescent="0.35">
      <c r="F177">
        <f t="shared" si="27"/>
        <v>2</v>
      </c>
      <c r="G177">
        <f t="shared" si="24"/>
        <v>10</v>
      </c>
      <c r="H177">
        <f t="shared" si="25"/>
        <v>1</v>
      </c>
      <c r="K177" t="str">
        <f t="shared" ca="1" si="21"/>
        <v>NMM</v>
      </c>
      <c r="L177" t="str">
        <f t="shared" ca="1" si="22"/>
        <v>imp</v>
      </c>
      <c r="M177" t="str">
        <f t="shared" ca="1" si="19"/>
        <v>FBT</v>
      </c>
      <c r="N177">
        <f t="shared" ca="1" si="20"/>
        <v>5.2603009351294343</v>
      </c>
    </row>
    <row r="178" spans="6:14" x14ac:dyDescent="0.35">
      <c r="F178">
        <f t="shared" si="27"/>
        <v>2</v>
      </c>
      <c r="G178">
        <f t="shared" si="24"/>
        <v>11</v>
      </c>
      <c r="H178">
        <f t="shared" si="25"/>
        <v>1</v>
      </c>
      <c r="K178" t="str">
        <f t="shared" ca="1" si="21"/>
        <v>METAL</v>
      </c>
      <c r="L178" t="str">
        <f t="shared" ca="1" si="22"/>
        <v>imp</v>
      </c>
      <c r="M178" t="str">
        <f t="shared" ca="1" si="19"/>
        <v>FBT</v>
      </c>
      <c r="N178">
        <f t="shared" ca="1" si="20"/>
        <v>65.84391136569937</v>
      </c>
    </row>
    <row r="179" spans="6:14" x14ac:dyDescent="0.35">
      <c r="F179">
        <f t="shared" si="27"/>
        <v>2</v>
      </c>
      <c r="G179">
        <f t="shared" si="24"/>
        <v>12</v>
      </c>
      <c r="H179">
        <f t="shared" si="25"/>
        <v>1</v>
      </c>
      <c r="K179" t="str">
        <f t="shared" ca="1" si="21"/>
        <v>MACH</v>
      </c>
      <c r="L179" t="str">
        <f t="shared" ca="1" si="22"/>
        <v>imp</v>
      </c>
      <c r="M179" t="str">
        <f t="shared" ca="1" si="19"/>
        <v>FBT</v>
      </c>
      <c r="N179">
        <f t="shared" ca="1" si="20"/>
        <v>252.23300387798469</v>
      </c>
    </row>
    <row r="180" spans="6:14" x14ac:dyDescent="0.35">
      <c r="F180">
        <f t="shared" si="27"/>
        <v>2</v>
      </c>
      <c r="G180">
        <f t="shared" si="24"/>
        <v>13</v>
      </c>
      <c r="H180">
        <f t="shared" si="25"/>
        <v>1</v>
      </c>
      <c r="K180" t="str">
        <f t="shared" ca="1" si="21"/>
        <v>ELEC</v>
      </c>
      <c r="L180" t="str">
        <f t="shared" ca="1" si="22"/>
        <v>imp</v>
      </c>
      <c r="M180" t="str">
        <f t="shared" ca="1" si="19"/>
        <v>FBT</v>
      </c>
      <c r="N180">
        <f t="shared" ca="1" si="20"/>
        <v>135.23964255874813</v>
      </c>
    </row>
    <row r="181" spans="6:14" x14ac:dyDescent="0.35">
      <c r="F181">
        <f t="shared" ref="F181:F196" si="28">F115+1</f>
        <v>2</v>
      </c>
      <c r="G181">
        <f t="shared" si="24"/>
        <v>14</v>
      </c>
      <c r="H181">
        <f t="shared" si="25"/>
        <v>1</v>
      </c>
      <c r="K181" t="str">
        <f t="shared" ca="1" si="21"/>
        <v>TRNEQUIP</v>
      </c>
      <c r="L181" t="str">
        <f t="shared" ca="1" si="22"/>
        <v>imp</v>
      </c>
      <c r="M181" t="str">
        <f t="shared" ca="1" si="19"/>
        <v>FBT</v>
      </c>
      <c r="N181">
        <f t="shared" ca="1" si="20"/>
        <v>215.82725787613163</v>
      </c>
    </row>
    <row r="182" spans="6:14" x14ac:dyDescent="0.35">
      <c r="F182">
        <f t="shared" si="28"/>
        <v>2</v>
      </c>
      <c r="G182">
        <f t="shared" si="24"/>
        <v>15</v>
      </c>
      <c r="H182">
        <f t="shared" si="25"/>
        <v>1</v>
      </c>
      <c r="K182" t="str">
        <f t="shared" ca="1" si="21"/>
        <v>ROMAN</v>
      </c>
      <c r="L182" t="str">
        <f t="shared" ca="1" si="22"/>
        <v>imp</v>
      </c>
      <c r="M182" t="str">
        <f t="shared" ca="1" si="19"/>
        <v>FBT</v>
      </c>
      <c r="N182">
        <f t="shared" ca="1" si="20"/>
        <v>81.892344392120975</v>
      </c>
    </row>
    <row r="183" spans="6:14" x14ac:dyDescent="0.35">
      <c r="F183">
        <f t="shared" si="28"/>
        <v>2</v>
      </c>
      <c r="G183">
        <f t="shared" si="24"/>
        <v>16</v>
      </c>
      <c r="H183">
        <f t="shared" si="25"/>
        <v>1</v>
      </c>
      <c r="K183" t="str">
        <f t="shared" ca="1" si="21"/>
        <v>ELYGASWTR</v>
      </c>
      <c r="L183" t="str">
        <f t="shared" ca="1" si="22"/>
        <v>imp</v>
      </c>
      <c r="M183" t="str">
        <f t="shared" ca="1" si="19"/>
        <v>FBT</v>
      </c>
      <c r="N183">
        <f t="shared" ca="1" si="20"/>
        <v>5.4746841418700723E-7</v>
      </c>
    </row>
    <row r="184" spans="6:14" x14ac:dyDescent="0.35">
      <c r="F184">
        <f t="shared" si="28"/>
        <v>2</v>
      </c>
      <c r="G184">
        <f t="shared" si="24"/>
        <v>17</v>
      </c>
      <c r="H184">
        <f t="shared" si="25"/>
        <v>1</v>
      </c>
      <c r="K184" t="str">
        <f t="shared" ca="1" si="21"/>
        <v>CNS</v>
      </c>
      <c r="L184" t="str">
        <f t="shared" ca="1" si="22"/>
        <v>imp</v>
      </c>
      <c r="M184" t="str">
        <f t="shared" ca="1" si="19"/>
        <v>FBT</v>
      </c>
      <c r="N184">
        <f t="shared" ca="1" si="20"/>
        <v>16.030898376109089</v>
      </c>
    </row>
    <row r="185" spans="6:14" x14ac:dyDescent="0.35">
      <c r="F185">
        <f t="shared" si="28"/>
        <v>2</v>
      </c>
      <c r="G185">
        <f t="shared" si="24"/>
        <v>18</v>
      </c>
      <c r="H185">
        <f t="shared" si="25"/>
        <v>1</v>
      </c>
      <c r="K185" t="str">
        <f t="shared" ca="1" si="21"/>
        <v>TRD</v>
      </c>
      <c r="L185" t="str">
        <f t="shared" ca="1" si="22"/>
        <v>imp</v>
      </c>
      <c r="M185" t="str">
        <f t="shared" ca="1" si="19"/>
        <v>FBT</v>
      </c>
      <c r="N185">
        <f t="shared" ca="1" si="20"/>
        <v>1.4025953044545381</v>
      </c>
    </row>
    <row r="186" spans="6:14" x14ac:dyDescent="0.35">
      <c r="F186">
        <f t="shared" si="28"/>
        <v>2</v>
      </c>
      <c r="G186">
        <f t="shared" si="24"/>
        <v>19</v>
      </c>
      <c r="H186">
        <f t="shared" si="25"/>
        <v>1</v>
      </c>
      <c r="K186" t="str">
        <f t="shared" ca="1" si="21"/>
        <v>AFS</v>
      </c>
      <c r="L186" t="str">
        <f t="shared" ca="1" si="22"/>
        <v>imp</v>
      </c>
      <c r="M186" t="str">
        <f t="shared" ca="1" si="19"/>
        <v>FBT</v>
      </c>
      <c r="N186">
        <f t="shared" ca="1" si="20"/>
        <v>5.4746841418700723E-7</v>
      </c>
    </row>
    <row r="187" spans="6:14" x14ac:dyDescent="0.35">
      <c r="F187">
        <f t="shared" si="28"/>
        <v>2</v>
      </c>
      <c r="G187">
        <f t="shared" si="24"/>
        <v>20</v>
      </c>
      <c r="H187">
        <f t="shared" si="25"/>
        <v>1</v>
      </c>
      <c r="K187" t="str">
        <f t="shared" ca="1" si="21"/>
        <v>OTP</v>
      </c>
      <c r="L187" t="str">
        <f t="shared" ca="1" si="22"/>
        <v>imp</v>
      </c>
      <c r="M187" t="str">
        <f t="shared" ca="1" si="19"/>
        <v>FBT</v>
      </c>
      <c r="N187">
        <f t="shared" ca="1" si="20"/>
        <v>5.4746841418700723E-7</v>
      </c>
    </row>
    <row r="188" spans="6:14" x14ac:dyDescent="0.35">
      <c r="F188">
        <f t="shared" si="28"/>
        <v>2</v>
      </c>
      <c r="G188">
        <f t="shared" si="24"/>
        <v>21</v>
      </c>
      <c r="H188">
        <f t="shared" si="25"/>
        <v>1</v>
      </c>
      <c r="K188" t="str">
        <f t="shared" ca="1" si="21"/>
        <v>WTP</v>
      </c>
      <c r="L188" t="str">
        <f t="shared" ca="1" si="22"/>
        <v>imp</v>
      </c>
      <c r="M188" t="str">
        <f t="shared" ca="1" si="19"/>
        <v>FBT</v>
      </c>
      <c r="N188">
        <f t="shared" ca="1" si="20"/>
        <v>5.4746841418700723E-7</v>
      </c>
    </row>
    <row r="189" spans="6:14" x14ac:dyDescent="0.35">
      <c r="F189">
        <f t="shared" si="28"/>
        <v>2</v>
      </c>
      <c r="G189">
        <f t="shared" si="24"/>
        <v>22</v>
      </c>
      <c r="H189">
        <f t="shared" si="25"/>
        <v>1</v>
      </c>
      <c r="K189" t="str">
        <f t="shared" ca="1" si="21"/>
        <v>ATP</v>
      </c>
      <c r="L189" t="str">
        <f t="shared" ca="1" si="22"/>
        <v>imp</v>
      </c>
      <c r="M189" t="str">
        <f t="shared" ca="1" si="19"/>
        <v>FBT</v>
      </c>
      <c r="N189">
        <f t="shared" ca="1" si="20"/>
        <v>5.4746841418700723E-7</v>
      </c>
    </row>
    <row r="190" spans="6:14" x14ac:dyDescent="0.35">
      <c r="F190">
        <f t="shared" si="28"/>
        <v>2</v>
      </c>
      <c r="G190">
        <f t="shared" si="24"/>
        <v>23</v>
      </c>
      <c r="H190">
        <f t="shared" si="25"/>
        <v>1</v>
      </c>
      <c r="K190" t="str">
        <f t="shared" ca="1" si="21"/>
        <v>WHS</v>
      </c>
      <c r="L190" t="str">
        <f t="shared" ca="1" si="22"/>
        <v>imp</v>
      </c>
      <c r="M190" t="str">
        <f t="shared" ca="1" si="19"/>
        <v>FBT</v>
      </c>
      <c r="N190">
        <f t="shared" ca="1" si="20"/>
        <v>5.4746841418700723E-7</v>
      </c>
    </row>
    <row r="191" spans="6:14" x14ac:dyDescent="0.35">
      <c r="F191">
        <f t="shared" si="28"/>
        <v>2</v>
      </c>
      <c r="G191">
        <f t="shared" si="24"/>
        <v>24</v>
      </c>
      <c r="H191">
        <f t="shared" si="25"/>
        <v>1</v>
      </c>
      <c r="K191" t="str">
        <f t="shared" ca="1" si="21"/>
        <v>CMN</v>
      </c>
      <c r="L191" t="str">
        <f t="shared" ca="1" si="22"/>
        <v>imp</v>
      </c>
      <c r="M191" t="str">
        <f t="shared" ca="1" si="19"/>
        <v>FBT</v>
      </c>
      <c r="N191">
        <f t="shared" ca="1" si="20"/>
        <v>5.4746841418700723E-7</v>
      </c>
    </row>
    <row r="192" spans="6:14" x14ac:dyDescent="0.35">
      <c r="F192">
        <f t="shared" si="28"/>
        <v>2</v>
      </c>
      <c r="G192">
        <f t="shared" si="24"/>
        <v>25</v>
      </c>
      <c r="H192">
        <f t="shared" si="25"/>
        <v>1</v>
      </c>
      <c r="K192" t="str">
        <f t="shared" ca="1" si="21"/>
        <v>OFI</v>
      </c>
      <c r="L192" t="str">
        <f t="shared" ca="1" si="22"/>
        <v>imp</v>
      </c>
      <c r="M192" t="str">
        <f t="shared" ca="1" si="19"/>
        <v>FBT</v>
      </c>
      <c r="N192">
        <f t="shared" ca="1" si="20"/>
        <v>5.4746841418700723E-7</v>
      </c>
    </row>
    <row r="193" spans="6:14" x14ac:dyDescent="0.35">
      <c r="F193">
        <f t="shared" si="28"/>
        <v>2</v>
      </c>
      <c r="G193">
        <f t="shared" si="24"/>
        <v>26</v>
      </c>
      <c r="H193">
        <f t="shared" si="25"/>
        <v>1</v>
      </c>
      <c r="K193" t="str">
        <f t="shared" ca="1" si="21"/>
        <v>RSA</v>
      </c>
      <c r="L193" t="str">
        <f t="shared" ca="1" si="22"/>
        <v>imp</v>
      </c>
      <c r="M193" t="str">
        <f t="shared" ca="1" si="19"/>
        <v>FBT</v>
      </c>
      <c r="N193">
        <f t="shared" ca="1" si="20"/>
        <v>5.4746841418700723E-7</v>
      </c>
    </row>
    <row r="194" spans="6:14" x14ac:dyDescent="0.35">
      <c r="F194">
        <f t="shared" si="28"/>
        <v>2</v>
      </c>
      <c r="G194">
        <f t="shared" si="24"/>
        <v>27</v>
      </c>
      <c r="H194">
        <f t="shared" si="25"/>
        <v>1</v>
      </c>
      <c r="K194" t="str">
        <f t="shared" ca="1" si="21"/>
        <v>OBS</v>
      </c>
      <c r="L194" t="str">
        <f t="shared" ca="1" si="22"/>
        <v>imp</v>
      </c>
      <c r="M194" t="str">
        <f t="shared" ref="M194:M257" ca="1" si="29">OFFSET(A$2,F194,0)</f>
        <v>FBT</v>
      </c>
      <c r="N194">
        <f t="shared" ref="N194:N257" ca="1" si="30">SUMIFS(C:C,A:A,K194,B:B,L194)*SUMIFS(U:U,S:S,M194)</f>
        <v>5.4746841418700723E-7</v>
      </c>
    </row>
    <row r="195" spans="6:14" x14ac:dyDescent="0.35">
      <c r="F195">
        <f t="shared" si="28"/>
        <v>2</v>
      </c>
      <c r="G195">
        <f t="shared" si="24"/>
        <v>28</v>
      </c>
      <c r="H195">
        <f t="shared" si="25"/>
        <v>1</v>
      </c>
      <c r="K195" t="str">
        <f t="shared" ref="K195:K258" ca="1" si="31">OFFSET(A$2,G195,0)</f>
        <v>GOV</v>
      </c>
      <c r="L195" t="str">
        <f t="shared" ref="L195:L258" ca="1" si="32">OFFSET($V$3,H195,0)</f>
        <v>imp</v>
      </c>
      <c r="M195" t="str">
        <f t="shared" ca="1" si="29"/>
        <v>FBT</v>
      </c>
      <c r="N195">
        <f t="shared" ca="1" si="30"/>
        <v>5.4746841418700723E-7</v>
      </c>
    </row>
    <row r="196" spans="6:14" x14ac:dyDescent="0.35">
      <c r="F196">
        <f t="shared" si="28"/>
        <v>2</v>
      </c>
      <c r="G196">
        <f t="shared" si="24"/>
        <v>29</v>
      </c>
      <c r="H196">
        <f t="shared" si="25"/>
        <v>1</v>
      </c>
      <c r="K196" t="str">
        <f t="shared" ca="1" si="31"/>
        <v>EDU</v>
      </c>
      <c r="L196" t="str">
        <f t="shared" ca="1" si="32"/>
        <v>imp</v>
      </c>
      <c r="M196" t="str">
        <f t="shared" ca="1" si="29"/>
        <v>FBT</v>
      </c>
      <c r="N196">
        <f t="shared" ca="1" si="30"/>
        <v>5.4746841418700723E-7</v>
      </c>
    </row>
    <row r="197" spans="6:14" x14ac:dyDescent="0.35">
      <c r="F197">
        <f t="shared" ref="F197:F212" si="33">F131+1</f>
        <v>2</v>
      </c>
      <c r="G197">
        <f t="shared" ref="G197:G260" si="34">G164</f>
        <v>30</v>
      </c>
      <c r="H197">
        <f t="shared" ref="H197:H260" si="35">H131</f>
        <v>1</v>
      </c>
      <c r="K197" t="str">
        <f t="shared" ca="1" si="31"/>
        <v>HHT</v>
      </c>
      <c r="L197" t="str">
        <f t="shared" ca="1" si="32"/>
        <v>imp</v>
      </c>
      <c r="M197" t="str">
        <f t="shared" ca="1" si="29"/>
        <v>FBT</v>
      </c>
      <c r="N197">
        <f t="shared" ca="1" si="30"/>
        <v>5.4746841418700723E-7</v>
      </c>
    </row>
    <row r="198" spans="6:14" x14ac:dyDescent="0.35">
      <c r="F198">
        <f t="shared" si="33"/>
        <v>2</v>
      </c>
      <c r="G198">
        <f t="shared" si="34"/>
        <v>31</v>
      </c>
      <c r="H198">
        <f t="shared" si="35"/>
        <v>1</v>
      </c>
      <c r="K198" t="str">
        <f t="shared" ca="1" si="31"/>
        <v>REC</v>
      </c>
      <c r="L198" t="str">
        <f t="shared" ca="1" si="32"/>
        <v>imp</v>
      </c>
      <c r="M198" t="str">
        <f t="shared" ca="1" si="29"/>
        <v>FBT</v>
      </c>
      <c r="N198">
        <f t="shared" ca="1" si="30"/>
        <v>5.4746841418700723E-7</v>
      </c>
    </row>
    <row r="199" spans="6:14" x14ac:dyDescent="0.35">
      <c r="F199">
        <f t="shared" si="33"/>
        <v>2</v>
      </c>
      <c r="G199">
        <f t="shared" si="34"/>
        <v>32</v>
      </c>
      <c r="H199">
        <f t="shared" si="35"/>
        <v>1</v>
      </c>
      <c r="K199" t="str">
        <f t="shared" ca="1" si="31"/>
        <v>DWE</v>
      </c>
      <c r="L199" t="str">
        <f t="shared" ca="1" si="32"/>
        <v>imp</v>
      </c>
      <c r="M199" t="str">
        <f t="shared" ca="1" si="29"/>
        <v>FBT</v>
      </c>
      <c r="N199">
        <f t="shared" ca="1" si="30"/>
        <v>5.4746841418700723E-7</v>
      </c>
    </row>
    <row r="200" spans="6:14" x14ac:dyDescent="0.35">
      <c r="F200">
        <f t="shared" si="33"/>
        <v>3</v>
      </c>
      <c r="G200">
        <f t="shared" si="34"/>
        <v>0</v>
      </c>
      <c r="H200">
        <f t="shared" si="35"/>
        <v>0</v>
      </c>
      <c r="K200" t="str">
        <f t="shared" ca="1" si="31"/>
        <v>AG</v>
      </c>
      <c r="L200" t="str">
        <f t="shared" ca="1" si="32"/>
        <v>dom</v>
      </c>
      <c r="M200" t="str">
        <f t="shared" ca="1" si="29"/>
        <v>TEX</v>
      </c>
      <c r="N200">
        <f t="shared" ca="1" si="30"/>
        <v>8.9937269485353202E-2</v>
      </c>
    </row>
    <row r="201" spans="6:14" x14ac:dyDescent="0.35">
      <c r="F201">
        <f t="shared" si="33"/>
        <v>3</v>
      </c>
      <c r="G201">
        <f t="shared" si="34"/>
        <v>1</v>
      </c>
      <c r="H201">
        <f t="shared" si="35"/>
        <v>0</v>
      </c>
      <c r="K201" t="str">
        <f t="shared" ca="1" si="31"/>
        <v>MIN</v>
      </c>
      <c r="L201" t="str">
        <f t="shared" ca="1" si="32"/>
        <v>dom</v>
      </c>
      <c r="M201" t="str">
        <f t="shared" ca="1" si="29"/>
        <v>TEX</v>
      </c>
      <c r="N201">
        <f t="shared" ca="1" si="30"/>
        <v>0.15688811415144413</v>
      </c>
    </row>
    <row r="202" spans="6:14" x14ac:dyDescent="0.35">
      <c r="F202">
        <f t="shared" si="33"/>
        <v>3</v>
      </c>
      <c r="G202">
        <f t="shared" si="34"/>
        <v>2</v>
      </c>
      <c r="H202">
        <f t="shared" si="35"/>
        <v>0</v>
      </c>
      <c r="K202" t="str">
        <f t="shared" ca="1" si="31"/>
        <v>FBT</v>
      </c>
      <c r="L202" t="str">
        <f t="shared" ca="1" si="32"/>
        <v>dom</v>
      </c>
      <c r="M202" t="str">
        <f t="shared" ca="1" si="29"/>
        <v>TEX</v>
      </c>
      <c r="N202">
        <f t="shared" ca="1" si="30"/>
        <v>0.26416645924028792</v>
      </c>
    </row>
    <row r="203" spans="6:14" x14ac:dyDescent="0.35">
      <c r="F203">
        <f t="shared" si="33"/>
        <v>3</v>
      </c>
      <c r="G203">
        <f t="shared" si="34"/>
        <v>3</v>
      </c>
      <c r="H203">
        <f t="shared" si="35"/>
        <v>0</v>
      </c>
      <c r="K203" t="str">
        <f t="shared" ca="1" si="31"/>
        <v>TEX</v>
      </c>
      <c r="L203" t="str">
        <f t="shared" ca="1" si="32"/>
        <v>dom</v>
      </c>
      <c r="M203" t="str">
        <f t="shared" ca="1" si="29"/>
        <v>TEX</v>
      </c>
      <c r="N203">
        <f t="shared" ca="1" si="30"/>
        <v>1.3760042619743369</v>
      </c>
    </row>
    <row r="204" spans="6:14" x14ac:dyDescent="0.35">
      <c r="F204">
        <f t="shared" si="33"/>
        <v>3</v>
      </c>
      <c r="G204">
        <f t="shared" si="34"/>
        <v>4</v>
      </c>
      <c r="H204">
        <f t="shared" si="35"/>
        <v>0</v>
      </c>
      <c r="K204" t="str">
        <f t="shared" ca="1" si="31"/>
        <v>LEATHER</v>
      </c>
      <c r="L204" t="str">
        <f t="shared" ca="1" si="32"/>
        <v>dom</v>
      </c>
      <c r="M204" t="str">
        <f t="shared" ca="1" si="29"/>
        <v>TEX</v>
      </c>
      <c r="N204">
        <f t="shared" ca="1" si="30"/>
        <v>9.7638760051346803E-3</v>
      </c>
    </row>
    <row r="205" spans="6:14" x14ac:dyDescent="0.35">
      <c r="F205">
        <f t="shared" si="33"/>
        <v>3</v>
      </c>
      <c r="G205">
        <f t="shared" si="34"/>
        <v>5</v>
      </c>
      <c r="H205">
        <f t="shared" si="35"/>
        <v>0</v>
      </c>
      <c r="K205" t="str">
        <f t="shared" ca="1" si="31"/>
        <v>WOOD</v>
      </c>
      <c r="L205" t="str">
        <f t="shared" ca="1" si="32"/>
        <v>dom</v>
      </c>
      <c r="M205" t="str">
        <f t="shared" ca="1" si="29"/>
        <v>TEX</v>
      </c>
      <c r="N205">
        <f t="shared" ca="1" si="30"/>
        <v>6.0105620520427991E-2</v>
      </c>
    </row>
    <row r="206" spans="6:14" x14ac:dyDescent="0.35">
      <c r="F206">
        <f t="shared" si="33"/>
        <v>3</v>
      </c>
      <c r="G206">
        <f t="shared" si="34"/>
        <v>6</v>
      </c>
      <c r="H206">
        <f t="shared" si="35"/>
        <v>0</v>
      </c>
      <c r="K206" t="str">
        <f t="shared" ca="1" si="31"/>
        <v>PPP</v>
      </c>
      <c r="L206" t="str">
        <f t="shared" ca="1" si="32"/>
        <v>dom</v>
      </c>
      <c r="M206" t="str">
        <f t="shared" ca="1" si="29"/>
        <v>TEX</v>
      </c>
      <c r="N206">
        <f t="shared" ca="1" si="30"/>
        <v>1.203048841355858</v>
      </c>
    </row>
    <row r="207" spans="6:14" x14ac:dyDescent="0.35">
      <c r="F207">
        <f t="shared" si="33"/>
        <v>3</v>
      </c>
      <c r="G207">
        <f t="shared" si="34"/>
        <v>7</v>
      </c>
      <c r="H207">
        <f t="shared" si="35"/>
        <v>0</v>
      </c>
      <c r="K207" t="str">
        <f t="shared" ca="1" si="31"/>
        <v>PC</v>
      </c>
      <c r="L207" t="str">
        <f t="shared" ca="1" si="32"/>
        <v>dom</v>
      </c>
      <c r="M207" t="str">
        <f t="shared" ca="1" si="29"/>
        <v>TEX</v>
      </c>
      <c r="N207">
        <f t="shared" ca="1" si="30"/>
        <v>0.18332147244412897</v>
      </c>
    </row>
    <row r="208" spans="6:14" x14ac:dyDescent="0.35">
      <c r="F208">
        <f t="shared" si="33"/>
        <v>3</v>
      </c>
      <c r="G208">
        <f t="shared" si="34"/>
        <v>8</v>
      </c>
      <c r="H208">
        <f t="shared" si="35"/>
        <v>0</v>
      </c>
      <c r="K208" t="str">
        <f t="shared" ca="1" si="31"/>
        <v>CHM</v>
      </c>
      <c r="L208" t="str">
        <f t="shared" ca="1" si="32"/>
        <v>dom</v>
      </c>
      <c r="M208" t="str">
        <f t="shared" ca="1" si="29"/>
        <v>TEX</v>
      </c>
      <c r="N208">
        <f t="shared" ca="1" si="30"/>
        <v>1.141579585710299</v>
      </c>
    </row>
    <row r="209" spans="6:14" x14ac:dyDescent="0.35">
      <c r="F209">
        <f t="shared" si="33"/>
        <v>3</v>
      </c>
      <c r="G209">
        <f t="shared" si="34"/>
        <v>9</v>
      </c>
      <c r="H209">
        <f t="shared" si="35"/>
        <v>0</v>
      </c>
      <c r="K209" t="str">
        <f t="shared" ca="1" si="31"/>
        <v>RUBBER</v>
      </c>
      <c r="L209" t="str">
        <f t="shared" ca="1" si="32"/>
        <v>dom</v>
      </c>
      <c r="M209" t="str">
        <f t="shared" ca="1" si="29"/>
        <v>TEX</v>
      </c>
      <c r="N209">
        <f t="shared" ca="1" si="30"/>
        <v>1.7870326856360432</v>
      </c>
    </row>
    <row r="210" spans="6:14" x14ac:dyDescent="0.35">
      <c r="F210">
        <f t="shared" si="33"/>
        <v>3</v>
      </c>
      <c r="G210">
        <f t="shared" si="34"/>
        <v>10</v>
      </c>
      <c r="H210">
        <f t="shared" si="35"/>
        <v>0</v>
      </c>
      <c r="K210" t="str">
        <f t="shared" ca="1" si="31"/>
        <v>NMM</v>
      </c>
      <c r="L210" t="str">
        <f t="shared" ca="1" si="32"/>
        <v>dom</v>
      </c>
      <c r="M210" t="str">
        <f t="shared" ca="1" si="29"/>
        <v>TEX</v>
      </c>
      <c r="N210">
        <f t="shared" ca="1" si="30"/>
        <v>1.6554636693400786</v>
      </c>
    </row>
    <row r="211" spans="6:14" x14ac:dyDescent="0.35">
      <c r="F211">
        <f t="shared" si="33"/>
        <v>3</v>
      </c>
      <c r="G211">
        <f t="shared" si="34"/>
        <v>11</v>
      </c>
      <c r="H211">
        <f t="shared" si="35"/>
        <v>0</v>
      </c>
      <c r="K211" t="str">
        <f t="shared" ca="1" si="31"/>
        <v>METAL</v>
      </c>
      <c r="L211" t="str">
        <f t="shared" ca="1" si="32"/>
        <v>dom</v>
      </c>
      <c r="M211" t="str">
        <f t="shared" ca="1" si="29"/>
        <v>TEX</v>
      </c>
      <c r="N211">
        <f t="shared" ca="1" si="30"/>
        <v>4.8419447626324237</v>
      </c>
    </row>
    <row r="212" spans="6:14" x14ac:dyDescent="0.35">
      <c r="F212">
        <f t="shared" si="33"/>
        <v>3</v>
      </c>
      <c r="G212">
        <f t="shared" si="34"/>
        <v>12</v>
      </c>
      <c r="H212">
        <f t="shared" si="35"/>
        <v>0</v>
      </c>
      <c r="K212" t="str">
        <f t="shared" ca="1" si="31"/>
        <v>MACH</v>
      </c>
      <c r="L212" t="str">
        <f t="shared" ca="1" si="32"/>
        <v>dom</v>
      </c>
      <c r="M212" t="str">
        <f t="shared" ca="1" si="29"/>
        <v>TEX</v>
      </c>
      <c r="N212">
        <f t="shared" ca="1" si="30"/>
        <v>7.0083333343998042</v>
      </c>
    </row>
    <row r="213" spans="6:14" x14ac:dyDescent="0.35">
      <c r="F213">
        <f t="shared" ref="F213:F228" si="36">F147+1</f>
        <v>3</v>
      </c>
      <c r="G213">
        <f t="shared" si="34"/>
        <v>13</v>
      </c>
      <c r="H213">
        <f t="shared" si="35"/>
        <v>0</v>
      </c>
      <c r="K213" t="str">
        <f t="shared" ca="1" si="31"/>
        <v>ELEC</v>
      </c>
      <c r="L213" t="str">
        <f t="shared" ca="1" si="32"/>
        <v>dom</v>
      </c>
      <c r="M213" t="str">
        <f t="shared" ca="1" si="29"/>
        <v>TEX</v>
      </c>
      <c r="N213">
        <f t="shared" ca="1" si="30"/>
        <v>1.4578854976022639</v>
      </c>
    </row>
    <row r="214" spans="6:14" x14ac:dyDescent="0.35">
      <c r="F214">
        <f t="shared" si="36"/>
        <v>3</v>
      </c>
      <c r="G214">
        <f t="shared" si="34"/>
        <v>14</v>
      </c>
      <c r="H214">
        <f t="shared" si="35"/>
        <v>0</v>
      </c>
      <c r="K214" t="str">
        <f t="shared" ca="1" si="31"/>
        <v>TRNEQUIP</v>
      </c>
      <c r="L214" t="str">
        <f t="shared" ca="1" si="32"/>
        <v>dom</v>
      </c>
      <c r="M214" t="str">
        <f t="shared" ca="1" si="29"/>
        <v>TEX</v>
      </c>
      <c r="N214">
        <f t="shared" ca="1" si="30"/>
        <v>2.105927152583114</v>
      </c>
    </row>
    <row r="215" spans="6:14" x14ac:dyDescent="0.35">
      <c r="F215">
        <f t="shared" si="36"/>
        <v>3</v>
      </c>
      <c r="G215">
        <f t="shared" si="34"/>
        <v>15</v>
      </c>
      <c r="H215">
        <f t="shared" si="35"/>
        <v>0</v>
      </c>
      <c r="K215" t="str">
        <f t="shared" ca="1" si="31"/>
        <v>ROMAN</v>
      </c>
      <c r="L215" t="str">
        <f t="shared" ca="1" si="32"/>
        <v>dom</v>
      </c>
      <c r="M215" t="str">
        <f t="shared" ca="1" si="29"/>
        <v>TEX</v>
      </c>
      <c r="N215">
        <f t="shared" ca="1" si="30"/>
        <v>5.7343028989549873</v>
      </c>
    </row>
    <row r="216" spans="6:14" x14ac:dyDescent="0.35">
      <c r="F216">
        <f t="shared" si="36"/>
        <v>3</v>
      </c>
      <c r="G216">
        <f t="shared" si="34"/>
        <v>16</v>
      </c>
      <c r="H216">
        <f t="shared" si="35"/>
        <v>0</v>
      </c>
      <c r="K216" t="str">
        <f t="shared" ca="1" si="31"/>
        <v>ELYGASWTR</v>
      </c>
      <c r="L216" t="str">
        <f t="shared" ca="1" si="32"/>
        <v>dom</v>
      </c>
      <c r="M216" t="str">
        <f t="shared" ca="1" si="29"/>
        <v>TEX</v>
      </c>
      <c r="N216">
        <f t="shared" ca="1" si="30"/>
        <v>1.308529898646839E-7</v>
      </c>
    </row>
    <row r="217" spans="6:14" x14ac:dyDescent="0.35">
      <c r="F217">
        <f t="shared" si="36"/>
        <v>3</v>
      </c>
      <c r="G217">
        <f t="shared" si="34"/>
        <v>17</v>
      </c>
      <c r="H217">
        <f t="shared" si="35"/>
        <v>0</v>
      </c>
      <c r="K217" t="str">
        <f t="shared" ca="1" si="31"/>
        <v>CNS</v>
      </c>
      <c r="L217" t="str">
        <f t="shared" ca="1" si="32"/>
        <v>dom</v>
      </c>
      <c r="M217" t="str">
        <f t="shared" ca="1" si="29"/>
        <v>TEX</v>
      </c>
      <c r="N217">
        <f t="shared" ca="1" si="30"/>
        <v>190.48459524678708</v>
      </c>
    </row>
    <row r="218" spans="6:14" x14ac:dyDescent="0.35">
      <c r="F218">
        <f t="shared" si="36"/>
        <v>3</v>
      </c>
      <c r="G218">
        <f t="shared" si="34"/>
        <v>18</v>
      </c>
      <c r="H218">
        <f t="shared" si="35"/>
        <v>0</v>
      </c>
      <c r="K218" t="str">
        <f t="shared" ca="1" si="31"/>
        <v>TRD</v>
      </c>
      <c r="L218" t="str">
        <f t="shared" ca="1" si="32"/>
        <v>dom</v>
      </c>
      <c r="M218" t="str">
        <f t="shared" ca="1" si="29"/>
        <v>TEX</v>
      </c>
      <c r="N218">
        <f t="shared" ca="1" si="30"/>
        <v>30.457216808015168</v>
      </c>
    </row>
    <row r="219" spans="6:14" x14ac:dyDescent="0.35">
      <c r="F219">
        <f t="shared" si="36"/>
        <v>3</v>
      </c>
      <c r="G219">
        <f t="shared" si="34"/>
        <v>19</v>
      </c>
      <c r="H219">
        <f t="shared" si="35"/>
        <v>0</v>
      </c>
      <c r="K219" t="str">
        <f t="shared" ca="1" si="31"/>
        <v>AFS</v>
      </c>
      <c r="L219" t="str">
        <f t="shared" ca="1" si="32"/>
        <v>dom</v>
      </c>
      <c r="M219" t="str">
        <f t="shared" ca="1" si="29"/>
        <v>TEX</v>
      </c>
      <c r="N219">
        <f t="shared" ca="1" si="30"/>
        <v>1.308529898646839E-7</v>
      </c>
    </row>
    <row r="220" spans="6:14" x14ac:dyDescent="0.35">
      <c r="F220">
        <f t="shared" si="36"/>
        <v>3</v>
      </c>
      <c r="G220">
        <f t="shared" si="34"/>
        <v>20</v>
      </c>
      <c r="H220">
        <f t="shared" si="35"/>
        <v>0</v>
      </c>
      <c r="K220" t="str">
        <f t="shared" ca="1" si="31"/>
        <v>OTP</v>
      </c>
      <c r="L220" t="str">
        <f t="shared" ca="1" si="32"/>
        <v>dom</v>
      </c>
      <c r="M220" t="str">
        <f t="shared" ca="1" si="29"/>
        <v>TEX</v>
      </c>
      <c r="N220">
        <f t="shared" ca="1" si="30"/>
        <v>1.308529898646839E-7</v>
      </c>
    </row>
    <row r="221" spans="6:14" x14ac:dyDescent="0.35">
      <c r="F221">
        <f t="shared" si="36"/>
        <v>3</v>
      </c>
      <c r="G221">
        <f t="shared" si="34"/>
        <v>21</v>
      </c>
      <c r="H221">
        <f t="shared" si="35"/>
        <v>0</v>
      </c>
      <c r="K221" t="str">
        <f t="shared" ca="1" si="31"/>
        <v>WTP</v>
      </c>
      <c r="L221" t="str">
        <f t="shared" ca="1" si="32"/>
        <v>dom</v>
      </c>
      <c r="M221" t="str">
        <f t="shared" ca="1" si="29"/>
        <v>TEX</v>
      </c>
      <c r="N221">
        <f t="shared" ca="1" si="30"/>
        <v>1.308529898646839E-7</v>
      </c>
    </row>
    <row r="222" spans="6:14" x14ac:dyDescent="0.35">
      <c r="F222">
        <f t="shared" si="36"/>
        <v>3</v>
      </c>
      <c r="G222">
        <f t="shared" si="34"/>
        <v>22</v>
      </c>
      <c r="H222">
        <f t="shared" si="35"/>
        <v>0</v>
      </c>
      <c r="K222" t="str">
        <f t="shared" ca="1" si="31"/>
        <v>ATP</v>
      </c>
      <c r="L222" t="str">
        <f t="shared" ca="1" si="32"/>
        <v>dom</v>
      </c>
      <c r="M222" t="str">
        <f t="shared" ca="1" si="29"/>
        <v>TEX</v>
      </c>
      <c r="N222">
        <f t="shared" ca="1" si="30"/>
        <v>1.308529898646839E-7</v>
      </c>
    </row>
    <row r="223" spans="6:14" x14ac:dyDescent="0.35">
      <c r="F223">
        <f t="shared" si="36"/>
        <v>3</v>
      </c>
      <c r="G223">
        <f t="shared" si="34"/>
        <v>23</v>
      </c>
      <c r="H223">
        <f t="shared" si="35"/>
        <v>0</v>
      </c>
      <c r="K223" t="str">
        <f t="shared" ca="1" si="31"/>
        <v>WHS</v>
      </c>
      <c r="L223" t="str">
        <f t="shared" ca="1" si="32"/>
        <v>dom</v>
      </c>
      <c r="M223" t="str">
        <f t="shared" ca="1" si="29"/>
        <v>TEX</v>
      </c>
      <c r="N223">
        <f t="shared" ca="1" si="30"/>
        <v>1.308529898646839E-7</v>
      </c>
    </row>
    <row r="224" spans="6:14" x14ac:dyDescent="0.35">
      <c r="F224">
        <f t="shared" si="36"/>
        <v>3</v>
      </c>
      <c r="G224">
        <f t="shared" si="34"/>
        <v>24</v>
      </c>
      <c r="H224">
        <f t="shared" si="35"/>
        <v>0</v>
      </c>
      <c r="K224" t="str">
        <f t="shared" ca="1" si="31"/>
        <v>CMN</v>
      </c>
      <c r="L224" t="str">
        <f t="shared" ca="1" si="32"/>
        <v>dom</v>
      </c>
      <c r="M224" t="str">
        <f t="shared" ca="1" si="29"/>
        <v>TEX</v>
      </c>
      <c r="N224">
        <f t="shared" ca="1" si="30"/>
        <v>1.308529898646839E-7</v>
      </c>
    </row>
    <row r="225" spans="6:14" x14ac:dyDescent="0.35">
      <c r="F225">
        <f t="shared" si="36"/>
        <v>3</v>
      </c>
      <c r="G225">
        <f t="shared" si="34"/>
        <v>25</v>
      </c>
      <c r="H225">
        <f t="shared" si="35"/>
        <v>0</v>
      </c>
      <c r="K225" t="str">
        <f t="shared" ca="1" si="31"/>
        <v>OFI</v>
      </c>
      <c r="L225" t="str">
        <f t="shared" ca="1" si="32"/>
        <v>dom</v>
      </c>
      <c r="M225" t="str">
        <f t="shared" ca="1" si="29"/>
        <v>TEX</v>
      </c>
      <c r="N225">
        <f t="shared" ca="1" si="30"/>
        <v>1.308529898646839E-7</v>
      </c>
    </row>
    <row r="226" spans="6:14" x14ac:dyDescent="0.35">
      <c r="F226">
        <f t="shared" si="36"/>
        <v>3</v>
      </c>
      <c r="G226">
        <f t="shared" si="34"/>
        <v>26</v>
      </c>
      <c r="H226">
        <f t="shared" si="35"/>
        <v>0</v>
      </c>
      <c r="K226" t="str">
        <f t="shared" ca="1" si="31"/>
        <v>RSA</v>
      </c>
      <c r="L226" t="str">
        <f t="shared" ca="1" si="32"/>
        <v>dom</v>
      </c>
      <c r="M226" t="str">
        <f t="shared" ca="1" si="29"/>
        <v>TEX</v>
      </c>
      <c r="N226">
        <f t="shared" ca="1" si="30"/>
        <v>1.308529898646839E-7</v>
      </c>
    </row>
    <row r="227" spans="6:14" x14ac:dyDescent="0.35">
      <c r="F227">
        <f t="shared" si="36"/>
        <v>3</v>
      </c>
      <c r="G227">
        <f t="shared" si="34"/>
        <v>27</v>
      </c>
      <c r="H227">
        <f t="shared" si="35"/>
        <v>0</v>
      </c>
      <c r="K227" t="str">
        <f t="shared" ca="1" si="31"/>
        <v>OBS</v>
      </c>
      <c r="L227" t="str">
        <f t="shared" ca="1" si="32"/>
        <v>dom</v>
      </c>
      <c r="M227" t="str">
        <f t="shared" ca="1" si="29"/>
        <v>TEX</v>
      </c>
      <c r="N227">
        <f t="shared" ca="1" si="30"/>
        <v>1.308529898646839E-7</v>
      </c>
    </row>
    <row r="228" spans="6:14" x14ac:dyDescent="0.35">
      <c r="F228">
        <f t="shared" si="36"/>
        <v>3</v>
      </c>
      <c r="G228">
        <f t="shared" si="34"/>
        <v>28</v>
      </c>
      <c r="H228">
        <f t="shared" si="35"/>
        <v>0</v>
      </c>
      <c r="K228" t="str">
        <f t="shared" ca="1" si="31"/>
        <v>GOV</v>
      </c>
      <c r="L228" t="str">
        <f t="shared" ca="1" si="32"/>
        <v>dom</v>
      </c>
      <c r="M228" t="str">
        <f t="shared" ca="1" si="29"/>
        <v>TEX</v>
      </c>
      <c r="N228">
        <f t="shared" ca="1" si="30"/>
        <v>1.308529898646839E-7</v>
      </c>
    </row>
    <row r="229" spans="6:14" x14ac:dyDescent="0.35">
      <c r="F229">
        <f t="shared" ref="F229:F244" si="37">F163+1</f>
        <v>3</v>
      </c>
      <c r="G229">
        <f t="shared" si="34"/>
        <v>29</v>
      </c>
      <c r="H229">
        <f t="shared" si="35"/>
        <v>0</v>
      </c>
      <c r="K229" t="str">
        <f t="shared" ca="1" si="31"/>
        <v>EDU</v>
      </c>
      <c r="L229" t="str">
        <f t="shared" ca="1" si="32"/>
        <v>dom</v>
      </c>
      <c r="M229" t="str">
        <f t="shared" ca="1" si="29"/>
        <v>TEX</v>
      </c>
      <c r="N229">
        <f t="shared" ca="1" si="30"/>
        <v>1.308529898646839E-7</v>
      </c>
    </row>
    <row r="230" spans="6:14" x14ac:dyDescent="0.35">
      <c r="F230">
        <f t="shared" si="37"/>
        <v>3</v>
      </c>
      <c r="G230">
        <f t="shared" si="34"/>
        <v>30</v>
      </c>
      <c r="H230">
        <f t="shared" si="35"/>
        <v>0</v>
      </c>
      <c r="K230" t="str">
        <f t="shared" ca="1" si="31"/>
        <v>HHT</v>
      </c>
      <c r="L230" t="str">
        <f t="shared" ca="1" si="32"/>
        <v>dom</v>
      </c>
      <c r="M230" t="str">
        <f t="shared" ca="1" si="29"/>
        <v>TEX</v>
      </c>
      <c r="N230">
        <f t="shared" ca="1" si="30"/>
        <v>1.308529898646839E-7</v>
      </c>
    </row>
    <row r="231" spans="6:14" x14ac:dyDescent="0.35">
      <c r="F231">
        <f t="shared" si="37"/>
        <v>3</v>
      </c>
      <c r="G231">
        <f t="shared" si="34"/>
        <v>31</v>
      </c>
      <c r="H231">
        <f t="shared" si="35"/>
        <v>0</v>
      </c>
      <c r="K231" t="str">
        <f t="shared" ca="1" si="31"/>
        <v>REC</v>
      </c>
      <c r="L231" t="str">
        <f t="shared" ca="1" si="32"/>
        <v>dom</v>
      </c>
      <c r="M231" t="str">
        <f t="shared" ca="1" si="29"/>
        <v>TEX</v>
      </c>
      <c r="N231">
        <f t="shared" ca="1" si="30"/>
        <v>1.308529898646839E-7</v>
      </c>
    </row>
    <row r="232" spans="6:14" x14ac:dyDescent="0.35">
      <c r="F232">
        <f t="shared" si="37"/>
        <v>3</v>
      </c>
      <c r="G232">
        <f t="shared" si="34"/>
        <v>32</v>
      </c>
      <c r="H232">
        <f t="shared" si="35"/>
        <v>0</v>
      </c>
      <c r="K232" t="str">
        <f t="shared" ca="1" si="31"/>
        <v>DWE</v>
      </c>
      <c r="L232" t="str">
        <f t="shared" ca="1" si="32"/>
        <v>dom</v>
      </c>
      <c r="M232" t="str">
        <f t="shared" ca="1" si="29"/>
        <v>TEX</v>
      </c>
      <c r="N232">
        <f t="shared" ca="1" si="30"/>
        <v>1.308529898646839E-7</v>
      </c>
    </row>
    <row r="233" spans="6:14" x14ac:dyDescent="0.35">
      <c r="F233">
        <f t="shared" si="37"/>
        <v>3</v>
      </c>
      <c r="G233">
        <f t="shared" si="34"/>
        <v>0</v>
      </c>
      <c r="H233">
        <f t="shared" si="35"/>
        <v>1</v>
      </c>
      <c r="K233" t="str">
        <f t="shared" ca="1" si="31"/>
        <v>AG</v>
      </c>
      <c r="L233" t="str">
        <f t="shared" ca="1" si="32"/>
        <v>imp</v>
      </c>
      <c r="M233" t="str">
        <f t="shared" ca="1" si="29"/>
        <v>TEX</v>
      </c>
      <c r="N233">
        <f t="shared" ca="1" si="30"/>
        <v>1.210628837566289</v>
      </c>
    </row>
    <row r="234" spans="6:14" x14ac:dyDescent="0.35">
      <c r="F234">
        <f t="shared" si="37"/>
        <v>3</v>
      </c>
      <c r="G234">
        <f t="shared" si="34"/>
        <v>1</v>
      </c>
      <c r="H234">
        <f t="shared" si="35"/>
        <v>1</v>
      </c>
      <c r="K234" t="str">
        <f t="shared" ca="1" si="31"/>
        <v>MIN</v>
      </c>
      <c r="L234" t="str">
        <f t="shared" ca="1" si="32"/>
        <v>imp</v>
      </c>
      <c r="M234" t="str">
        <f t="shared" ca="1" si="29"/>
        <v>TEX</v>
      </c>
      <c r="N234">
        <f t="shared" ca="1" si="30"/>
        <v>1.9099264192020793</v>
      </c>
    </row>
    <row r="235" spans="6:14" x14ac:dyDescent="0.35">
      <c r="F235">
        <f t="shared" si="37"/>
        <v>3</v>
      </c>
      <c r="G235">
        <f t="shared" si="34"/>
        <v>2</v>
      </c>
      <c r="H235">
        <f t="shared" si="35"/>
        <v>1</v>
      </c>
      <c r="K235" t="str">
        <f t="shared" ca="1" si="31"/>
        <v>FBT</v>
      </c>
      <c r="L235" t="str">
        <f t="shared" ca="1" si="32"/>
        <v>imp</v>
      </c>
      <c r="M235" t="str">
        <f t="shared" ca="1" si="29"/>
        <v>TEX</v>
      </c>
      <c r="N235">
        <f t="shared" ca="1" si="30"/>
        <v>0.47792217374764462</v>
      </c>
    </row>
    <row r="236" spans="6:14" x14ac:dyDescent="0.35">
      <c r="F236">
        <f t="shared" si="37"/>
        <v>3</v>
      </c>
      <c r="G236">
        <f t="shared" si="34"/>
        <v>3</v>
      </c>
      <c r="H236">
        <f t="shared" si="35"/>
        <v>1</v>
      </c>
      <c r="K236" t="str">
        <f t="shared" ca="1" si="31"/>
        <v>TEX</v>
      </c>
      <c r="L236" t="str">
        <f t="shared" ca="1" si="32"/>
        <v>imp</v>
      </c>
      <c r="M236" t="str">
        <f t="shared" ca="1" si="29"/>
        <v>TEX</v>
      </c>
      <c r="N236">
        <f t="shared" ca="1" si="30"/>
        <v>9.3787523462767197</v>
      </c>
    </row>
    <row r="237" spans="6:14" x14ac:dyDescent="0.35">
      <c r="F237">
        <f t="shared" si="37"/>
        <v>3</v>
      </c>
      <c r="G237">
        <f t="shared" si="34"/>
        <v>4</v>
      </c>
      <c r="H237">
        <f t="shared" si="35"/>
        <v>1</v>
      </c>
      <c r="K237" t="str">
        <f t="shared" ca="1" si="31"/>
        <v>LEATHER</v>
      </c>
      <c r="L237" t="str">
        <f t="shared" ca="1" si="32"/>
        <v>imp</v>
      </c>
      <c r="M237" t="str">
        <f t="shared" ca="1" si="29"/>
        <v>TEX</v>
      </c>
      <c r="N237">
        <f t="shared" ca="1" si="30"/>
        <v>4.8879194647714712</v>
      </c>
    </row>
    <row r="238" spans="6:14" x14ac:dyDescent="0.35">
      <c r="F238">
        <f t="shared" si="37"/>
        <v>3</v>
      </c>
      <c r="G238">
        <f t="shared" si="34"/>
        <v>5</v>
      </c>
      <c r="H238">
        <f t="shared" si="35"/>
        <v>1</v>
      </c>
      <c r="K238" t="str">
        <f t="shared" ca="1" si="31"/>
        <v>WOOD</v>
      </c>
      <c r="L238" t="str">
        <f t="shared" ca="1" si="32"/>
        <v>imp</v>
      </c>
      <c r="M238" t="str">
        <f t="shared" ca="1" si="29"/>
        <v>TEX</v>
      </c>
      <c r="N238">
        <f t="shared" ca="1" si="30"/>
        <v>8.7490181718831203E-2</v>
      </c>
    </row>
    <row r="239" spans="6:14" x14ac:dyDescent="0.35">
      <c r="F239">
        <f t="shared" si="37"/>
        <v>3</v>
      </c>
      <c r="G239">
        <f t="shared" si="34"/>
        <v>6</v>
      </c>
      <c r="H239">
        <f t="shared" si="35"/>
        <v>1</v>
      </c>
      <c r="K239" t="str">
        <f t="shared" ca="1" si="31"/>
        <v>PPP</v>
      </c>
      <c r="L239" t="str">
        <f t="shared" ca="1" si="32"/>
        <v>imp</v>
      </c>
      <c r="M239" t="str">
        <f t="shared" ca="1" si="29"/>
        <v>TEX</v>
      </c>
      <c r="N239">
        <f t="shared" ca="1" si="30"/>
        <v>1.2598497886880395</v>
      </c>
    </row>
    <row r="240" spans="6:14" x14ac:dyDescent="0.35">
      <c r="F240">
        <f t="shared" si="37"/>
        <v>3</v>
      </c>
      <c r="G240">
        <f t="shared" si="34"/>
        <v>7</v>
      </c>
      <c r="H240">
        <f t="shared" si="35"/>
        <v>1</v>
      </c>
      <c r="K240" t="str">
        <f t="shared" ca="1" si="31"/>
        <v>PC</v>
      </c>
      <c r="L240" t="str">
        <f t="shared" ca="1" si="32"/>
        <v>imp</v>
      </c>
      <c r="M240" t="str">
        <f t="shared" ca="1" si="29"/>
        <v>TEX</v>
      </c>
      <c r="N240">
        <f t="shared" ca="1" si="30"/>
        <v>0.31724499124350009</v>
      </c>
    </row>
    <row r="241" spans="6:14" x14ac:dyDescent="0.35">
      <c r="F241">
        <f t="shared" si="37"/>
        <v>3</v>
      </c>
      <c r="G241">
        <f t="shared" si="34"/>
        <v>8</v>
      </c>
      <c r="H241">
        <f t="shared" si="35"/>
        <v>1</v>
      </c>
      <c r="K241" t="str">
        <f t="shared" ca="1" si="31"/>
        <v>CHM</v>
      </c>
      <c r="L241" t="str">
        <f t="shared" ca="1" si="32"/>
        <v>imp</v>
      </c>
      <c r="M241" t="str">
        <f t="shared" ca="1" si="29"/>
        <v>TEX</v>
      </c>
      <c r="N241">
        <f t="shared" ca="1" si="30"/>
        <v>4.3488991242606208</v>
      </c>
    </row>
    <row r="242" spans="6:14" x14ac:dyDescent="0.35">
      <c r="F242">
        <f t="shared" si="37"/>
        <v>3</v>
      </c>
      <c r="G242">
        <f t="shared" si="34"/>
        <v>9</v>
      </c>
      <c r="H242">
        <f t="shared" si="35"/>
        <v>1</v>
      </c>
      <c r="K242" t="str">
        <f t="shared" ca="1" si="31"/>
        <v>RUBBER</v>
      </c>
      <c r="L242" t="str">
        <f t="shared" ca="1" si="32"/>
        <v>imp</v>
      </c>
      <c r="M242" t="str">
        <f t="shared" ca="1" si="29"/>
        <v>TEX</v>
      </c>
      <c r="N242">
        <f t="shared" ca="1" si="30"/>
        <v>3.3306787004067639</v>
      </c>
    </row>
    <row r="243" spans="6:14" x14ac:dyDescent="0.35">
      <c r="F243">
        <f t="shared" si="37"/>
        <v>3</v>
      </c>
      <c r="G243">
        <f t="shared" si="34"/>
        <v>10</v>
      </c>
      <c r="H243">
        <f t="shared" si="35"/>
        <v>1</v>
      </c>
      <c r="K243" t="str">
        <f t="shared" ca="1" si="31"/>
        <v>NMM</v>
      </c>
      <c r="L243" t="str">
        <f t="shared" ca="1" si="32"/>
        <v>imp</v>
      </c>
      <c r="M243" t="str">
        <f t="shared" ca="1" si="29"/>
        <v>TEX</v>
      </c>
      <c r="N243">
        <f t="shared" ca="1" si="30"/>
        <v>1.2572891642924207</v>
      </c>
    </row>
    <row r="244" spans="6:14" x14ac:dyDescent="0.35">
      <c r="F244">
        <f t="shared" si="37"/>
        <v>3</v>
      </c>
      <c r="G244">
        <f t="shared" si="34"/>
        <v>11</v>
      </c>
      <c r="H244">
        <f t="shared" si="35"/>
        <v>1</v>
      </c>
      <c r="K244" t="str">
        <f t="shared" ca="1" si="31"/>
        <v>METAL</v>
      </c>
      <c r="L244" t="str">
        <f t="shared" ca="1" si="32"/>
        <v>imp</v>
      </c>
      <c r="M244" t="str">
        <f t="shared" ca="1" si="29"/>
        <v>TEX</v>
      </c>
      <c r="N244">
        <f t="shared" ca="1" si="30"/>
        <v>15.73766165009101</v>
      </c>
    </row>
    <row r="245" spans="6:14" x14ac:dyDescent="0.35">
      <c r="F245">
        <f t="shared" ref="F245:F260" si="38">F179+1</f>
        <v>3</v>
      </c>
      <c r="G245">
        <f t="shared" si="34"/>
        <v>12</v>
      </c>
      <c r="H245">
        <f t="shared" si="35"/>
        <v>1</v>
      </c>
      <c r="K245" t="str">
        <f t="shared" ca="1" si="31"/>
        <v>MACH</v>
      </c>
      <c r="L245" t="str">
        <f t="shared" ca="1" si="32"/>
        <v>imp</v>
      </c>
      <c r="M245" t="str">
        <f t="shared" ca="1" si="29"/>
        <v>TEX</v>
      </c>
      <c r="N245">
        <f t="shared" ca="1" si="30"/>
        <v>60.287391646142574</v>
      </c>
    </row>
    <row r="246" spans="6:14" x14ac:dyDescent="0.35">
      <c r="F246">
        <f t="shared" si="38"/>
        <v>3</v>
      </c>
      <c r="G246">
        <f t="shared" si="34"/>
        <v>13</v>
      </c>
      <c r="H246">
        <f t="shared" si="35"/>
        <v>1</v>
      </c>
      <c r="K246" t="str">
        <f t="shared" ca="1" si="31"/>
        <v>ELEC</v>
      </c>
      <c r="L246" t="str">
        <f t="shared" ca="1" si="32"/>
        <v>imp</v>
      </c>
      <c r="M246" t="str">
        <f t="shared" ca="1" si="29"/>
        <v>TEX</v>
      </c>
      <c r="N246">
        <f t="shared" ca="1" si="30"/>
        <v>32.324260392853404</v>
      </c>
    </row>
    <row r="247" spans="6:14" x14ac:dyDescent="0.35">
      <c r="F247">
        <f t="shared" si="38"/>
        <v>3</v>
      </c>
      <c r="G247">
        <f t="shared" si="34"/>
        <v>14</v>
      </c>
      <c r="H247">
        <f t="shared" si="35"/>
        <v>1</v>
      </c>
      <c r="K247" t="str">
        <f t="shared" ca="1" si="31"/>
        <v>TRNEQUIP</v>
      </c>
      <c r="L247" t="str">
        <f t="shared" ca="1" si="32"/>
        <v>imp</v>
      </c>
      <c r="M247" t="str">
        <f t="shared" ca="1" si="29"/>
        <v>TEX</v>
      </c>
      <c r="N247">
        <f t="shared" ca="1" si="30"/>
        <v>51.585883779846768</v>
      </c>
    </row>
    <row r="248" spans="6:14" x14ac:dyDescent="0.35">
      <c r="F248">
        <f t="shared" si="38"/>
        <v>3</v>
      </c>
      <c r="G248">
        <f t="shared" si="34"/>
        <v>15</v>
      </c>
      <c r="H248">
        <f t="shared" si="35"/>
        <v>1</v>
      </c>
      <c r="K248" t="str">
        <f t="shared" ca="1" si="31"/>
        <v>ROMAN</v>
      </c>
      <c r="L248" t="str">
        <f t="shared" ca="1" si="32"/>
        <v>imp</v>
      </c>
      <c r="M248" t="str">
        <f t="shared" ca="1" si="29"/>
        <v>TEX</v>
      </c>
      <c r="N248">
        <f t="shared" ca="1" si="30"/>
        <v>19.57347279413462</v>
      </c>
    </row>
    <row r="249" spans="6:14" x14ac:dyDescent="0.35">
      <c r="F249">
        <f t="shared" si="38"/>
        <v>3</v>
      </c>
      <c r="G249">
        <f t="shared" si="34"/>
        <v>16</v>
      </c>
      <c r="H249">
        <f t="shared" si="35"/>
        <v>1</v>
      </c>
      <c r="K249" t="str">
        <f t="shared" ca="1" si="31"/>
        <v>ELYGASWTR</v>
      </c>
      <c r="L249" t="str">
        <f t="shared" ca="1" si="32"/>
        <v>imp</v>
      </c>
      <c r="M249" t="str">
        <f t="shared" ca="1" si="29"/>
        <v>TEX</v>
      </c>
      <c r="N249">
        <f t="shared" ca="1" si="30"/>
        <v>1.308529898646839E-7</v>
      </c>
    </row>
    <row r="250" spans="6:14" x14ac:dyDescent="0.35">
      <c r="F250">
        <f t="shared" si="38"/>
        <v>3</v>
      </c>
      <c r="G250">
        <f t="shared" si="34"/>
        <v>17</v>
      </c>
      <c r="H250">
        <f t="shared" si="35"/>
        <v>1</v>
      </c>
      <c r="K250" t="str">
        <f t="shared" ca="1" si="31"/>
        <v>CNS</v>
      </c>
      <c r="L250" t="str">
        <f t="shared" ca="1" si="32"/>
        <v>imp</v>
      </c>
      <c r="M250" t="str">
        <f t="shared" ca="1" si="29"/>
        <v>TEX</v>
      </c>
      <c r="N250">
        <f t="shared" ca="1" si="30"/>
        <v>3.8316201051449874</v>
      </c>
    </row>
    <row r="251" spans="6:14" x14ac:dyDescent="0.35">
      <c r="F251">
        <f t="shared" si="38"/>
        <v>3</v>
      </c>
      <c r="G251">
        <f t="shared" si="34"/>
        <v>18</v>
      </c>
      <c r="H251">
        <f t="shared" si="35"/>
        <v>1</v>
      </c>
      <c r="K251" t="str">
        <f t="shared" ca="1" si="31"/>
        <v>TRD</v>
      </c>
      <c r="L251" t="str">
        <f t="shared" ca="1" si="32"/>
        <v>imp</v>
      </c>
      <c r="M251" t="str">
        <f t="shared" ca="1" si="29"/>
        <v>TEX</v>
      </c>
      <c r="N251">
        <f t="shared" ca="1" si="30"/>
        <v>0.33524087308414185</v>
      </c>
    </row>
    <row r="252" spans="6:14" x14ac:dyDescent="0.35">
      <c r="F252">
        <f t="shared" si="38"/>
        <v>3</v>
      </c>
      <c r="G252">
        <f t="shared" si="34"/>
        <v>19</v>
      </c>
      <c r="H252">
        <f t="shared" si="35"/>
        <v>1</v>
      </c>
      <c r="K252" t="str">
        <f t="shared" ca="1" si="31"/>
        <v>AFS</v>
      </c>
      <c r="L252" t="str">
        <f t="shared" ca="1" si="32"/>
        <v>imp</v>
      </c>
      <c r="M252" t="str">
        <f t="shared" ca="1" si="29"/>
        <v>TEX</v>
      </c>
      <c r="N252">
        <f t="shared" ca="1" si="30"/>
        <v>1.308529898646839E-7</v>
      </c>
    </row>
    <row r="253" spans="6:14" x14ac:dyDescent="0.35">
      <c r="F253">
        <f t="shared" si="38"/>
        <v>3</v>
      </c>
      <c r="G253">
        <f t="shared" si="34"/>
        <v>20</v>
      </c>
      <c r="H253">
        <f t="shared" si="35"/>
        <v>1</v>
      </c>
      <c r="K253" t="str">
        <f t="shared" ca="1" si="31"/>
        <v>OTP</v>
      </c>
      <c r="L253" t="str">
        <f t="shared" ca="1" si="32"/>
        <v>imp</v>
      </c>
      <c r="M253" t="str">
        <f t="shared" ca="1" si="29"/>
        <v>TEX</v>
      </c>
      <c r="N253">
        <f t="shared" ca="1" si="30"/>
        <v>1.308529898646839E-7</v>
      </c>
    </row>
    <row r="254" spans="6:14" x14ac:dyDescent="0.35">
      <c r="F254">
        <f t="shared" si="38"/>
        <v>3</v>
      </c>
      <c r="G254">
        <f t="shared" si="34"/>
        <v>21</v>
      </c>
      <c r="H254">
        <f t="shared" si="35"/>
        <v>1</v>
      </c>
      <c r="K254" t="str">
        <f t="shared" ca="1" si="31"/>
        <v>WTP</v>
      </c>
      <c r="L254" t="str">
        <f t="shared" ca="1" si="32"/>
        <v>imp</v>
      </c>
      <c r="M254" t="str">
        <f t="shared" ca="1" si="29"/>
        <v>TEX</v>
      </c>
      <c r="N254">
        <f t="shared" ca="1" si="30"/>
        <v>1.308529898646839E-7</v>
      </c>
    </row>
    <row r="255" spans="6:14" x14ac:dyDescent="0.35">
      <c r="F255">
        <f t="shared" si="38"/>
        <v>3</v>
      </c>
      <c r="G255">
        <f t="shared" si="34"/>
        <v>22</v>
      </c>
      <c r="H255">
        <f t="shared" si="35"/>
        <v>1</v>
      </c>
      <c r="K255" t="str">
        <f t="shared" ca="1" si="31"/>
        <v>ATP</v>
      </c>
      <c r="L255" t="str">
        <f t="shared" ca="1" si="32"/>
        <v>imp</v>
      </c>
      <c r="M255" t="str">
        <f t="shared" ca="1" si="29"/>
        <v>TEX</v>
      </c>
      <c r="N255">
        <f t="shared" ca="1" si="30"/>
        <v>1.308529898646839E-7</v>
      </c>
    </row>
    <row r="256" spans="6:14" x14ac:dyDescent="0.35">
      <c r="F256">
        <f t="shared" si="38"/>
        <v>3</v>
      </c>
      <c r="G256">
        <f t="shared" si="34"/>
        <v>23</v>
      </c>
      <c r="H256">
        <f t="shared" si="35"/>
        <v>1</v>
      </c>
      <c r="K256" t="str">
        <f t="shared" ca="1" si="31"/>
        <v>WHS</v>
      </c>
      <c r="L256" t="str">
        <f t="shared" ca="1" si="32"/>
        <v>imp</v>
      </c>
      <c r="M256" t="str">
        <f t="shared" ca="1" si="29"/>
        <v>TEX</v>
      </c>
      <c r="N256">
        <f t="shared" ca="1" si="30"/>
        <v>1.308529898646839E-7</v>
      </c>
    </row>
    <row r="257" spans="6:14" x14ac:dyDescent="0.35">
      <c r="F257">
        <f t="shared" si="38"/>
        <v>3</v>
      </c>
      <c r="G257">
        <f t="shared" si="34"/>
        <v>24</v>
      </c>
      <c r="H257">
        <f t="shared" si="35"/>
        <v>1</v>
      </c>
      <c r="K257" t="str">
        <f t="shared" ca="1" si="31"/>
        <v>CMN</v>
      </c>
      <c r="L257" t="str">
        <f t="shared" ca="1" si="32"/>
        <v>imp</v>
      </c>
      <c r="M257" t="str">
        <f t="shared" ca="1" si="29"/>
        <v>TEX</v>
      </c>
      <c r="N257">
        <f t="shared" ca="1" si="30"/>
        <v>1.308529898646839E-7</v>
      </c>
    </row>
    <row r="258" spans="6:14" x14ac:dyDescent="0.35">
      <c r="F258">
        <f t="shared" si="38"/>
        <v>3</v>
      </c>
      <c r="G258">
        <f t="shared" si="34"/>
        <v>25</v>
      </c>
      <c r="H258">
        <f t="shared" si="35"/>
        <v>1</v>
      </c>
      <c r="K258" t="str">
        <f t="shared" ca="1" si="31"/>
        <v>OFI</v>
      </c>
      <c r="L258" t="str">
        <f t="shared" ca="1" si="32"/>
        <v>imp</v>
      </c>
      <c r="M258" t="str">
        <f t="shared" ref="M258:M321" ca="1" si="39">OFFSET(A$2,F258,0)</f>
        <v>TEX</v>
      </c>
      <c r="N258">
        <f t="shared" ref="N258:N321" ca="1" si="40">SUMIFS(C:C,A:A,K258,B:B,L258)*SUMIFS(U:U,S:S,M258)</f>
        <v>1.308529898646839E-7</v>
      </c>
    </row>
    <row r="259" spans="6:14" x14ac:dyDescent="0.35">
      <c r="F259">
        <f t="shared" si="38"/>
        <v>3</v>
      </c>
      <c r="G259">
        <f t="shared" si="34"/>
        <v>26</v>
      </c>
      <c r="H259">
        <f t="shared" si="35"/>
        <v>1</v>
      </c>
      <c r="K259" t="str">
        <f t="shared" ref="K259:K322" ca="1" si="41">OFFSET(A$2,G259,0)</f>
        <v>RSA</v>
      </c>
      <c r="L259" t="str">
        <f t="shared" ref="L259:L322" ca="1" si="42">OFFSET($V$3,H259,0)</f>
        <v>imp</v>
      </c>
      <c r="M259" t="str">
        <f t="shared" ca="1" si="39"/>
        <v>TEX</v>
      </c>
      <c r="N259">
        <f t="shared" ca="1" si="40"/>
        <v>1.308529898646839E-7</v>
      </c>
    </row>
    <row r="260" spans="6:14" x14ac:dyDescent="0.35">
      <c r="F260">
        <f t="shared" si="38"/>
        <v>3</v>
      </c>
      <c r="G260">
        <f t="shared" si="34"/>
        <v>27</v>
      </c>
      <c r="H260">
        <f t="shared" si="35"/>
        <v>1</v>
      </c>
      <c r="K260" t="str">
        <f t="shared" ca="1" si="41"/>
        <v>OBS</v>
      </c>
      <c r="L260" t="str">
        <f t="shared" ca="1" si="42"/>
        <v>imp</v>
      </c>
      <c r="M260" t="str">
        <f t="shared" ca="1" si="39"/>
        <v>TEX</v>
      </c>
      <c r="N260">
        <f t="shared" ca="1" si="40"/>
        <v>1.308529898646839E-7</v>
      </c>
    </row>
    <row r="261" spans="6:14" x14ac:dyDescent="0.35">
      <c r="F261">
        <f t="shared" ref="F261:F276" si="43">F195+1</f>
        <v>3</v>
      </c>
      <c r="G261">
        <f t="shared" ref="G261:G324" si="44">G228</f>
        <v>28</v>
      </c>
      <c r="H261">
        <f t="shared" ref="H261:H324" si="45">H195</f>
        <v>1</v>
      </c>
      <c r="K261" t="str">
        <f t="shared" ca="1" si="41"/>
        <v>GOV</v>
      </c>
      <c r="L261" t="str">
        <f t="shared" ca="1" si="42"/>
        <v>imp</v>
      </c>
      <c r="M261" t="str">
        <f t="shared" ca="1" si="39"/>
        <v>TEX</v>
      </c>
      <c r="N261">
        <f t="shared" ca="1" si="40"/>
        <v>1.308529898646839E-7</v>
      </c>
    </row>
    <row r="262" spans="6:14" x14ac:dyDescent="0.35">
      <c r="F262">
        <f t="shared" si="43"/>
        <v>3</v>
      </c>
      <c r="G262">
        <f t="shared" si="44"/>
        <v>29</v>
      </c>
      <c r="H262">
        <f t="shared" si="45"/>
        <v>1</v>
      </c>
      <c r="K262" t="str">
        <f t="shared" ca="1" si="41"/>
        <v>EDU</v>
      </c>
      <c r="L262" t="str">
        <f t="shared" ca="1" si="42"/>
        <v>imp</v>
      </c>
      <c r="M262" t="str">
        <f t="shared" ca="1" si="39"/>
        <v>TEX</v>
      </c>
      <c r="N262">
        <f t="shared" ca="1" si="40"/>
        <v>1.308529898646839E-7</v>
      </c>
    </row>
    <row r="263" spans="6:14" x14ac:dyDescent="0.35">
      <c r="F263">
        <f t="shared" si="43"/>
        <v>3</v>
      </c>
      <c r="G263">
        <f t="shared" si="44"/>
        <v>30</v>
      </c>
      <c r="H263">
        <f t="shared" si="45"/>
        <v>1</v>
      </c>
      <c r="K263" t="str">
        <f t="shared" ca="1" si="41"/>
        <v>HHT</v>
      </c>
      <c r="L263" t="str">
        <f t="shared" ca="1" si="42"/>
        <v>imp</v>
      </c>
      <c r="M263" t="str">
        <f t="shared" ca="1" si="39"/>
        <v>TEX</v>
      </c>
      <c r="N263">
        <f t="shared" ca="1" si="40"/>
        <v>1.308529898646839E-7</v>
      </c>
    </row>
    <row r="264" spans="6:14" x14ac:dyDescent="0.35">
      <c r="F264">
        <f t="shared" si="43"/>
        <v>3</v>
      </c>
      <c r="G264">
        <f t="shared" si="44"/>
        <v>31</v>
      </c>
      <c r="H264">
        <f t="shared" si="45"/>
        <v>1</v>
      </c>
      <c r="K264" t="str">
        <f t="shared" ca="1" si="41"/>
        <v>REC</v>
      </c>
      <c r="L264" t="str">
        <f t="shared" ca="1" si="42"/>
        <v>imp</v>
      </c>
      <c r="M264" t="str">
        <f t="shared" ca="1" si="39"/>
        <v>TEX</v>
      </c>
      <c r="N264">
        <f t="shared" ca="1" si="40"/>
        <v>1.308529898646839E-7</v>
      </c>
    </row>
    <row r="265" spans="6:14" x14ac:dyDescent="0.35">
      <c r="F265">
        <f t="shared" si="43"/>
        <v>3</v>
      </c>
      <c r="G265">
        <f t="shared" si="44"/>
        <v>32</v>
      </c>
      <c r="H265">
        <f t="shared" si="45"/>
        <v>1</v>
      </c>
      <c r="K265" t="str">
        <f t="shared" ca="1" si="41"/>
        <v>DWE</v>
      </c>
      <c r="L265" t="str">
        <f t="shared" ca="1" si="42"/>
        <v>imp</v>
      </c>
      <c r="M265" t="str">
        <f t="shared" ca="1" si="39"/>
        <v>TEX</v>
      </c>
      <c r="N265">
        <f t="shared" ca="1" si="40"/>
        <v>1.308529898646839E-7</v>
      </c>
    </row>
    <row r="266" spans="6:14" x14ac:dyDescent="0.35">
      <c r="F266">
        <f t="shared" si="43"/>
        <v>4</v>
      </c>
      <c r="G266">
        <f t="shared" si="44"/>
        <v>0</v>
      </c>
      <c r="H266">
        <f t="shared" si="45"/>
        <v>0</v>
      </c>
      <c r="K266" t="str">
        <f t="shared" ca="1" si="41"/>
        <v>AG</v>
      </c>
      <c r="L266" t="str">
        <f t="shared" ca="1" si="42"/>
        <v>dom</v>
      </c>
      <c r="M266" t="str">
        <f t="shared" ca="1" si="39"/>
        <v>LEATHER</v>
      </c>
      <c r="N266">
        <f t="shared" ca="1" si="40"/>
        <v>4.2181401614483277E-4</v>
      </c>
    </row>
    <row r="267" spans="6:14" x14ac:dyDescent="0.35">
      <c r="F267">
        <f t="shared" si="43"/>
        <v>4</v>
      </c>
      <c r="G267">
        <f t="shared" si="44"/>
        <v>1</v>
      </c>
      <c r="H267">
        <f t="shared" si="45"/>
        <v>0</v>
      </c>
      <c r="K267" t="str">
        <f t="shared" ca="1" si="41"/>
        <v>MIN</v>
      </c>
      <c r="L267" t="str">
        <f t="shared" ca="1" si="42"/>
        <v>dom</v>
      </c>
      <c r="M267" t="str">
        <f t="shared" ca="1" si="39"/>
        <v>LEATHER</v>
      </c>
      <c r="N267">
        <f t="shared" ca="1" si="40"/>
        <v>7.3581959841895162E-4</v>
      </c>
    </row>
    <row r="268" spans="6:14" x14ac:dyDescent="0.35">
      <c r="F268">
        <f t="shared" si="43"/>
        <v>4</v>
      </c>
      <c r="G268">
        <f t="shared" si="44"/>
        <v>2</v>
      </c>
      <c r="H268">
        <f t="shared" si="45"/>
        <v>0</v>
      </c>
      <c r="K268" t="str">
        <f t="shared" ca="1" si="41"/>
        <v>FBT</v>
      </c>
      <c r="L268" t="str">
        <f t="shared" ca="1" si="42"/>
        <v>dom</v>
      </c>
      <c r="M268" t="str">
        <f t="shared" ca="1" si="39"/>
        <v>LEATHER</v>
      </c>
      <c r="N268">
        <f t="shared" ca="1" si="40"/>
        <v>1.2389648445025672E-3</v>
      </c>
    </row>
    <row r="269" spans="6:14" x14ac:dyDescent="0.35">
      <c r="F269">
        <f t="shared" si="43"/>
        <v>4</v>
      </c>
      <c r="G269">
        <f t="shared" si="44"/>
        <v>3</v>
      </c>
      <c r="H269">
        <f t="shared" si="45"/>
        <v>0</v>
      </c>
      <c r="K269" t="str">
        <f t="shared" ca="1" si="41"/>
        <v>TEX</v>
      </c>
      <c r="L269" t="str">
        <f t="shared" ca="1" si="42"/>
        <v>dom</v>
      </c>
      <c r="M269" t="str">
        <f t="shared" ca="1" si="39"/>
        <v>LEATHER</v>
      </c>
      <c r="N269">
        <f t="shared" ca="1" si="40"/>
        <v>6.4535857859274459E-3</v>
      </c>
    </row>
    <row r="270" spans="6:14" x14ac:dyDescent="0.35">
      <c r="F270">
        <f t="shared" si="43"/>
        <v>4</v>
      </c>
      <c r="G270">
        <f t="shared" si="44"/>
        <v>4</v>
      </c>
      <c r="H270">
        <f t="shared" si="45"/>
        <v>0</v>
      </c>
      <c r="K270" t="str">
        <f t="shared" ca="1" si="41"/>
        <v>LEATHER</v>
      </c>
      <c r="L270" t="str">
        <f t="shared" ca="1" si="42"/>
        <v>dom</v>
      </c>
      <c r="M270" t="str">
        <f t="shared" ca="1" si="39"/>
        <v>LEATHER</v>
      </c>
      <c r="N270">
        <f t="shared" ca="1" si="40"/>
        <v>4.5793471098616721E-5</v>
      </c>
    </row>
    <row r="271" spans="6:14" x14ac:dyDescent="0.35">
      <c r="F271">
        <f t="shared" si="43"/>
        <v>4</v>
      </c>
      <c r="G271">
        <f t="shared" si="44"/>
        <v>5</v>
      </c>
      <c r="H271">
        <f t="shared" si="45"/>
        <v>0</v>
      </c>
      <c r="K271" t="str">
        <f t="shared" ca="1" si="41"/>
        <v>WOOD</v>
      </c>
      <c r="L271" t="str">
        <f t="shared" ca="1" si="42"/>
        <v>dom</v>
      </c>
      <c r="M271" t="str">
        <f t="shared" ca="1" si="39"/>
        <v>LEATHER</v>
      </c>
      <c r="N271">
        <f t="shared" ca="1" si="40"/>
        <v>2.8190085522585218E-4</v>
      </c>
    </row>
    <row r="272" spans="6:14" x14ac:dyDescent="0.35">
      <c r="F272">
        <f t="shared" si="43"/>
        <v>4</v>
      </c>
      <c r="G272">
        <f t="shared" si="44"/>
        <v>6</v>
      </c>
      <c r="H272">
        <f t="shared" si="45"/>
        <v>0</v>
      </c>
      <c r="K272" t="str">
        <f t="shared" ca="1" si="41"/>
        <v>PPP</v>
      </c>
      <c r="L272" t="str">
        <f t="shared" ca="1" si="42"/>
        <v>dom</v>
      </c>
      <c r="M272" t="str">
        <f t="shared" ca="1" si="39"/>
        <v>LEATHER</v>
      </c>
      <c r="N272">
        <f t="shared" ca="1" si="40"/>
        <v>5.6424090512704021E-3</v>
      </c>
    </row>
    <row r="273" spans="6:14" x14ac:dyDescent="0.35">
      <c r="F273">
        <f t="shared" si="43"/>
        <v>4</v>
      </c>
      <c r="G273">
        <f t="shared" si="44"/>
        <v>7</v>
      </c>
      <c r="H273">
        <f t="shared" si="45"/>
        <v>0</v>
      </c>
      <c r="K273" t="str">
        <f t="shared" ca="1" si="41"/>
        <v>PC</v>
      </c>
      <c r="L273" t="str">
        <f t="shared" ca="1" si="42"/>
        <v>dom</v>
      </c>
      <c r="M273" t="str">
        <f t="shared" ca="1" si="39"/>
        <v>LEATHER</v>
      </c>
      <c r="N273">
        <f t="shared" ca="1" si="40"/>
        <v>8.5979446540608584E-4</v>
      </c>
    </row>
    <row r="274" spans="6:14" x14ac:dyDescent="0.35">
      <c r="F274">
        <f t="shared" si="43"/>
        <v>4</v>
      </c>
      <c r="G274">
        <f t="shared" si="44"/>
        <v>8</v>
      </c>
      <c r="H274">
        <f t="shared" si="45"/>
        <v>0</v>
      </c>
      <c r="K274" t="str">
        <f t="shared" ca="1" si="41"/>
        <v>CHM</v>
      </c>
      <c r="L274" t="str">
        <f t="shared" ca="1" si="42"/>
        <v>dom</v>
      </c>
      <c r="M274" t="str">
        <f t="shared" ca="1" si="39"/>
        <v>LEATHER</v>
      </c>
      <c r="N274">
        <f t="shared" ca="1" si="40"/>
        <v>5.3541126226412314E-3</v>
      </c>
    </row>
    <row r="275" spans="6:14" x14ac:dyDescent="0.35">
      <c r="F275">
        <f t="shared" si="43"/>
        <v>4</v>
      </c>
      <c r="G275">
        <f t="shared" si="44"/>
        <v>9</v>
      </c>
      <c r="H275">
        <f t="shared" si="45"/>
        <v>0</v>
      </c>
      <c r="K275" t="str">
        <f t="shared" ca="1" si="41"/>
        <v>RUBBER</v>
      </c>
      <c r="L275" t="str">
        <f t="shared" ca="1" si="42"/>
        <v>dom</v>
      </c>
      <c r="M275" t="str">
        <f t="shared" ca="1" si="39"/>
        <v>LEATHER</v>
      </c>
      <c r="N275">
        <f t="shared" ca="1" si="40"/>
        <v>8.3813466700029815E-3</v>
      </c>
    </row>
    <row r="276" spans="6:14" x14ac:dyDescent="0.35">
      <c r="F276">
        <f t="shared" si="43"/>
        <v>4</v>
      </c>
      <c r="G276">
        <f t="shared" si="44"/>
        <v>10</v>
      </c>
      <c r="H276">
        <f t="shared" si="45"/>
        <v>0</v>
      </c>
      <c r="K276" t="str">
        <f t="shared" ca="1" si="41"/>
        <v>NMM</v>
      </c>
      <c r="L276" t="str">
        <f t="shared" ca="1" si="42"/>
        <v>dom</v>
      </c>
      <c r="M276" t="str">
        <f t="shared" ca="1" si="39"/>
        <v>LEATHER</v>
      </c>
      <c r="N276">
        <f t="shared" ca="1" si="40"/>
        <v>7.7642759552525855E-3</v>
      </c>
    </row>
    <row r="277" spans="6:14" x14ac:dyDescent="0.35">
      <c r="F277">
        <f t="shared" ref="F277:F292" si="46">F211+1</f>
        <v>4</v>
      </c>
      <c r="G277">
        <f t="shared" si="44"/>
        <v>11</v>
      </c>
      <c r="H277">
        <f t="shared" si="45"/>
        <v>0</v>
      </c>
      <c r="K277" t="str">
        <f t="shared" ca="1" si="41"/>
        <v>METAL</v>
      </c>
      <c r="L277" t="str">
        <f t="shared" ca="1" si="42"/>
        <v>dom</v>
      </c>
      <c r="M277" t="str">
        <f t="shared" ca="1" si="39"/>
        <v>LEATHER</v>
      </c>
      <c r="N277">
        <f t="shared" ca="1" si="40"/>
        <v>2.2709163597745628E-2</v>
      </c>
    </row>
    <row r="278" spans="6:14" x14ac:dyDescent="0.35">
      <c r="F278">
        <f t="shared" si="46"/>
        <v>4</v>
      </c>
      <c r="G278">
        <f t="shared" si="44"/>
        <v>12</v>
      </c>
      <c r="H278">
        <f t="shared" si="45"/>
        <v>0</v>
      </c>
      <c r="K278" t="str">
        <f t="shared" ca="1" si="41"/>
        <v>MACH</v>
      </c>
      <c r="L278" t="str">
        <f t="shared" ca="1" si="42"/>
        <v>dom</v>
      </c>
      <c r="M278" t="str">
        <f t="shared" ca="1" si="39"/>
        <v>LEATHER</v>
      </c>
      <c r="N278">
        <f t="shared" ca="1" si="40"/>
        <v>3.2869724055235243E-2</v>
      </c>
    </row>
    <row r="279" spans="6:14" x14ac:dyDescent="0.35">
      <c r="F279">
        <f t="shared" si="46"/>
        <v>4</v>
      </c>
      <c r="G279">
        <f t="shared" si="44"/>
        <v>13</v>
      </c>
      <c r="H279">
        <f t="shared" si="45"/>
        <v>0</v>
      </c>
      <c r="K279" t="str">
        <f t="shared" ca="1" si="41"/>
        <v>ELEC</v>
      </c>
      <c r="L279" t="str">
        <f t="shared" ca="1" si="42"/>
        <v>dom</v>
      </c>
      <c r="M279" t="str">
        <f t="shared" ca="1" si="39"/>
        <v>LEATHER</v>
      </c>
      <c r="N279">
        <f t="shared" ca="1" si="40"/>
        <v>6.8376162667810152E-3</v>
      </c>
    </row>
    <row r="280" spans="6:14" x14ac:dyDescent="0.35">
      <c r="F280">
        <f t="shared" si="46"/>
        <v>4</v>
      </c>
      <c r="G280">
        <f t="shared" si="44"/>
        <v>14</v>
      </c>
      <c r="H280">
        <f t="shared" si="45"/>
        <v>0</v>
      </c>
      <c r="K280" t="str">
        <f t="shared" ca="1" si="41"/>
        <v>TRNEQUIP</v>
      </c>
      <c r="L280" t="str">
        <f t="shared" ca="1" si="42"/>
        <v>dom</v>
      </c>
      <c r="M280" t="str">
        <f t="shared" ca="1" si="39"/>
        <v>LEATHER</v>
      </c>
      <c r="N280">
        <f t="shared" ca="1" si="40"/>
        <v>9.8769908740024802E-3</v>
      </c>
    </row>
    <row r="281" spans="6:14" x14ac:dyDescent="0.35">
      <c r="F281">
        <f t="shared" si="46"/>
        <v>4</v>
      </c>
      <c r="G281">
        <f t="shared" si="44"/>
        <v>15</v>
      </c>
      <c r="H281">
        <f t="shared" si="45"/>
        <v>0</v>
      </c>
      <c r="K281" t="str">
        <f t="shared" ca="1" si="41"/>
        <v>ROMAN</v>
      </c>
      <c r="L281" t="str">
        <f t="shared" ca="1" si="42"/>
        <v>dom</v>
      </c>
      <c r="M281" t="str">
        <f t="shared" ca="1" si="39"/>
        <v>LEATHER</v>
      </c>
      <c r="N281">
        <f t="shared" ca="1" si="40"/>
        <v>2.6894404838397695E-2</v>
      </c>
    </row>
    <row r="282" spans="6:14" x14ac:dyDescent="0.35">
      <c r="F282">
        <f t="shared" si="46"/>
        <v>4</v>
      </c>
      <c r="G282">
        <f t="shared" si="44"/>
        <v>16</v>
      </c>
      <c r="H282">
        <f t="shared" si="45"/>
        <v>0</v>
      </c>
      <c r="K282" t="str">
        <f t="shared" ca="1" si="41"/>
        <v>ELYGASWTR</v>
      </c>
      <c r="L282" t="str">
        <f t="shared" ca="1" si="42"/>
        <v>dom</v>
      </c>
      <c r="M282" t="str">
        <f t="shared" ca="1" si="39"/>
        <v>LEATHER</v>
      </c>
      <c r="N282">
        <f t="shared" ca="1" si="40"/>
        <v>6.1371248532701267E-10</v>
      </c>
    </row>
    <row r="283" spans="6:14" x14ac:dyDescent="0.35">
      <c r="F283">
        <f t="shared" si="46"/>
        <v>4</v>
      </c>
      <c r="G283">
        <f t="shared" si="44"/>
        <v>17</v>
      </c>
      <c r="H283">
        <f t="shared" si="45"/>
        <v>0</v>
      </c>
      <c r="K283" t="str">
        <f t="shared" ca="1" si="41"/>
        <v>CNS</v>
      </c>
      <c r="L283" t="str">
        <f t="shared" ca="1" si="42"/>
        <v>dom</v>
      </c>
      <c r="M283" t="str">
        <f t="shared" ca="1" si="39"/>
        <v>LEATHER</v>
      </c>
      <c r="N283">
        <f t="shared" ca="1" si="40"/>
        <v>0.89339016621863854</v>
      </c>
    </row>
    <row r="284" spans="6:14" x14ac:dyDescent="0.35">
      <c r="F284">
        <f t="shared" si="46"/>
        <v>4</v>
      </c>
      <c r="G284">
        <f t="shared" si="44"/>
        <v>18</v>
      </c>
      <c r="H284">
        <f t="shared" si="45"/>
        <v>0</v>
      </c>
      <c r="K284" t="str">
        <f t="shared" ca="1" si="41"/>
        <v>TRD</v>
      </c>
      <c r="L284" t="str">
        <f t="shared" ca="1" si="42"/>
        <v>dom</v>
      </c>
      <c r="M284" t="str">
        <f t="shared" ca="1" si="39"/>
        <v>LEATHER</v>
      </c>
      <c r="N284">
        <f t="shared" ca="1" si="40"/>
        <v>0.14284713129382959</v>
      </c>
    </row>
    <row r="285" spans="6:14" x14ac:dyDescent="0.35">
      <c r="F285">
        <f t="shared" si="46"/>
        <v>4</v>
      </c>
      <c r="G285">
        <f t="shared" si="44"/>
        <v>19</v>
      </c>
      <c r="H285">
        <f t="shared" si="45"/>
        <v>0</v>
      </c>
      <c r="K285" t="str">
        <f t="shared" ca="1" si="41"/>
        <v>AFS</v>
      </c>
      <c r="L285" t="str">
        <f t="shared" ca="1" si="42"/>
        <v>dom</v>
      </c>
      <c r="M285" t="str">
        <f t="shared" ca="1" si="39"/>
        <v>LEATHER</v>
      </c>
      <c r="N285">
        <f t="shared" ca="1" si="40"/>
        <v>6.1371248532701267E-10</v>
      </c>
    </row>
    <row r="286" spans="6:14" x14ac:dyDescent="0.35">
      <c r="F286">
        <f t="shared" si="46"/>
        <v>4</v>
      </c>
      <c r="G286">
        <f t="shared" si="44"/>
        <v>20</v>
      </c>
      <c r="H286">
        <f t="shared" si="45"/>
        <v>0</v>
      </c>
      <c r="K286" t="str">
        <f t="shared" ca="1" si="41"/>
        <v>OTP</v>
      </c>
      <c r="L286" t="str">
        <f t="shared" ca="1" si="42"/>
        <v>dom</v>
      </c>
      <c r="M286" t="str">
        <f t="shared" ca="1" si="39"/>
        <v>LEATHER</v>
      </c>
      <c r="N286">
        <f t="shared" ca="1" si="40"/>
        <v>6.1371248532701267E-10</v>
      </c>
    </row>
    <row r="287" spans="6:14" x14ac:dyDescent="0.35">
      <c r="F287">
        <f t="shared" si="46"/>
        <v>4</v>
      </c>
      <c r="G287">
        <f t="shared" si="44"/>
        <v>21</v>
      </c>
      <c r="H287">
        <f t="shared" si="45"/>
        <v>0</v>
      </c>
      <c r="K287" t="str">
        <f t="shared" ca="1" si="41"/>
        <v>WTP</v>
      </c>
      <c r="L287" t="str">
        <f t="shared" ca="1" si="42"/>
        <v>dom</v>
      </c>
      <c r="M287" t="str">
        <f t="shared" ca="1" si="39"/>
        <v>LEATHER</v>
      </c>
      <c r="N287">
        <f t="shared" ca="1" si="40"/>
        <v>6.1371248532701267E-10</v>
      </c>
    </row>
    <row r="288" spans="6:14" x14ac:dyDescent="0.35">
      <c r="F288">
        <f t="shared" si="46"/>
        <v>4</v>
      </c>
      <c r="G288">
        <f t="shared" si="44"/>
        <v>22</v>
      </c>
      <c r="H288">
        <f t="shared" si="45"/>
        <v>0</v>
      </c>
      <c r="K288" t="str">
        <f t="shared" ca="1" si="41"/>
        <v>ATP</v>
      </c>
      <c r="L288" t="str">
        <f t="shared" ca="1" si="42"/>
        <v>dom</v>
      </c>
      <c r="M288" t="str">
        <f t="shared" ca="1" si="39"/>
        <v>LEATHER</v>
      </c>
      <c r="N288">
        <f t="shared" ca="1" si="40"/>
        <v>6.1371248532701267E-10</v>
      </c>
    </row>
    <row r="289" spans="6:14" x14ac:dyDescent="0.35">
      <c r="F289">
        <f t="shared" si="46"/>
        <v>4</v>
      </c>
      <c r="G289">
        <f t="shared" si="44"/>
        <v>23</v>
      </c>
      <c r="H289">
        <f t="shared" si="45"/>
        <v>0</v>
      </c>
      <c r="K289" t="str">
        <f t="shared" ca="1" si="41"/>
        <v>WHS</v>
      </c>
      <c r="L289" t="str">
        <f t="shared" ca="1" si="42"/>
        <v>dom</v>
      </c>
      <c r="M289" t="str">
        <f t="shared" ca="1" si="39"/>
        <v>LEATHER</v>
      </c>
      <c r="N289">
        <f t="shared" ca="1" si="40"/>
        <v>6.1371248532701267E-10</v>
      </c>
    </row>
    <row r="290" spans="6:14" x14ac:dyDescent="0.35">
      <c r="F290">
        <f t="shared" si="46"/>
        <v>4</v>
      </c>
      <c r="G290">
        <f t="shared" si="44"/>
        <v>24</v>
      </c>
      <c r="H290">
        <f t="shared" si="45"/>
        <v>0</v>
      </c>
      <c r="K290" t="str">
        <f t="shared" ca="1" si="41"/>
        <v>CMN</v>
      </c>
      <c r="L290" t="str">
        <f t="shared" ca="1" si="42"/>
        <v>dom</v>
      </c>
      <c r="M290" t="str">
        <f t="shared" ca="1" si="39"/>
        <v>LEATHER</v>
      </c>
      <c r="N290">
        <f t="shared" ca="1" si="40"/>
        <v>6.1371248532701267E-10</v>
      </c>
    </row>
    <row r="291" spans="6:14" x14ac:dyDescent="0.35">
      <c r="F291">
        <f t="shared" si="46"/>
        <v>4</v>
      </c>
      <c r="G291">
        <f t="shared" si="44"/>
        <v>25</v>
      </c>
      <c r="H291">
        <f t="shared" si="45"/>
        <v>0</v>
      </c>
      <c r="K291" t="str">
        <f t="shared" ca="1" si="41"/>
        <v>OFI</v>
      </c>
      <c r="L291" t="str">
        <f t="shared" ca="1" si="42"/>
        <v>dom</v>
      </c>
      <c r="M291" t="str">
        <f t="shared" ca="1" si="39"/>
        <v>LEATHER</v>
      </c>
      <c r="N291">
        <f t="shared" ca="1" si="40"/>
        <v>6.1371248532701267E-10</v>
      </c>
    </row>
    <row r="292" spans="6:14" x14ac:dyDescent="0.35">
      <c r="F292">
        <f t="shared" si="46"/>
        <v>4</v>
      </c>
      <c r="G292">
        <f t="shared" si="44"/>
        <v>26</v>
      </c>
      <c r="H292">
        <f t="shared" si="45"/>
        <v>0</v>
      </c>
      <c r="K292" t="str">
        <f t="shared" ca="1" si="41"/>
        <v>RSA</v>
      </c>
      <c r="L292" t="str">
        <f t="shared" ca="1" si="42"/>
        <v>dom</v>
      </c>
      <c r="M292" t="str">
        <f t="shared" ca="1" si="39"/>
        <v>LEATHER</v>
      </c>
      <c r="N292">
        <f t="shared" ca="1" si="40"/>
        <v>6.1371248532701267E-10</v>
      </c>
    </row>
    <row r="293" spans="6:14" x14ac:dyDescent="0.35">
      <c r="F293">
        <f t="shared" ref="F293:F308" si="47">F227+1</f>
        <v>4</v>
      </c>
      <c r="G293">
        <f t="shared" si="44"/>
        <v>27</v>
      </c>
      <c r="H293">
        <f t="shared" si="45"/>
        <v>0</v>
      </c>
      <c r="K293" t="str">
        <f t="shared" ca="1" si="41"/>
        <v>OBS</v>
      </c>
      <c r="L293" t="str">
        <f t="shared" ca="1" si="42"/>
        <v>dom</v>
      </c>
      <c r="M293" t="str">
        <f t="shared" ca="1" si="39"/>
        <v>LEATHER</v>
      </c>
      <c r="N293">
        <f t="shared" ca="1" si="40"/>
        <v>6.1371248532701267E-10</v>
      </c>
    </row>
    <row r="294" spans="6:14" x14ac:dyDescent="0.35">
      <c r="F294">
        <f t="shared" si="47"/>
        <v>4</v>
      </c>
      <c r="G294">
        <f t="shared" si="44"/>
        <v>28</v>
      </c>
      <c r="H294">
        <f t="shared" si="45"/>
        <v>0</v>
      </c>
      <c r="K294" t="str">
        <f t="shared" ca="1" si="41"/>
        <v>GOV</v>
      </c>
      <c r="L294" t="str">
        <f t="shared" ca="1" si="42"/>
        <v>dom</v>
      </c>
      <c r="M294" t="str">
        <f t="shared" ca="1" si="39"/>
        <v>LEATHER</v>
      </c>
      <c r="N294">
        <f t="shared" ca="1" si="40"/>
        <v>6.1371248532701267E-10</v>
      </c>
    </row>
    <row r="295" spans="6:14" x14ac:dyDescent="0.35">
      <c r="F295">
        <f t="shared" si="47"/>
        <v>4</v>
      </c>
      <c r="G295">
        <f t="shared" si="44"/>
        <v>29</v>
      </c>
      <c r="H295">
        <f t="shared" si="45"/>
        <v>0</v>
      </c>
      <c r="K295" t="str">
        <f t="shared" ca="1" si="41"/>
        <v>EDU</v>
      </c>
      <c r="L295" t="str">
        <f t="shared" ca="1" si="42"/>
        <v>dom</v>
      </c>
      <c r="M295" t="str">
        <f t="shared" ca="1" si="39"/>
        <v>LEATHER</v>
      </c>
      <c r="N295">
        <f t="shared" ca="1" si="40"/>
        <v>6.1371248532701267E-10</v>
      </c>
    </row>
    <row r="296" spans="6:14" x14ac:dyDescent="0.35">
      <c r="F296">
        <f t="shared" si="47"/>
        <v>4</v>
      </c>
      <c r="G296">
        <f t="shared" si="44"/>
        <v>30</v>
      </c>
      <c r="H296">
        <f t="shared" si="45"/>
        <v>0</v>
      </c>
      <c r="K296" t="str">
        <f t="shared" ca="1" si="41"/>
        <v>HHT</v>
      </c>
      <c r="L296" t="str">
        <f t="shared" ca="1" si="42"/>
        <v>dom</v>
      </c>
      <c r="M296" t="str">
        <f t="shared" ca="1" si="39"/>
        <v>LEATHER</v>
      </c>
      <c r="N296">
        <f t="shared" ca="1" si="40"/>
        <v>6.1371248532701267E-10</v>
      </c>
    </row>
    <row r="297" spans="6:14" x14ac:dyDescent="0.35">
      <c r="F297">
        <f t="shared" si="47"/>
        <v>4</v>
      </c>
      <c r="G297">
        <f t="shared" si="44"/>
        <v>31</v>
      </c>
      <c r="H297">
        <f t="shared" si="45"/>
        <v>0</v>
      </c>
      <c r="K297" t="str">
        <f t="shared" ca="1" si="41"/>
        <v>REC</v>
      </c>
      <c r="L297" t="str">
        <f t="shared" ca="1" si="42"/>
        <v>dom</v>
      </c>
      <c r="M297" t="str">
        <f t="shared" ca="1" si="39"/>
        <v>LEATHER</v>
      </c>
      <c r="N297">
        <f t="shared" ca="1" si="40"/>
        <v>6.1371248532701267E-10</v>
      </c>
    </row>
    <row r="298" spans="6:14" x14ac:dyDescent="0.35">
      <c r="F298">
        <f t="shared" si="47"/>
        <v>4</v>
      </c>
      <c r="G298">
        <f t="shared" si="44"/>
        <v>32</v>
      </c>
      <c r="H298">
        <f t="shared" si="45"/>
        <v>0</v>
      </c>
      <c r="K298" t="str">
        <f t="shared" ca="1" si="41"/>
        <v>DWE</v>
      </c>
      <c r="L298" t="str">
        <f t="shared" ca="1" si="42"/>
        <v>dom</v>
      </c>
      <c r="M298" t="str">
        <f t="shared" ca="1" si="39"/>
        <v>LEATHER</v>
      </c>
      <c r="N298">
        <f t="shared" ca="1" si="40"/>
        <v>6.1371248532701267E-10</v>
      </c>
    </row>
    <row r="299" spans="6:14" x14ac:dyDescent="0.35">
      <c r="F299">
        <f t="shared" si="47"/>
        <v>4</v>
      </c>
      <c r="G299">
        <f t="shared" si="44"/>
        <v>0</v>
      </c>
      <c r="H299">
        <f t="shared" si="45"/>
        <v>1</v>
      </c>
      <c r="K299" t="str">
        <f t="shared" ca="1" si="41"/>
        <v>AG</v>
      </c>
      <c r="L299" t="str">
        <f t="shared" ca="1" si="42"/>
        <v>imp</v>
      </c>
      <c r="M299" t="str">
        <f t="shared" ca="1" si="39"/>
        <v>LEATHER</v>
      </c>
      <c r="N299">
        <f t="shared" ca="1" si="40"/>
        <v>5.6779599264768724E-3</v>
      </c>
    </row>
    <row r="300" spans="6:14" x14ac:dyDescent="0.35">
      <c r="F300">
        <f t="shared" si="47"/>
        <v>4</v>
      </c>
      <c r="G300">
        <f t="shared" si="44"/>
        <v>1</v>
      </c>
      <c r="H300">
        <f t="shared" si="45"/>
        <v>1</v>
      </c>
      <c r="K300" t="str">
        <f t="shared" ca="1" si="41"/>
        <v>MIN</v>
      </c>
      <c r="L300" t="str">
        <f t="shared" ca="1" si="42"/>
        <v>imp</v>
      </c>
      <c r="M300" t="str">
        <f t="shared" ca="1" si="39"/>
        <v>LEATHER</v>
      </c>
      <c r="N300">
        <f t="shared" ca="1" si="40"/>
        <v>8.9577295156370133E-3</v>
      </c>
    </row>
    <row r="301" spans="6:14" x14ac:dyDescent="0.35">
      <c r="F301">
        <f t="shared" si="47"/>
        <v>4</v>
      </c>
      <c r="G301">
        <f t="shared" si="44"/>
        <v>2</v>
      </c>
      <c r="H301">
        <f t="shared" si="45"/>
        <v>1</v>
      </c>
      <c r="K301" t="str">
        <f t="shared" ca="1" si="41"/>
        <v>FBT</v>
      </c>
      <c r="L301" t="str">
        <f t="shared" ca="1" si="42"/>
        <v>imp</v>
      </c>
      <c r="M301" t="str">
        <f t="shared" ca="1" si="39"/>
        <v>LEATHER</v>
      </c>
      <c r="N301">
        <f t="shared" ca="1" si="40"/>
        <v>2.2414986875490287E-3</v>
      </c>
    </row>
    <row r="302" spans="6:14" x14ac:dyDescent="0.35">
      <c r="F302">
        <f t="shared" si="47"/>
        <v>4</v>
      </c>
      <c r="G302">
        <f t="shared" si="44"/>
        <v>3</v>
      </c>
      <c r="H302">
        <f t="shared" si="45"/>
        <v>1</v>
      </c>
      <c r="K302" t="str">
        <f t="shared" ca="1" si="41"/>
        <v>TEX</v>
      </c>
      <c r="L302" t="str">
        <f t="shared" ca="1" si="42"/>
        <v>imp</v>
      </c>
      <c r="M302" t="str">
        <f t="shared" ca="1" si="39"/>
        <v>LEATHER</v>
      </c>
      <c r="N302">
        <f t="shared" ca="1" si="40"/>
        <v>4.3987205929740043E-2</v>
      </c>
    </row>
    <row r="303" spans="6:14" x14ac:dyDescent="0.35">
      <c r="F303">
        <f t="shared" si="47"/>
        <v>4</v>
      </c>
      <c r="G303">
        <f t="shared" si="44"/>
        <v>4</v>
      </c>
      <c r="H303">
        <f t="shared" si="45"/>
        <v>1</v>
      </c>
      <c r="K303" t="str">
        <f t="shared" ca="1" si="41"/>
        <v>LEATHER</v>
      </c>
      <c r="L303" t="str">
        <f t="shared" ca="1" si="42"/>
        <v>imp</v>
      </c>
      <c r="M303" t="str">
        <f t="shared" ca="1" si="39"/>
        <v>LEATHER</v>
      </c>
      <c r="N303">
        <f t="shared" ca="1" si="40"/>
        <v>2.2924789153883868E-2</v>
      </c>
    </row>
    <row r="304" spans="6:14" x14ac:dyDescent="0.35">
      <c r="F304">
        <f t="shared" si="47"/>
        <v>4</v>
      </c>
      <c r="G304">
        <f t="shared" si="44"/>
        <v>5</v>
      </c>
      <c r="H304">
        <f t="shared" si="45"/>
        <v>1</v>
      </c>
      <c r="K304" t="str">
        <f t="shared" ca="1" si="41"/>
        <v>WOOD</v>
      </c>
      <c r="L304" t="str">
        <f t="shared" ca="1" si="42"/>
        <v>imp</v>
      </c>
      <c r="M304" t="str">
        <f t="shared" ca="1" si="39"/>
        <v>LEATHER</v>
      </c>
      <c r="N304">
        <f t="shared" ca="1" si="40"/>
        <v>4.1033695080182017E-4</v>
      </c>
    </row>
    <row r="305" spans="6:14" x14ac:dyDescent="0.35">
      <c r="F305">
        <f t="shared" si="47"/>
        <v>4</v>
      </c>
      <c r="G305">
        <f t="shared" si="44"/>
        <v>6</v>
      </c>
      <c r="H305">
        <f t="shared" si="45"/>
        <v>1</v>
      </c>
      <c r="K305" t="str">
        <f t="shared" ca="1" si="41"/>
        <v>PPP</v>
      </c>
      <c r="L305" t="str">
        <f t="shared" ca="1" si="42"/>
        <v>imp</v>
      </c>
      <c r="M305" t="str">
        <f t="shared" ca="1" si="39"/>
        <v>LEATHER</v>
      </c>
      <c r="N305">
        <f t="shared" ca="1" si="40"/>
        <v>5.9088106871230507E-3</v>
      </c>
    </row>
    <row r="306" spans="6:14" x14ac:dyDescent="0.35">
      <c r="F306">
        <f t="shared" si="47"/>
        <v>4</v>
      </c>
      <c r="G306">
        <f t="shared" si="44"/>
        <v>7</v>
      </c>
      <c r="H306">
        <f t="shared" si="45"/>
        <v>1</v>
      </c>
      <c r="K306" t="str">
        <f t="shared" ca="1" si="41"/>
        <v>PC</v>
      </c>
      <c r="L306" t="str">
        <f t="shared" ca="1" si="42"/>
        <v>imp</v>
      </c>
      <c r="M306" t="str">
        <f t="shared" ca="1" si="39"/>
        <v>LEATHER</v>
      </c>
      <c r="N306">
        <f t="shared" ca="1" si="40"/>
        <v>1.4879080121511378E-3</v>
      </c>
    </row>
    <row r="307" spans="6:14" x14ac:dyDescent="0.35">
      <c r="F307">
        <f t="shared" si="47"/>
        <v>4</v>
      </c>
      <c r="G307">
        <f t="shared" si="44"/>
        <v>8</v>
      </c>
      <c r="H307">
        <f t="shared" si="45"/>
        <v>1</v>
      </c>
      <c r="K307" t="str">
        <f t="shared" ca="1" si="41"/>
        <v>CHM</v>
      </c>
      <c r="L307" t="str">
        <f t="shared" ca="1" si="42"/>
        <v>imp</v>
      </c>
      <c r="M307" t="str">
        <f t="shared" ca="1" si="39"/>
        <v>LEATHER</v>
      </c>
      <c r="N307">
        <f t="shared" ca="1" si="40"/>
        <v>2.039673447848965E-2</v>
      </c>
    </row>
    <row r="308" spans="6:14" x14ac:dyDescent="0.35">
      <c r="F308">
        <f t="shared" si="47"/>
        <v>4</v>
      </c>
      <c r="G308">
        <f t="shared" si="44"/>
        <v>9</v>
      </c>
      <c r="H308">
        <f t="shared" si="45"/>
        <v>1</v>
      </c>
      <c r="K308" t="str">
        <f t="shared" ca="1" si="41"/>
        <v>RUBBER</v>
      </c>
      <c r="L308" t="str">
        <f t="shared" ca="1" si="42"/>
        <v>imp</v>
      </c>
      <c r="M308" t="str">
        <f t="shared" ca="1" si="39"/>
        <v>LEATHER</v>
      </c>
      <c r="N308">
        <f t="shared" ca="1" si="40"/>
        <v>1.5621187602714909E-2</v>
      </c>
    </row>
    <row r="309" spans="6:14" x14ac:dyDescent="0.35">
      <c r="F309">
        <f t="shared" ref="F309:F324" si="48">F243+1</f>
        <v>4</v>
      </c>
      <c r="G309">
        <f t="shared" si="44"/>
        <v>10</v>
      </c>
      <c r="H309">
        <f t="shared" si="45"/>
        <v>1</v>
      </c>
      <c r="K309" t="str">
        <f t="shared" ca="1" si="41"/>
        <v>NMM</v>
      </c>
      <c r="L309" t="str">
        <f t="shared" ca="1" si="42"/>
        <v>imp</v>
      </c>
      <c r="M309" t="str">
        <f t="shared" ca="1" si="39"/>
        <v>LEATHER</v>
      </c>
      <c r="N309">
        <f t="shared" ca="1" si="40"/>
        <v>5.8968011246098113E-3</v>
      </c>
    </row>
    <row r="310" spans="6:14" x14ac:dyDescent="0.35">
      <c r="F310">
        <f t="shared" si="48"/>
        <v>4</v>
      </c>
      <c r="G310">
        <f t="shared" si="44"/>
        <v>11</v>
      </c>
      <c r="H310">
        <f t="shared" si="45"/>
        <v>1</v>
      </c>
      <c r="K310" t="str">
        <f t="shared" ca="1" si="41"/>
        <v>METAL</v>
      </c>
      <c r="L310" t="str">
        <f t="shared" ca="1" si="42"/>
        <v>imp</v>
      </c>
      <c r="M310" t="str">
        <f t="shared" ca="1" si="39"/>
        <v>LEATHER</v>
      </c>
      <c r="N310">
        <f t="shared" ca="1" si="40"/>
        <v>7.3811071909788195E-2</v>
      </c>
    </row>
    <row r="311" spans="6:14" x14ac:dyDescent="0.35">
      <c r="F311">
        <f t="shared" si="48"/>
        <v>4</v>
      </c>
      <c r="G311">
        <f t="shared" si="44"/>
        <v>12</v>
      </c>
      <c r="H311">
        <f t="shared" si="45"/>
        <v>1</v>
      </c>
      <c r="K311" t="str">
        <f t="shared" ca="1" si="41"/>
        <v>MACH</v>
      </c>
      <c r="L311" t="str">
        <f t="shared" ca="1" si="42"/>
        <v>imp</v>
      </c>
      <c r="M311" t="str">
        <f t="shared" ca="1" si="39"/>
        <v>LEATHER</v>
      </c>
      <c r="N311">
        <f t="shared" ca="1" si="40"/>
        <v>0.28275337842336068</v>
      </c>
    </row>
    <row r="312" spans="6:14" x14ac:dyDescent="0.35">
      <c r="F312">
        <f t="shared" si="48"/>
        <v>4</v>
      </c>
      <c r="G312">
        <f t="shared" si="44"/>
        <v>13</v>
      </c>
      <c r="H312">
        <f t="shared" si="45"/>
        <v>1</v>
      </c>
      <c r="K312" t="str">
        <f t="shared" ca="1" si="41"/>
        <v>ELEC</v>
      </c>
      <c r="L312" t="str">
        <f t="shared" ca="1" si="42"/>
        <v>imp</v>
      </c>
      <c r="M312" t="str">
        <f t="shared" ca="1" si="39"/>
        <v>LEATHER</v>
      </c>
      <c r="N312">
        <f t="shared" ca="1" si="40"/>
        <v>0.15160373639585928</v>
      </c>
    </row>
    <row r="313" spans="6:14" x14ac:dyDescent="0.35">
      <c r="F313">
        <f t="shared" si="48"/>
        <v>4</v>
      </c>
      <c r="G313">
        <f t="shared" si="44"/>
        <v>14</v>
      </c>
      <c r="H313">
        <f t="shared" si="45"/>
        <v>1</v>
      </c>
      <c r="K313" t="str">
        <f t="shared" ca="1" si="41"/>
        <v>TRNEQUIP</v>
      </c>
      <c r="L313" t="str">
        <f t="shared" ca="1" si="42"/>
        <v>imp</v>
      </c>
      <c r="M313" t="str">
        <f t="shared" ca="1" si="39"/>
        <v>LEATHER</v>
      </c>
      <c r="N313">
        <f t="shared" ca="1" si="40"/>
        <v>0.2419425110198774</v>
      </c>
    </row>
    <row r="314" spans="6:14" x14ac:dyDescent="0.35">
      <c r="F314">
        <f t="shared" si="48"/>
        <v>4</v>
      </c>
      <c r="G314">
        <f t="shared" si="44"/>
        <v>15</v>
      </c>
      <c r="H314">
        <f t="shared" si="45"/>
        <v>1</v>
      </c>
      <c r="K314" t="str">
        <f t="shared" ca="1" si="41"/>
        <v>ROMAN</v>
      </c>
      <c r="L314" t="str">
        <f t="shared" ca="1" si="42"/>
        <v>imp</v>
      </c>
      <c r="M314" t="str">
        <f t="shared" ca="1" si="39"/>
        <v>LEATHER</v>
      </c>
      <c r="N314">
        <f t="shared" ca="1" si="40"/>
        <v>9.1801376853453853E-2</v>
      </c>
    </row>
    <row r="315" spans="6:14" x14ac:dyDescent="0.35">
      <c r="F315">
        <f t="shared" si="48"/>
        <v>4</v>
      </c>
      <c r="G315">
        <f t="shared" si="44"/>
        <v>16</v>
      </c>
      <c r="H315">
        <f t="shared" si="45"/>
        <v>1</v>
      </c>
      <c r="K315" t="str">
        <f t="shared" ca="1" si="41"/>
        <v>ELYGASWTR</v>
      </c>
      <c r="L315" t="str">
        <f t="shared" ca="1" si="42"/>
        <v>imp</v>
      </c>
      <c r="M315" t="str">
        <f t="shared" ca="1" si="39"/>
        <v>LEATHER</v>
      </c>
      <c r="N315">
        <f t="shared" ca="1" si="40"/>
        <v>6.1371248532701267E-10</v>
      </c>
    </row>
    <row r="316" spans="6:14" x14ac:dyDescent="0.35">
      <c r="F316">
        <f t="shared" si="48"/>
        <v>4</v>
      </c>
      <c r="G316">
        <f t="shared" si="44"/>
        <v>17</v>
      </c>
      <c r="H316">
        <f t="shared" si="45"/>
        <v>1</v>
      </c>
      <c r="K316" t="str">
        <f t="shared" ca="1" si="41"/>
        <v>CNS</v>
      </c>
      <c r="L316" t="str">
        <f t="shared" ca="1" si="42"/>
        <v>imp</v>
      </c>
      <c r="M316" t="str">
        <f t="shared" ca="1" si="39"/>
        <v>LEATHER</v>
      </c>
      <c r="N316">
        <f t="shared" ca="1" si="40"/>
        <v>1.7970648588077339E-2</v>
      </c>
    </row>
    <row r="317" spans="6:14" x14ac:dyDescent="0.35">
      <c r="F317">
        <f t="shared" si="48"/>
        <v>4</v>
      </c>
      <c r="G317">
        <f t="shared" si="44"/>
        <v>18</v>
      </c>
      <c r="H317">
        <f t="shared" si="45"/>
        <v>1</v>
      </c>
      <c r="K317" t="str">
        <f t="shared" ca="1" si="41"/>
        <v>TRD</v>
      </c>
      <c r="L317" t="str">
        <f t="shared" ca="1" si="42"/>
        <v>imp</v>
      </c>
      <c r="M317" t="str">
        <f t="shared" ca="1" si="39"/>
        <v>LEATHER</v>
      </c>
      <c r="N317">
        <f t="shared" ca="1" si="40"/>
        <v>1.5723103432059538E-3</v>
      </c>
    </row>
    <row r="318" spans="6:14" x14ac:dyDescent="0.35">
      <c r="F318">
        <f t="shared" si="48"/>
        <v>4</v>
      </c>
      <c r="G318">
        <f t="shared" si="44"/>
        <v>19</v>
      </c>
      <c r="H318">
        <f t="shared" si="45"/>
        <v>1</v>
      </c>
      <c r="K318" t="str">
        <f t="shared" ca="1" si="41"/>
        <v>AFS</v>
      </c>
      <c r="L318" t="str">
        <f t="shared" ca="1" si="42"/>
        <v>imp</v>
      </c>
      <c r="M318" t="str">
        <f t="shared" ca="1" si="39"/>
        <v>LEATHER</v>
      </c>
      <c r="N318">
        <f t="shared" ca="1" si="40"/>
        <v>6.1371248532701267E-10</v>
      </c>
    </row>
    <row r="319" spans="6:14" x14ac:dyDescent="0.35">
      <c r="F319">
        <f t="shared" si="48"/>
        <v>4</v>
      </c>
      <c r="G319">
        <f t="shared" si="44"/>
        <v>20</v>
      </c>
      <c r="H319">
        <f t="shared" si="45"/>
        <v>1</v>
      </c>
      <c r="K319" t="str">
        <f t="shared" ca="1" si="41"/>
        <v>OTP</v>
      </c>
      <c r="L319" t="str">
        <f t="shared" ca="1" si="42"/>
        <v>imp</v>
      </c>
      <c r="M319" t="str">
        <f t="shared" ca="1" si="39"/>
        <v>LEATHER</v>
      </c>
      <c r="N319">
        <f t="shared" ca="1" si="40"/>
        <v>6.1371248532701267E-10</v>
      </c>
    </row>
    <row r="320" spans="6:14" x14ac:dyDescent="0.35">
      <c r="F320">
        <f t="shared" si="48"/>
        <v>4</v>
      </c>
      <c r="G320">
        <f t="shared" si="44"/>
        <v>21</v>
      </c>
      <c r="H320">
        <f t="shared" si="45"/>
        <v>1</v>
      </c>
      <c r="K320" t="str">
        <f t="shared" ca="1" si="41"/>
        <v>WTP</v>
      </c>
      <c r="L320" t="str">
        <f t="shared" ca="1" si="42"/>
        <v>imp</v>
      </c>
      <c r="M320" t="str">
        <f t="shared" ca="1" si="39"/>
        <v>LEATHER</v>
      </c>
      <c r="N320">
        <f t="shared" ca="1" si="40"/>
        <v>6.1371248532701267E-10</v>
      </c>
    </row>
    <row r="321" spans="6:14" x14ac:dyDescent="0.35">
      <c r="F321">
        <f t="shared" si="48"/>
        <v>4</v>
      </c>
      <c r="G321">
        <f t="shared" si="44"/>
        <v>22</v>
      </c>
      <c r="H321">
        <f t="shared" si="45"/>
        <v>1</v>
      </c>
      <c r="K321" t="str">
        <f t="shared" ca="1" si="41"/>
        <v>ATP</v>
      </c>
      <c r="L321" t="str">
        <f t="shared" ca="1" si="42"/>
        <v>imp</v>
      </c>
      <c r="M321" t="str">
        <f t="shared" ca="1" si="39"/>
        <v>LEATHER</v>
      </c>
      <c r="N321">
        <f t="shared" ca="1" si="40"/>
        <v>6.1371248532701267E-10</v>
      </c>
    </row>
    <row r="322" spans="6:14" x14ac:dyDescent="0.35">
      <c r="F322">
        <f t="shared" si="48"/>
        <v>4</v>
      </c>
      <c r="G322">
        <f t="shared" si="44"/>
        <v>23</v>
      </c>
      <c r="H322">
        <f t="shared" si="45"/>
        <v>1</v>
      </c>
      <c r="K322" t="str">
        <f t="shared" ca="1" si="41"/>
        <v>WHS</v>
      </c>
      <c r="L322" t="str">
        <f t="shared" ca="1" si="42"/>
        <v>imp</v>
      </c>
      <c r="M322" t="str">
        <f t="shared" ref="M322:M385" ca="1" si="49">OFFSET(A$2,F322,0)</f>
        <v>LEATHER</v>
      </c>
      <c r="N322">
        <f t="shared" ref="N322:N385" ca="1" si="50">SUMIFS(C:C,A:A,K322,B:B,L322)*SUMIFS(U:U,S:S,M322)</f>
        <v>6.1371248532701267E-10</v>
      </c>
    </row>
    <row r="323" spans="6:14" x14ac:dyDescent="0.35">
      <c r="F323">
        <f t="shared" si="48"/>
        <v>4</v>
      </c>
      <c r="G323">
        <f t="shared" si="44"/>
        <v>24</v>
      </c>
      <c r="H323">
        <f t="shared" si="45"/>
        <v>1</v>
      </c>
      <c r="K323" t="str">
        <f t="shared" ref="K323:K386" ca="1" si="51">OFFSET(A$2,G323,0)</f>
        <v>CMN</v>
      </c>
      <c r="L323" t="str">
        <f t="shared" ref="L323:L386" ca="1" si="52">OFFSET($V$3,H323,0)</f>
        <v>imp</v>
      </c>
      <c r="M323" t="str">
        <f t="shared" ca="1" si="49"/>
        <v>LEATHER</v>
      </c>
      <c r="N323">
        <f t="shared" ca="1" si="50"/>
        <v>6.1371248532701267E-10</v>
      </c>
    </row>
    <row r="324" spans="6:14" x14ac:dyDescent="0.35">
      <c r="F324">
        <f t="shared" si="48"/>
        <v>4</v>
      </c>
      <c r="G324">
        <f t="shared" si="44"/>
        <v>25</v>
      </c>
      <c r="H324">
        <f t="shared" si="45"/>
        <v>1</v>
      </c>
      <c r="K324" t="str">
        <f t="shared" ca="1" si="51"/>
        <v>OFI</v>
      </c>
      <c r="L324" t="str">
        <f t="shared" ca="1" si="52"/>
        <v>imp</v>
      </c>
      <c r="M324" t="str">
        <f t="shared" ca="1" si="49"/>
        <v>LEATHER</v>
      </c>
      <c r="N324">
        <f t="shared" ca="1" si="50"/>
        <v>6.1371248532701267E-10</v>
      </c>
    </row>
    <row r="325" spans="6:14" x14ac:dyDescent="0.35">
      <c r="F325">
        <f t="shared" ref="F325:F340" si="53">F259+1</f>
        <v>4</v>
      </c>
      <c r="G325">
        <f t="shared" ref="G325:G388" si="54">G292</f>
        <v>26</v>
      </c>
      <c r="H325">
        <f t="shared" ref="H325:H388" si="55">H259</f>
        <v>1</v>
      </c>
      <c r="K325" t="str">
        <f t="shared" ca="1" si="51"/>
        <v>RSA</v>
      </c>
      <c r="L325" t="str">
        <f t="shared" ca="1" si="52"/>
        <v>imp</v>
      </c>
      <c r="M325" t="str">
        <f t="shared" ca="1" si="49"/>
        <v>LEATHER</v>
      </c>
      <c r="N325">
        <f t="shared" ca="1" si="50"/>
        <v>6.1371248532701267E-10</v>
      </c>
    </row>
    <row r="326" spans="6:14" x14ac:dyDescent="0.35">
      <c r="F326">
        <f t="shared" si="53"/>
        <v>4</v>
      </c>
      <c r="G326">
        <f t="shared" si="54"/>
        <v>27</v>
      </c>
      <c r="H326">
        <f t="shared" si="55"/>
        <v>1</v>
      </c>
      <c r="K326" t="str">
        <f t="shared" ca="1" si="51"/>
        <v>OBS</v>
      </c>
      <c r="L326" t="str">
        <f t="shared" ca="1" si="52"/>
        <v>imp</v>
      </c>
      <c r="M326" t="str">
        <f t="shared" ca="1" si="49"/>
        <v>LEATHER</v>
      </c>
      <c r="N326">
        <f t="shared" ca="1" si="50"/>
        <v>6.1371248532701267E-10</v>
      </c>
    </row>
    <row r="327" spans="6:14" x14ac:dyDescent="0.35">
      <c r="F327">
        <f t="shared" si="53"/>
        <v>4</v>
      </c>
      <c r="G327">
        <f t="shared" si="54"/>
        <v>28</v>
      </c>
      <c r="H327">
        <f t="shared" si="55"/>
        <v>1</v>
      </c>
      <c r="K327" t="str">
        <f t="shared" ca="1" si="51"/>
        <v>GOV</v>
      </c>
      <c r="L327" t="str">
        <f t="shared" ca="1" si="52"/>
        <v>imp</v>
      </c>
      <c r="M327" t="str">
        <f t="shared" ca="1" si="49"/>
        <v>LEATHER</v>
      </c>
      <c r="N327">
        <f t="shared" ca="1" si="50"/>
        <v>6.1371248532701267E-10</v>
      </c>
    </row>
    <row r="328" spans="6:14" x14ac:dyDescent="0.35">
      <c r="F328">
        <f t="shared" si="53"/>
        <v>4</v>
      </c>
      <c r="G328">
        <f t="shared" si="54"/>
        <v>29</v>
      </c>
      <c r="H328">
        <f t="shared" si="55"/>
        <v>1</v>
      </c>
      <c r="K328" t="str">
        <f t="shared" ca="1" si="51"/>
        <v>EDU</v>
      </c>
      <c r="L328" t="str">
        <f t="shared" ca="1" si="52"/>
        <v>imp</v>
      </c>
      <c r="M328" t="str">
        <f t="shared" ca="1" si="49"/>
        <v>LEATHER</v>
      </c>
      <c r="N328">
        <f t="shared" ca="1" si="50"/>
        <v>6.1371248532701267E-10</v>
      </c>
    </row>
    <row r="329" spans="6:14" x14ac:dyDescent="0.35">
      <c r="F329">
        <f t="shared" si="53"/>
        <v>4</v>
      </c>
      <c r="G329">
        <f t="shared" si="54"/>
        <v>30</v>
      </c>
      <c r="H329">
        <f t="shared" si="55"/>
        <v>1</v>
      </c>
      <c r="K329" t="str">
        <f t="shared" ca="1" si="51"/>
        <v>HHT</v>
      </c>
      <c r="L329" t="str">
        <f t="shared" ca="1" si="52"/>
        <v>imp</v>
      </c>
      <c r="M329" t="str">
        <f t="shared" ca="1" si="49"/>
        <v>LEATHER</v>
      </c>
      <c r="N329">
        <f t="shared" ca="1" si="50"/>
        <v>6.1371248532701267E-10</v>
      </c>
    </row>
    <row r="330" spans="6:14" x14ac:dyDescent="0.35">
      <c r="F330">
        <f t="shared" si="53"/>
        <v>4</v>
      </c>
      <c r="G330">
        <f t="shared" si="54"/>
        <v>31</v>
      </c>
      <c r="H330">
        <f t="shared" si="55"/>
        <v>1</v>
      </c>
      <c r="K330" t="str">
        <f t="shared" ca="1" si="51"/>
        <v>REC</v>
      </c>
      <c r="L330" t="str">
        <f t="shared" ca="1" si="52"/>
        <v>imp</v>
      </c>
      <c r="M330" t="str">
        <f t="shared" ca="1" si="49"/>
        <v>LEATHER</v>
      </c>
      <c r="N330">
        <f t="shared" ca="1" si="50"/>
        <v>6.1371248532701267E-10</v>
      </c>
    </row>
    <row r="331" spans="6:14" x14ac:dyDescent="0.35">
      <c r="F331">
        <f t="shared" si="53"/>
        <v>4</v>
      </c>
      <c r="G331">
        <f t="shared" si="54"/>
        <v>32</v>
      </c>
      <c r="H331">
        <f t="shared" si="55"/>
        <v>1</v>
      </c>
      <c r="K331" t="str">
        <f t="shared" ca="1" si="51"/>
        <v>DWE</v>
      </c>
      <c r="L331" t="str">
        <f t="shared" ca="1" si="52"/>
        <v>imp</v>
      </c>
      <c r="M331" t="str">
        <f t="shared" ca="1" si="49"/>
        <v>LEATHER</v>
      </c>
      <c r="N331">
        <f t="shared" ca="1" si="50"/>
        <v>6.1371248532701267E-10</v>
      </c>
    </row>
    <row r="332" spans="6:14" x14ac:dyDescent="0.35">
      <c r="F332">
        <f t="shared" si="53"/>
        <v>5</v>
      </c>
      <c r="G332">
        <f t="shared" si="54"/>
        <v>0</v>
      </c>
      <c r="H332">
        <f t="shared" si="55"/>
        <v>0</v>
      </c>
      <c r="K332" t="str">
        <f t="shared" ca="1" si="51"/>
        <v>AG</v>
      </c>
      <c r="L332" t="str">
        <f t="shared" ca="1" si="52"/>
        <v>dom</v>
      </c>
      <c r="M332" t="str">
        <f t="shared" ca="1" si="49"/>
        <v>WOOD</v>
      </c>
      <c r="N332">
        <f t="shared" ca="1" si="50"/>
        <v>3.4057545464290614E-2</v>
      </c>
    </row>
    <row r="333" spans="6:14" x14ac:dyDescent="0.35">
      <c r="F333">
        <f t="shared" si="53"/>
        <v>5</v>
      </c>
      <c r="G333">
        <f t="shared" si="54"/>
        <v>1</v>
      </c>
      <c r="H333">
        <f t="shared" si="55"/>
        <v>0</v>
      </c>
      <c r="K333" t="str">
        <f t="shared" ca="1" si="51"/>
        <v>MIN</v>
      </c>
      <c r="L333" t="str">
        <f t="shared" ca="1" si="52"/>
        <v>dom</v>
      </c>
      <c r="M333" t="str">
        <f t="shared" ca="1" si="49"/>
        <v>WOOD</v>
      </c>
      <c r="N333">
        <f t="shared" ca="1" si="50"/>
        <v>5.941056595441558E-2</v>
      </c>
    </row>
    <row r="334" spans="6:14" x14ac:dyDescent="0.35">
      <c r="F334">
        <f t="shared" si="53"/>
        <v>5</v>
      </c>
      <c r="G334">
        <f t="shared" si="54"/>
        <v>2</v>
      </c>
      <c r="H334">
        <f t="shared" si="55"/>
        <v>0</v>
      </c>
      <c r="K334" t="str">
        <f t="shared" ca="1" si="51"/>
        <v>FBT</v>
      </c>
      <c r="L334" t="str">
        <f t="shared" ca="1" si="52"/>
        <v>dom</v>
      </c>
      <c r="M334" t="str">
        <f t="shared" ca="1" si="49"/>
        <v>WOOD</v>
      </c>
      <c r="N334">
        <f t="shared" ca="1" si="50"/>
        <v>0.10003484925881555</v>
      </c>
    </row>
    <row r="335" spans="6:14" x14ac:dyDescent="0.35">
      <c r="F335">
        <f t="shared" si="53"/>
        <v>5</v>
      </c>
      <c r="G335">
        <f t="shared" si="54"/>
        <v>3</v>
      </c>
      <c r="H335">
        <f t="shared" si="55"/>
        <v>0</v>
      </c>
      <c r="K335" t="str">
        <f t="shared" ca="1" si="51"/>
        <v>TEX</v>
      </c>
      <c r="L335" t="str">
        <f t="shared" ca="1" si="52"/>
        <v>dom</v>
      </c>
      <c r="M335" t="str">
        <f t="shared" ca="1" si="49"/>
        <v>WOOD</v>
      </c>
      <c r="N335">
        <f t="shared" ca="1" si="50"/>
        <v>0.52106682779468405</v>
      </c>
    </row>
    <row r="336" spans="6:14" x14ac:dyDescent="0.35">
      <c r="F336">
        <f t="shared" si="53"/>
        <v>5</v>
      </c>
      <c r="G336">
        <f t="shared" si="54"/>
        <v>4</v>
      </c>
      <c r="H336">
        <f t="shared" si="55"/>
        <v>0</v>
      </c>
      <c r="K336" t="str">
        <f t="shared" ca="1" si="51"/>
        <v>LEATHER</v>
      </c>
      <c r="L336" t="str">
        <f t="shared" ca="1" si="52"/>
        <v>dom</v>
      </c>
      <c r="M336" t="str">
        <f t="shared" ca="1" si="49"/>
        <v>WOOD</v>
      </c>
      <c r="N336">
        <f t="shared" ca="1" si="50"/>
        <v>3.6973954496886917E-3</v>
      </c>
    </row>
    <row r="337" spans="6:14" x14ac:dyDescent="0.35">
      <c r="F337">
        <f t="shared" si="53"/>
        <v>5</v>
      </c>
      <c r="G337">
        <f t="shared" si="54"/>
        <v>5</v>
      </c>
      <c r="H337">
        <f t="shared" si="55"/>
        <v>0</v>
      </c>
      <c r="K337" t="str">
        <f t="shared" ca="1" si="51"/>
        <v>WOOD</v>
      </c>
      <c r="L337" t="str">
        <f t="shared" ca="1" si="52"/>
        <v>dom</v>
      </c>
      <c r="M337" t="str">
        <f t="shared" ca="1" si="49"/>
        <v>WOOD</v>
      </c>
      <c r="N337">
        <f t="shared" ca="1" si="50"/>
        <v>2.2760863380083481E-2</v>
      </c>
    </row>
    <row r="338" spans="6:14" x14ac:dyDescent="0.35">
      <c r="F338">
        <f t="shared" si="53"/>
        <v>5</v>
      </c>
      <c r="G338">
        <f t="shared" si="54"/>
        <v>6</v>
      </c>
      <c r="H338">
        <f t="shared" si="55"/>
        <v>0</v>
      </c>
      <c r="K338" t="str">
        <f t="shared" ca="1" si="51"/>
        <v>PPP</v>
      </c>
      <c r="L338" t="str">
        <f t="shared" ca="1" si="52"/>
        <v>dom</v>
      </c>
      <c r="M338" t="str">
        <f t="shared" ca="1" si="49"/>
        <v>WOOD</v>
      </c>
      <c r="N338">
        <f t="shared" ca="1" si="50"/>
        <v>0.45557187631665813</v>
      </c>
    </row>
    <row r="339" spans="6:14" x14ac:dyDescent="0.35">
      <c r="F339">
        <f t="shared" si="53"/>
        <v>5</v>
      </c>
      <c r="G339">
        <f t="shared" si="54"/>
        <v>7</v>
      </c>
      <c r="H339">
        <f t="shared" si="55"/>
        <v>0</v>
      </c>
      <c r="K339" t="str">
        <f t="shared" ca="1" si="51"/>
        <v>PC</v>
      </c>
      <c r="L339" t="str">
        <f t="shared" ca="1" si="52"/>
        <v>dom</v>
      </c>
      <c r="M339" t="str">
        <f t="shared" ca="1" si="49"/>
        <v>WOOD</v>
      </c>
      <c r="N339">
        <f t="shared" ca="1" si="50"/>
        <v>6.9420379538689542E-2</v>
      </c>
    </row>
    <row r="340" spans="6:14" x14ac:dyDescent="0.35">
      <c r="F340">
        <f t="shared" si="53"/>
        <v>5</v>
      </c>
      <c r="G340">
        <f t="shared" si="54"/>
        <v>8</v>
      </c>
      <c r="H340">
        <f t="shared" si="55"/>
        <v>0</v>
      </c>
      <c r="K340" t="str">
        <f t="shared" ca="1" si="51"/>
        <v>CHM</v>
      </c>
      <c r="L340" t="str">
        <f t="shared" ca="1" si="52"/>
        <v>dom</v>
      </c>
      <c r="M340" t="str">
        <f t="shared" ca="1" si="49"/>
        <v>WOOD</v>
      </c>
      <c r="N340">
        <f t="shared" ca="1" si="50"/>
        <v>0.43229463006730806</v>
      </c>
    </row>
    <row r="341" spans="6:14" x14ac:dyDescent="0.35">
      <c r="F341">
        <f t="shared" ref="F341:F356" si="56">F275+1</f>
        <v>5</v>
      </c>
      <c r="G341">
        <f t="shared" si="54"/>
        <v>9</v>
      </c>
      <c r="H341">
        <f t="shared" si="55"/>
        <v>0</v>
      </c>
      <c r="K341" t="str">
        <f t="shared" ca="1" si="51"/>
        <v>RUBBER</v>
      </c>
      <c r="L341" t="str">
        <f t="shared" ca="1" si="52"/>
        <v>dom</v>
      </c>
      <c r="M341" t="str">
        <f t="shared" ca="1" si="49"/>
        <v>WOOD</v>
      </c>
      <c r="N341">
        <f t="shared" ca="1" si="50"/>
        <v>0.67671552945172087</v>
      </c>
    </row>
    <row r="342" spans="6:14" x14ac:dyDescent="0.35">
      <c r="F342">
        <f t="shared" si="56"/>
        <v>5</v>
      </c>
      <c r="G342">
        <f t="shared" si="54"/>
        <v>10</v>
      </c>
      <c r="H342">
        <f t="shared" si="55"/>
        <v>0</v>
      </c>
      <c r="K342" t="str">
        <f t="shared" ca="1" si="51"/>
        <v>NMM</v>
      </c>
      <c r="L342" t="str">
        <f t="shared" ca="1" si="52"/>
        <v>dom</v>
      </c>
      <c r="M342" t="str">
        <f t="shared" ca="1" si="49"/>
        <v>WOOD</v>
      </c>
      <c r="N342">
        <f t="shared" ca="1" si="50"/>
        <v>0.62689282769712129</v>
      </c>
    </row>
    <row r="343" spans="6:14" x14ac:dyDescent="0.35">
      <c r="F343">
        <f t="shared" si="56"/>
        <v>5</v>
      </c>
      <c r="G343">
        <f t="shared" si="54"/>
        <v>11</v>
      </c>
      <c r="H343">
        <f t="shared" si="55"/>
        <v>0</v>
      </c>
      <c r="K343" t="str">
        <f t="shared" ca="1" si="51"/>
        <v>METAL</v>
      </c>
      <c r="L343" t="str">
        <f t="shared" ca="1" si="52"/>
        <v>dom</v>
      </c>
      <c r="M343" t="str">
        <f t="shared" ca="1" si="49"/>
        <v>WOOD</v>
      </c>
      <c r="N343">
        <f t="shared" ca="1" si="50"/>
        <v>1.8335530401642144</v>
      </c>
    </row>
    <row r="344" spans="6:14" x14ac:dyDescent="0.35">
      <c r="F344">
        <f t="shared" si="56"/>
        <v>5</v>
      </c>
      <c r="G344">
        <f t="shared" si="54"/>
        <v>12</v>
      </c>
      <c r="H344">
        <f t="shared" si="55"/>
        <v>0</v>
      </c>
      <c r="K344" t="str">
        <f t="shared" ca="1" si="51"/>
        <v>MACH</v>
      </c>
      <c r="L344" t="str">
        <f t="shared" ca="1" si="52"/>
        <v>dom</v>
      </c>
      <c r="M344" t="str">
        <f t="shared" ca="1" si="49"/>
        <v>WOOD</v>
      </c>
      <c r="N344">
        <f t="shared" ca="1" si="50"/>
        <v>2.6539234794547131</v>
      </c>
    </row>
    <row r="345" spans="6:14" x14ac:dyDescent="0.35">
      <c r="F345">
        <f t="shared" si="56"/>
        <v>5</v>
      </c>
      <c r="G345">
        <f t="shared" si="54"/>
        <v>13</v>
      </c>
      <c r="H345">
        <f t="shared" si="55"/>
        <v>0</v>
      </c>
      <c r="K345" t="str">
        <f t="shared" ca="1" si="51"/>
        <v>ELEC</v>
      </c>
      <c r="L345" t="str">
        <f t="shared" ca="1" si="52"/>
        <v>dom</v>
      </c>
      <c r="M345" t="str">
        <f t="shared" ca="1" si="49"/>
        <v>WOOD</v>
      </c>
      <c r="N345">
        <f t="shared" ca="1" si="50"/>
        <v>0.5520737053775594</v>
      </c>
    </row>
    <row r="346" spans="6:14" x14ac:dyDescent="0.35">
      <c r="F346">
        <f t="shared" si="56"/>
        <v>5</v>
      </c>
      <c r="G346">
        <f t="shared" si="54"/>
        <v>14</v>
      </c>
      <c r="H346">
        <f t="shared" si="55"/>
        <v>0</v>
      </c>
      <c r="K346" t="str">
        <f t="shared" ca="1" si="51"/>
        <v>TRNEQUIP</v>
      </c>
      <c r="L346" t="str">
        <f t="shared" ca="1" si="52"/>
        <v>dom</v>
      </c>
      <c r="M346" t="str">
        <f t="shared" ca="1" si="49"/>
        <v>WOOD</v>
      </c>
      <c r="N346">
        <f t="shared" ca="1" si="50"/>
        <v>0.79747484167577409</v>
      </c>
    </row>
    <row r="347" spans="6:14" x14ac:dyDescent="0.35">
      <c r="F347">
        <f t="shared" si="56"/>
        <v>5</v>
      </c>
      <c r="G347">
        <f t="shared" si="54"/>
        <v>15</v>
      </c>
      <c r="H347">
        <f t="shared" si="55"/>
        <v>0</v>
      </c>
      <c r="K347" t="str">
        <f t="shared" ca="1" si="51"/>
        <v>ROMAN</v>
      </c>
      <c r="L347" t="str">
        <f t="shared" ca="1" si="52"/>
        <v>dom</v>
      </c>
      <c r="M347" t="str">
        <f t="shared" ca="1" si="49"/>
        <v>WOOD</v>
      </c>
      <c r="N347">
        <f t="shared" ca="1" si="50"/>
        <v>2.1714722139632898</v>
      </c>
    </row>
    <row r="348" spans="6:14" x14ac:dyDescent="0.35">
      <c r="F348">
        <f t="shared" si="56"/>
        <v>5</v>
      </c>
      <c r="G348">
        <f t="shared" si="54"/>
        <v>16</v>
      </c>
      <c r="H348">
        <f t="shared" si="55"/>
        <v>0</v>
      </c>
      <c r="K348" t="str">
        <f t="shared" ca="1" si="51"/>
        <v>ELYGASWTR</v>
      </c>
      <c r="L348" t="str">
        <f t="shared" ca="1" si="52"/>
        <v>dom</v>
      </c>
      <c r="M348" t="str">
        <f t="shared" ca="1" si="49"/>
        <v>WOOD</v>
      </c>
      <c r="N348">
        <f t="shared" ca="1" si="50"/>
        <v>4.9551556067427664E-8</v>
      </c>
    </row>
    <row r="349" spans="6:14" x14ac:dyDescent="0.35">
      <c r="F349">
        <f t="shared" si="56"/>
        <v>5</v>
      </c>
      <c r="G349">
        <f t="shared" si="54"/>
        <v>17</v>
      </c>
      <c r="H349">
        <f t="shared" si="55"/>
        <v>0</v>
      </c>
      <c r="K349" t="str">
        <f t="shared" ca="1" si="51"/>
        <v>CNS</v>
      </c>
      <c r="L349" t="str">
        <f t="shared" ca="1" si="52"/>
        <v>dom</v>
      </c>
      <c r="M349" t="str">
        <f t="shared" ca="1" si="49"/>
        <v>WOOD</v>
      </c>
      <c r="N349">
        <f t="shared" ca="1" si="50"/>
        <v>72.132918866532449</v>
      </c>
    </row>
    <row r="350" spans="6:14" x14ac:dyDescent="0.35">
      <c r="F350">
        <f t="shared" si="56"/>
        <v>5</v>
      </c>
      <c r="G350">
        <f t="shared" si="54"/>
        <v>18</v>
      </c>
      <c r="H350">
        <f t="shared" si="55"/>
        <v>0</v>
      </c>
      <c r="K350" t="str">
        <f t="shared" ca="1" si="51"/>
        <v>TRD</v>
      </c>
      <c r="L350" t="str">
        <f t="shared" ca="1" si="52"/>
        <v>dom</v>
      </c>
      <c r="M350" t="str">
        <f t="shared" ca="1" si="49"/>
        <v>WOOD</v>
      </c>
      <c r="N350">
        <f t="shared" ca="1" si="50"/>
        <v>11.533572812366321</v>
      </c>
    </row>
    <row r="351" spans="6:14" x14ac:dyDescent="0.35">
      <c r="F351">
        <f t="shared" si="56"/>
        <v>5</v>
      </c>
      <c r="G351">
        <f t="shared" si="54"/>
        <v>19</v>
      </c>
      <c r="H351">
        <f t="shared" si="55"/>
        <v>0</v>
      </c>
      <c r="K351" t="str">
        <f t="shared" ca="1" si="51"/>
        <v>AFS</v>
      </c>
      <c r="L351" t="str">
        <f t="shared" ca="1" si="52"/>
        <v>dom</v>
      </c>
      <c r="M351" t="str">
        <f t="shared" ca="1" si="49"/>
        <v>WOOD</v>
      </c>
      <c r="N351">
        <f t="shared" ca="1" si="50"/>
        <v>4.9551556067427664E-8</v>
      </c>
    </row>
    <row r="352" spans="6:14" x14ac:dyDescent="0.35">
      <c r="F352">
        <f t="shared" si="56"/>
        <v>5</v>
      </c>
      <c r="G352">
        <f t="shared" si="54"/>
        <v>20</v>
      </c>
      <c r="H352">
        <f t="shared" si="55"/>
        <v>0</v>
      </c>
      <c r="K352" t="str">
        <f t="shared" ca="1" si="51"/>
        <v>OTP</v>
      </c>
      <c r="L352" t="str">
        <f t="shared" ca="1" si="52"/>
        <v>dom</v>
      </c>
      <c r="M352" t="str">
        <f t="shared" ca="1" si="49"/>
        <v>WOOD</v>
      </c>
      <c r="N352">
        <f t="shared" ca="1" si="50"/>
        <v>4.9551556067427664E-8</v>
      </c>
    </row>
    <row r="353" spans="6:14" x14ac:dyDescent="0.35">
      <c r="F353">
        <f t="shared" si="56"/>
        <v>5</v>
      </c>
      <c r="G353">
        <f t="shared" si="54"/>
        <v>21</v>
      </c>
      <c r="H353">
        <f t="shared" si="55"/>
        <v>0</v>
      </c>
      <c r="K353" t="str">
        <f t="shared" ca="1" si="51"/>
        <v>WTP</v>
      </c>
      <c r="L353" t="str">
        <f t="shared" ca="1" si="52"/>
        <v>dom</v>
      </c>
      <c r="M353" t="str">
        <f t="shared" ca="1" si="49"/>
        <v>WOOD</v>
      </c>
      <c r="N353">
        <f t="shared" ca="1" si="50"/>
        <v>4.9551556067427664E-8</v>
      </c>
    </row>
    <row r="354" spans="6:14" x14ac:dyDescent="0.35">
      <c r="F354">
        <f t="shared" si="56"/>
        <v>5</v>
      </c>
      <c r="G354">
        <f t="shared" si="54"/>
        <v>22</v>
      </c>
      <c r="H354">
        <f t="shared" si="55"/>
        <v>0</v>
      </c>
      <c r="K354" t="str">
        <f t="shared" ca="1" si="51"/>
        <v>ATP</v>
      </c>
      <c r="L354" t="str">
        <f t="shared" ca="1" si="52"/>
        <v>dom</v>
      </c>
      <c r="M354" t="str">
        <f t="shared" ca="1" si="49"/>
        <v>WOOD</v>
      </c>
      <c r="N354">
        <f t="shared" ca="1" si="50"/>
        <v>4.9551556067427664E-8</v>
      </c>
    </row>
    <row r="355" spans="6:14" x14ac:dyDescent="0.35">
      <c r="F355">
        <f t="shared" si="56"/>
        <v>5</v>
      </c>
      <c r="G355">
        <f t="shared" si="54"/>
        <v>23</v>
      </c>
      <c r="H355">
        <f t="shared" si="55"/>
        <v>0</v>
      </c>
      <c r="K355" t="str">
        <f t="shared" ca="1" si="51"/>
        <v>WHS</v>
      </c>
      <c r="L355" t="str">
        <f t="shared" ca="1" si="52"/>
        <v>dom</v>
      </c>
      <c r="M355" t="str">
        <f t="shared" ca="1" si="49"/>
        <v>WOOD</v>
      </c>
      <c r="N355">
        <f t="shared" ca="1" si="50"/>
        <v>4.9551556067427664E-8</v>
      </c>
    </row>
    <row r="356" spans="6:14" x14ac:dyDescent="0.35">
      <c r="F356">
        <f t="shared" si="56"/>
        <v>5</v>
      </c>
      <c r="G356">
        <f t="shared" si="54"/>
        <v>24</v>
      </c>
      <c r="H356">
        <f t="shared" si="55"/>
        <v>0</v>
      </c>
      <c r="K356" t="str">
        <f t="shared" ca="1" si="51"/>
        <v>CMN</v>
      </c>
      <c r="L356" t="str">
        <f t="shared" ca="1" si="52"/>
        <v>dom</v>
      </c>
      <c r="M356" t="str">
        <f t="shared" ca="1" si="49"/>
        <v>WOOD</v>
      </c>
      <c r="N356">
        <f t="shared" ca="1" si="50"/>
        <v>4.9551556067427664E-8</v>
      </c>
    </row>
    <row r="357" spans="6:14" x14ac:dyDescent="0.35">
      <c r="F357">
        <f t="shared" ref="F357:F372" si="57">F291+1</f>
        <v>5</v>
      </c>
      <c r="G357">
        <f t="shared" si="54"/>
        <v>25</v>
      </c>
      <c r="H357">
        <f t="shared" si="55"/>
        <v>0</v>
      </c>
      <c r="K357" t="str">
        <f t="shared" ca="1" si="51"/>
        <v>OFI</v>
      </c>
      <c r="L357" t="str">
        <f t="shared" ca="1" si="52"/>
        <v>dom</v>
      </c>
      <c r="M357" t="str">
        <f t="shared" ca="1" si="49"/>
        <v>WOOD</v>
      </c>
      <c r="N357">
        <f t="shared" ca="1" si="50"/>
        <v>4.9551556067427664E-8</v>
      </c>
    </row>
    <row r="358" spans="6:14" x14ac:dyDescent="0.35">
      <c r="F358">
        <f t="shared" si="57"/>
        <v>5</v>
      </c>
      <c r="G358">
        <f t="shared" si="54"/>
        <v>26</v>
      </c>
      <c r="H358">
        <f t="shared" si="55"/>
        <v>0</v>
      </c>
      <c r="K358" t="str">
        <f t="shared" ca="1" si="51"/>
        <v>RSA</v>
      </c>
      <c r="L358" t="str">
        <f t="shared" ca="1" si="52"/>
        <v>dom</v>
      </c>
      <c r="M358" t="str">
        <f t="shared" ca="1" si="49"/>
        <v>WOOD</v>
      </c>
      <c r="N358">
        <f t="shared" ca="1" si="50"/>
        <v>4.9551556067427664E-8</v>
      </c>
    </row>
    <row r="359" spans="6:14" x14ac:dyDescent="0.35">
      <c r="F359">
        <f t="shared" si="57"/>
        <v>5</v>
      </c>
      <c r="G359">
        <f t="shared" si="54"/>
        <v>27</v>
      </c>
      <c r="H359">
        <f t="shared" si="55"/>
        <v>0</v>
      </c>
      <c r="K359" t="str">
        <f t="shared" ca="1" si="51"/>
        <v>OBS</v>
      </c>
      <c r="L359" t="str">
        <f t="shared" ca="1" si="52"/>
        <v>dom</v>
      </c>
      <c r="M359" t="str">
        <f t="shared" ca="1" si="49"/>
        <v>WOOD</v>
      </c>
      <c r="N359">
        <f t="shared" ca="1" si="50"/>
        <v>4.9551556067427664E-8</v>
      </c>
    </row>
    <row r="360" spans="6:14" x14ac:dyDescent="0.35">
      <c r="F360">
        <f t="shared" si="57"/>
        <v>5</v>
      </c>
      <c r="G360">
        <f t="shared" si="54"/>
        <v>28</v>
      </c>
      <c r="H360">
        <f t="shared" si="55"/>
        <v>0</v>
      </c>
      <c r="K360" t="str">
        <f t="shared" ca="1" si="51"/>
        <v>GOV</v>
      </c>
      <c r="L360" t="str">
        <f t="shared" ca="1" si="52"/>
        <v>dom</v>
      </c>
      <c r="M360" t="str">
        <f t="shared" ca="1" si="49"/>
        <v>WOOD</v>
      </c>
      <c r="N360">
        <f t="shared" ca="1" si="50"/>
        <v>4.9551556067427664E-8</v>
      </c>
    </row>
    <row r="361" spans="6:14" x14ac:dyDescent="0.35">
      <c r="F361">
        <f t="shared" si="57"/>
        <v>5</v>
      </c>
      <c r="G361">
        <f t="shared" si="54"/>
        <v>29</v>
      </c>
      <c r="H361">
        <f t="shared" si="55"/>
        <v>0</v>
      </c>
      <c r="K361" t="str">
        <f t="shared" ca="1" si="51"/>
        <v>EDU</v>
      </c>
      <c r="L361" t="str">
        <f t="shared" ca="1" si="52"/>
        <v>dom</v>
      </c>
      <c r="M361" t="str">
        <f t="shared" ca="1" si="49"/>
        <v>WOOD</v>
      </c>
      <c r="N361">
        <f t="shared" ca="1" si="50"/>
        <v>4.9551556067427664E-8</v>
      </c>
    </row>
    <row r="362" spans="6:14" x14ac:dyDescent="0.35">
      <c r="F362">
        <f t="shared" si="57"/>
        <v>5</v>
      </c>
      <c r="G362">
        <f t="shared" si="54"/>
        <v>30</v>
      </c>
      <c r="H362">
        <f t="shared" si="55"/>
        <v>0</v>
      </c>
      <c r="K362" t="str">
        <f t="shared" ca="1" si="51"/>
        <v>HHT</v>
      </c>
      <c r="L362" t="str">
        <f t="shared" ca="1" si="52"/>
        <v>dom</v>
      </c>
      <c r="M362" t="str">
        <f t="shared" ca="1" si="49"/>
        <v>WOOD</v>
      </c>
      <c r="N362">
        <f t="shared" ca="1" si="50"/>
        <v>4.9551556067427664E-8</v>
      </c>
    </row>
    <row r="363" spans="6:14" x14ac:dyDescent="0.35">
      <c r="F363">
        <f t="shared" si="57"/>
        <v>5</v>
      </c>
      <c r="G363">
        <f t="shared" si="54"/>
        <v>31</v>
      </c>
      <c r="H363">
        <f t="shared" si="55"/>
        <v>0</v>
      </c>
      <c r="K363" t="str">
        <f t="shared" ca="1" si="51"/>
        <v>REC</v>
      </c>
      <c r="L363" t="str">
        <f t="shared" ca="1" si="52"/>
        <v>dom</v>
      </c>
      <c r="M363" t="str">
        <f t="shared" ca="1" si="49"/>
        <v>WOOD</v>
      </c>
      <c r="N363">
        <f t="shared" ca="1" si="50"/>
        <v>4.9551556067427664E-8</v>
      </c>
    </row>
    <row r="364" spans="6:14" x14ac:dyDescent="0.35">
      <c r="F364">
        <f t="shared" si="57"/>
        <v>5</v>
      </c>
      <c r="G364">
        <f t="shared" si="54"/>
        <v>32</v>
      </c>
      <c r="H364">
        <f t="shared" si="55"/>
        <v>0</v>
      </c>
      <c r="K364" t="str">
        <f t="shared" ca="1" si="51"/>
        <v>DWE</v>
      </c>
      <c r="L364" t="str">
        <f t="shared" ca="1" si="52"/>
        <v>dom</v>
      </c>
      <c r="M364" t="str">
        <f t="shared" ca="1" si="49"/>
        <v>WOOD</v>
      </c>
      <c r="N364">
        <f t="shared" ca="1" si="50"/>
        <v>4.9551556067427664E-8</v>
      </c>
    </row>
    <row r="365" spans="6:14" x14ac:dyDescent="0.35">
      <c r="F365">
        <f t="shared" si="57"/>
        <v>5</v>
      </c>
      <c r="G365">
        <f t="shared" si="54"/>
        <v>0</v>
      </c>
      <c r="H365">
        <f t="shared" si="55"/>
        <v>1</v>
      </c>
      <c r="K365" t="str">
        <f t="shared" ca="1" si="51"/>
        <v>AG</v>
      </c>
      <c r="L365" t="str">
        <f t="shared" ca="1" si="52"/>
        <v>imp</v>
      </c>
      <c r="M365" t="str">
        <f t="shared" ca="1" si="49"/>
        <v>WOOD</v>
      </c>
      <c r="N365">
        <f t="shared" ca="1" si="50"/>
        <v>0.45844227773125684</v>
      </c>
    </row>
    <row r="366" spans="6:14" x14ac:dyDescent="0.35">
      <c r="F366">
        <f t="shared" si="57"/>
        <v>5</v>
      </c>
      <c r="G366">
        <f t="shared" si="54"/>
        <v>1</v>
      </c>
      <c r="H366">
        <f t="shared" si="55"/>
        <v>1</v>
      </c>
      <c r="K366" t="str">
        <f t="shared" ca="1" si="51"/>
        <v>MIN</v>
      </c>
      <c r="L366" t="str">
        <f t="shared" ca="1" si="52"/>
        <v>imp</v>
      </c>
      <c r="M366" t="str">
        <f t="shared" ca="1" si="49"/>
        <v>WOOD</v>
      </c>
      <c r="N366">
        <f t="shared" ca="1" si="50"/>
        <v>0.72325306547157209</v>
      </c>
    </row>
    <row r="367" spans="6:14" x14ac:dyDescent="0.35">
      <c r="F367">
        <f t="shared" si="57"/>
        <v>5</v>
      </c>
      <c r="G367">
        <f t="shared" si="54"/>
        <v>2</v>
      </c>
      <c r="H367">
        <f t="shared" si="55"/>
        <v>1</v>
      </c>
      <c r="K367" t="str">
        <f t="shared" ca="1" si="51"/>
        <v>FBT</v>
      </c>
      <c r="L367" t="str">
        <f t="shared" ca="1" si="52"/>
        <v>imp</v>
      </c>
      <c r="M367" t="str">
        <f t="shared" ca="1" si="49"/>
        <v>WOOD</v>
      </c>
      <c r="N367">
        <f t="shared" ca="1" si="50"/>
        <v>0.18098010150790472</v>
      </c>
    </row>
    <row r="368" spans="6:14" x14ac:dyDescent="0.35">
      <c r="F368">
        <f t="shared" si="57"/>
        <v>5</v>
      </c>
      <c r="G368">
        <f t="shared" si="54"/>
        <v>3</v>
      </c>
      <c r="H368">
        <f t="shared" si="55"/>
        <v>1</v>
      </c>
      <c r="K368" t="str">
        <f t="shared" ca="1" si="51"/>
        <v>TEX</v>
      </c>
      <c r="L368" t="str">
        <f t="shared" ca="1" si="52"/>
        <v>imp</v>
      </c>
      <c r="M368" t="str">
        <f t="shared" ca="1" si="49"/>
        <v>WOOD</v>
      </c>
      <c r="N368">
        <f t="shared" ca="1" si="50"/>
        <v>3.5515563932442999</v>
      </c>
    </row>
    <row r="369" spans="6:14" x14ac:dyDescent="0.35">
      <c r="F369">
        <f t="shared" si="57"/>
        <v>5</v>
      </c>
      <c r="G369">
        <f t="shared" si="54"/>
        <v>4</v>
      </c>
      <c r="H369">
        <f t="shared" si="55"/>
        <v>1</v>
      </c>
      <c r="K369" t="str">
        <f t="shared" ca="1" si="51"/>
        <v>LEATHER</v>
      </c>
      <c r="L369" t="str">
        <f t="shared" ca="1" si="52"/>
        <v>imp</v>
      </c>
      <c r="M369" t="str">
        <f t="shared" ca="1" si="49"/>
        <v>WOOD</v>
      </c>
      <c r="N369">
        <f t="shared" ca="1" si="50"/>
        <v>1.8509627916195086</v>
      </c>
    </row>
    <row r="370" spans="6:14" x14ac:dyDescent="0.35">
      <c r="F370">
        <f t="shared" si="57"/>
        <v>5</v>
      </c>
      <c r="G370">
        <f t="shared" si="54"/>
        <v>5</v>
      </c>
      <c r="H370">
        <f t="shared" si="55"/>
        <v>1</v>
      </c>
      <c r="K370" t="str">
        <f t="shared" ca="1" si="51"/>
        <v>WOOD</v>
      </c>
      <c r="L370" t="str">
        <f t="shared" ca="1" si="52"/>
        <v>imp</v>
      </c>
      <c r="M370" t="str">
        <f t="shared" ca="1" si="49"/>
        <v>WOOD</v>
      </c>
      <c r="N370">
        <f t="shared" ca="1" si="50"/>
        <v>3.3130879541027232E-2</v>
      </c>
    </row>
    <row r="371" spans="6:14" x14ac:dyDescent="0.35">
      <c r="F371">
        <f t="shared" si="57"/>
        <v>5</v>
      </c>
      <c r="G371">
        <f t="shared" si="54"/>
        <v>6</v>
      </c>
      <c r="H371">
        <f t="shared" si="55"/>
        <v>1</v>
      </c>
      <c r="K371" t="str">
        <f t="shared" ca="1" si="51"/>
        <v>PPP</v>
      </c>
      <c r="L371" t="str">
        <f t="shared" ca="1" si="52"/>
        <v>imp</v>
      </c>
      <c r="M371" t="str">
        <f t="shared" ca="1" si="49"/>
        <v>WOOD</v>
      </c>
      <c r="N371">
        <f t="shared" ca="1" si="50"/>
        <v>0.47708132237000528</v>
      </c>
    </row>
    <row r="372" spans="6:14" x14ac:dyDescent="0.35">
      <c r="F372">
        <f t="shared" si="57"/>
        <v>5</v>
      </c>
      <c r="G372">
        <f t="shared" si="54"/>
        <v>7</v>
      </c>
      <c r="H372">
        <f t="shared" si="55"/>
        <v>1</v>
      </c>
      <c r="K372" t="str">
        <f t="shared" ca="1" si="51"/>
        <v>PC</v>
      </c>
      <c r="L372" t="str">
        <f t="shared" ca="1" si="52"/>
        <v>imp</v>
      </c>
      <c r="M372" t="str">
        <f t="shared" ca="1" si="49"/>
        <v>WOOD</v>
      </c>
      <c r="N372">
        <f t="shared" ca="1" si="50"/>
        <v>0.12013468692590862</v>
      </c>
    </row>
    <row r="373" spans="6:14" x14ac:dyDescent="0.35">
      <c r="F373">
        <f t="shared" ref="F373:F388" si="58">F307+1</f>
        <v>5</v>
      </c>
      <c r="G373">
        <f t="shared" si="54"/>
        <v>8</v>
      </c>
      <c r="H373">
        <f t="shared" si="55"/>
        <v>1</v>
      </c>
      <c r="K373" t="str">
        <f t="shared" ca="1" si="51"/>
        <v>CHM</v>
      </c>
      <c r="L373" t="str">
        <f t="shared" ca="1" si="52"/>
        <v>imp</v>
      </c>
      <c r="M373" t="str">
        <f t="shared" ca="1" si="49"/>
        <v>WOOD</v>
      </c>
      <c r="N373">
        <f t="shared" ca="1" si="50"/>
        <v>1.6468459682138865</v>
      </c>
    </row>
    <row r="374" spans="6:14" x14ac:dyDescent="0.35">
      <c r="F374">
        <f t="shared" si="58"/>
        <v>5</v>
      </c>
      <c r="G374">
        <f t="shared" si="54"/>
        <v>9</v>
      </c>
      <c r="H374">
        <f t="shared" si="55"/>
        <v>1</v>
      </c>
      <c r="K374" t="str">
        <f t="shared" ca="1" si="51"/>
        <v>RUBBER</v>
      </c>
      <c r="L374" t="str">
        <f t="shared" ca="1" si="52"/>
        <v>imp</v>
      </c>
      <c r="M374" t="str">
        <f t="shared" ca="1" si="49"/>
        <v>WOOD</v>
      </c>
      <c r="N374">
        <f t="shared" ca="1" si="50"/>
        <v>1.2612651230702665</v>
      </c>
    </row>
    <row r="375" spans="6:14" x14ac:dyDescent="0.35">
      <c r="F375">
        <f t="shared" si="58"/>
        <v>5</v>
      </c>
      <c r="G375">
        <f t="shared" si="54"/>
        <v>10</v>
      </c>
      <c r="H375">
        <f t="shared" si="55"/>
        <v>1</v>
      </c>
      <c r="K375" t="str">
        <f t="shared" ca="1" si="51"/>
        <v>NMM</v>
      </c>
      <c r="L375" t="str">
        <f t="shared" ca="1" si="52"/>
        <v>imp</v>
      </c>
      <c r="M375" t="str">
        <f t="shared" ca="1" si="49"/>
        <v>WOOD</v>
      </c>
      <c r="N375">
        <f t="shared" ca="1" si="50"/>
        <v>0.47611166226947299</v>
      </c>
    </row>
    <row r="376" spans="6:14" x14ac:dyDescent="0.35">
      <c r="F376">
        <f t="shared" si="58"/>
        <v>5</v>
      </c>
      <c r="G376">
        <f t="shared" si="54"/>
        <v>11</v>
      </c>
      <c r="H376">
        <f t="shared" si="55"/>
        <v>1</v>
      </c>
      <c r="K376" t="str">
        <f t="shared" ca="1" si="51"/>
        <v>METAL</v>
      </c>
      <c r="L376" t="str">
        <f t="shared" ca="1" si="52"/>
        <v>imp</v>
      </c>
      <c r="M376" t="str">
        <f t="shared" ca="1" si="49"/>
        <v>WOOD</v>
      </c>
      <c r="N376">
        <f t="shared" ca="1" si="50"/>
        <v>5.9595552568658512</v>
      </c>
    </row>
    <row r="377" spans="6:14" x14ac:dyDescent="0.35">
      <c r="F377">
        <f t="shared" si="58"/>
        <v>5</v>
      </c>
      <c r="G377">
        <f t="shared" si="54"/>
        <v>12</v>
      </c>
      <c r="H377">
        <f t="shared" si="55"/>
        <v>1</v>
      </c>
      <c r="K377" t="str">
        <f t="shared" ca="1" si="51"/>
        <v>MACH</v>
      </c>
      <c r="L377" t="str">
        <f t="shared" ca="1" si="52"/>
        <v>imp</v>
      </c>
      <c r="M377" t="str">
        <f t="shared" ca="1" si="49"/>
        <v>WOOD</v>
      </c>
      <c r="N377">
        <f t="shared" ca="1" si="50"/>
        <v>22.829696672594412</v>
      </c>
    </row>
    <row r="378" spans="6:14" x14ac:dyDescent="0.35">
      <c r="F378">
        <f t="shared" si="58"/>
        <v>5</v>
      </c>
      <c r="G378">
        <f t="shared" si="54"/>
        <v>13</v>
      </c>
      <c r="H378">
        <f t="shared" si="55"/>
        <v>1</v>
      </c>
      <c r="K378" t="str">
        <f t="shared" ca="1" si="51"/>
        <v>ELEC</v>
      </c>
      <c r="L378" t="str">
        <f t="shared" ca="1" si="52"/>
        <v>imp</v>
      </c>
      <c r="M378" t="str">
        <f t="shared" ca="1" si="49"/>
        <v>WOOD</v>
      </c>
      <c r="N378">
        <f t="shared" ca="1" si="50"/>
        <v>12.240586958318305</v>
      </c>
    </row>
    <row r="379" spans="6:14" x14ac:dyDescent="0.35">
      <c r="F379">
        <f t="shared" si="58"/>
        <v>5</v>
      </c>
      <c r="G379">
        <f t="shared" si="54"/>
        <v>14</v>
      </c>
      <c r="H379">
        <f t="shared" si="55"/>
        <v>1</v>
      </c>
      <c r="K379" t="str">
        <f t="shared" ca="1" si="51"/>
        <v>TRNEQUIP</v>
      </c>
      <c r="L379" t="str">
        <f t="shared" ca="1" si="52"/>
        <v>imp</v>
      </c>
      <c r="M379" t="str">
        <f t="shared" ca="1" si="49"/>
        <v>WOOD</v>
      </c>
      <c r="N379">
        <f t="shared" ca="1" si="50"/>
        <v>19.534599973972551</v>
      </c>
    </row>
    <row r="380" spans="6:14" x14ac:dyDescent="0.35">
      <c r="F380">
        <f t="shared" si="58"/>
        <v>5</v>
      </c>
      <c r="G380">
        <f t="shared" si="54"/>
        <v>15</v>
      </c>
      <c r="H380">
        <f t="shared" si="55"/>
        <v>1</v>
      </c>
      <c r="K380" t="str">
        <f t="shared" ca="1" si="51"/>
        <v>ROMAN</v>
      </c>
      <c r="L380" t="str">
        <f t="shared" ca="1" si="52"/>
        <v>imp</v>
      </c>
      <c r="M380" t="str">
        <f t="shared" ca="1" si="49"/>
        <v>WOOD</v>
      </c>
      <c r="N380">
        <f t="shared" ca="1" si="50"/>
        <v>7.4121044967777099</v>
      </c>
    </row>
    <row r="381" spans="6:14" x14ac:dyDescent="0.35">
      <c r="F381">
        <f t="shared" si="58"/>
        <v>5</v>
      </c>
      <c r="G381">
        <f t="shared" si="54"/>
        <v>16</v>
      </c>
      <c r="H381">
        <f t="shared" si="55"/>
        <v>1</v>
      </c>
      <c r="K381" t="str">
        <f t="shared" ca="1" si="51"/>
        <v>ELYGASWTR</v>
      </c>
      <c r="L381" t="str">
        <f t="shared" ca="1" si="52"/>
        <v>imp</v>
      </c>
      <c r="M381" t="str">
        <f t="shared" ca="1" si="49"/>
        <v>WOOD</v>
      </c>
      <c r="N381">
        <f t="shared" ca="1" si="50"/>
        <v>4.9551556067427664E-8</v>
      </c>
    </row>
    <row r="382" spans="6:14" x14ac:dyDescent="0.35">
      <c r="F382">
        <f t="shared" si="58"/>
        <v>5</v>
      </c>
      <c r="G382">
        <f t="shared" si="54"/>
        <v>17</v>
      </c>
      <c r="H382">
        <f t="shared" si="55"/>
        <v>1</v>
      </c>
      <c r="K382" t="str">
        <f t="shared" ca="1" si="51"/>
        <v>CNS</v>
      </c>
      <c r="L382" t="str">
        <f t="shared" ca="1" si="52"/>
        <v>imp</v>
      </c>
      <c r="M382" t="str">
        <f t="shared" ca="1" si="49"/>
        <v>WOOD</v>
      </c>
      <c r="N382">
        <f t="shared" ca="1" si="50"/>
        <v>1.4509621726298612</v>
      </c>
    </row>
    <row r="383" spans="6:14" x14ac:dyDescent="0.35">
      <c r="F383">
        <f t="shared" si="58"/>
        <v>5</v>
      </c>
      <c r="G383">
        <f t="shared" si="54"/>
        <v>18</v>
      </c>
      <c r="H383">
        <f t="shared" si="55"/>
        <v>1</v>
      </c>
      <c r="K383" t="str">
        <f t="shared" ca="1" si="51"/>
        <v>TRD</v>
      </c>
      <c r="L383" t="str">
        <f t="shared" ca="1" si="52"/>
        <v>imp</v>
      </c>
      <c r="M383" t="str">
        <f t="shared" ca="1" si="49"/>
        <v>WOOD</v>
      </c>
      <c r="N383">
        <f t="shared" ca="1" si="50"/>
        <v>0.12694938752183313</v>
      </c>
    </row>
    <row r="384" spans="6:14" x14ac:dyDescent="0.35">
      <c r="F384">
        <f t="shared" si="58"/>
        <v>5</v>
      </c>
      <c r="G384">
        <f t="shared" si="54"/>
        <v>19</v>
      </c>
      <c r="H384">
        <f t="shared" si="55"/>
        <v>1</v>
      </c>
      <c r="K384" t="str">
        <f t="shared" ca="1" si="51"/>
        <v>AFS</v>
      </c>
      <c r="L384" t="str">
        <f t="shared" ca="1" si="52"/>
        <v>imp</v>
      </c>
      <c r="M384" t="str">
        <f t="shared" ca="1" si="49"/>
        <v>WOOD</v>
      </c>
      <c r="N384">
        <f t="shared" ca="1" si="50"/>
        <v>4.9551556067427664E-8</v>
      </c>
    </row>
    <row r="385" spans="6:14" x14ac:dyDescent="0.35">
      <c r="F385">
        <f t="shared" si="58"/>
        <v>5</v>
      </c>
      <c r="G385">
        <f t="shared" si="54"/>
        <v>20</v>
      </c>
      <c r="H385">
        <f t="shared" si="55"/>
        <v>1</v>
      </c>
      <c r="K385" t="str">
        <f t="shared" ca="1" si="51"/>
        <v>OTP</v>
      </c>
      <c r="L385" t="str">
        <f t="shared" ca="1" si="52"/>
        <v>imp</v>
      </c>
      <c r="M385" t="str">
        <f t="shared" ca="1" si="49"/>
        <v>WOOD</v>
      </c>
      <c r="N385">
        <f t="shared" ca="1" si="50"/>
        <v>4.9551556067427664E-8</v>
      </c>
    </row>
    <row r="386" spans="6:14" x14ac:dyDescent="0.35">
      <c r="F386">
        <f t="shared" si="58"/>
        <v>5</v>
      </c>
      <c r="G386">
        <f t="shared" si="54"/>
        <v>21</v>
      </c>
      <c r="H386">
        <f t="shared" si="55"/>
        <v>1</v>
      </c>
      <c r="K386" t="str">
        <f t="shared" ca="1" si="51"/>
        <v>WTP</v>
      </c>
      <c r="L386" t="str">
        <f t="shared" ca="1" si="52"/>
        <v>imp</v>
      </c>
      <c r="M386" t="str">
        <f t="shared" ref="M386:M449" ca="1" si="59">OFFSET(A$2,F386,0)</f>
        <v>WOOD</v>
      </c>
      <c r="N386">
        <f t="shared" ref="N386:N449" ca="1" si="60">SUMIFS(C:C,A:A,K386,B:B,L386)*SUMIFS(U:U,S:S,M386)</f>
        <v>4.9551556067427664E-8</v>
      </c>
    </row>
    <row r="387" spans="6:14" x14ac:dyDescent="0.35">
      <c r="F387">
        <f t="shared" si="58"/>
        <v>5</v>
      </c>
      <c r="G387">
        <f t="shared" si="54"/>
        <v>22</v>
      </c>
      <c r="H387">
        <f t="shared" si="55"/>
        <v>1</v>
      </c>
      <c r="K387" t="str">
        <f t="shared" ref="K387:K450" ca="1" si="61">OFFSET(A$2,G387,0)</f>
        <v>ATP</v>
      </c>
      <c r="L387" t="str">
        <f t="shared" ref="L387:L450" ca="1" si="62">OFFSET($V$3,H387,0)</f>
        <v>imp</v>
      </c>
      <c r="M387" t="str">
        <f t="shared" ca="1" si="59"/>
        <v>WOOD</v>
      </c>
      <c r="N387">
        <f t="shared" ca="1" si="60"/>
        <v>4.9551556067427664E-8</v>
      </c>
    </row>
    <row r="388" spans="6:14" x14ac:dyDescent="0.35">
      <c r="F388">
        <f t="shared" si="58"/>
        <v>5</v>
      </c>
      <c r="G388">
        <f t="shared" si="54"/>
        <v>23</v>
      </c>
      <c r="H388">
        <f t="shared" si="55"/>
        <v>1</v>
      </c>
      <c r="K388" t="str">
        <f t="shared" ca="1" si="61"/>
        <v>WHS</v>
      </c>
      <c r="L388" t="str">
        <f t="shared" ca="1" si="62"/>
        <v>imp</v>
      </c>
      <c r="M388" t="str">
        <f t="shared" ca="1" si="59"/>
        <v>WOOD</v>
      </c>
      <c r="N388">
        <f t="shared" ca="1" si="60"/>
        <v>4.9551556067427664E-8</v>
      </c>
    </row>
    <row r="389" spans="6:14" x14ac:dyDescent="0.35">
      <c r="F389">
        <f t="shared" ref="F389:F404" si="63">F323+1</f>
        <v>5</v>
      </c>
      <c r="G389">
        <f t="shared" ref="G389:G452" si="64">G356</f>
        <v>24</v>
      </c>
      <c r="H389">
        <f t="shared" ref="H389:H452" si="65">H323</f>
        <v>1</v>
      </c>
      <c r="K389" t="str">
        <f t="shared" ca="1" si="61"/>
        <v>CMN</v>
      </c>
      <c r="L389" t="str">
        <f t="shared" ca="1" si="62"/>
        <v>imp</v>
      </c>
      <c r="M389" t="str">
        <f t="shared" ca="1" si="59"/>
        <v>WOOD</v>
      </c>
      <c r="N389">
        <f t="shared" ca="1" si="60"/>
        <v>4.9551556067427664E-8</v>
      </c>
    </row>
    <row r="390" spans="6:14" x14ac:dyDescent="0.35">
      <c r="F390">
        <f t="shared" si="63"/>
        <v>5</v>
      </c>
      <c r="G390">
        <f t="shared" si="64"/>
        <v>25</v>
      </c>
      <c r="H390">
        <f t="shared" si="65"/>
        <v>1</v>
      </c>
      <c r="K390" t="str">
        <f t="shared" ca="1" si="61"/>
        <v>OFI</v>
      </c>
      <c r="L390" t="str">
        <f t="shared" ca="1" si="62"/>
        <v>imp</v>
      </c>
      <c r="M390" t="str">
        <f t="shared" ca="1" si="59"/>
        <v>WOOD</v>
      </c>
      <c r="N390">
        <f t="shared" ca="1" si="60"/>
        <v>4.9551556067427664E-8</v>
      </c>
    </row>
    <row r="391" spans="6:14" x14ac:dyDescent="0.35">
      <c r="F391">
        <f t="shared" si="63"/>
        <v>5</v>
      </c>
      <c r="G391">
        <f t="shared" si="64"/>
        <v>26</v>
      </c>
      <c r="H391">
        <f t="shared" si="65"/>
        <v>1</v>
      </c>
      <c r="K391" t="str">
        <f t="shared" ca="1" si="61"/>
        <v>RSA</v>
      </c>
      <c r="L391" t="str">
        <f t="shared" ca="1" si="62"/>
        <v>imp</v>
      </c>
      <c r="M391" t="str">
        <f t="shared" ca="1" si="59"/>
        <v>WOOD</v>
      </c>
      <c r="N391">
        <f t="shared" ca="1" si="60"/>
        <v>4.9551556067427664E-8</v>
      </c>
    </row>
    <row r="392" spans="6:14" x14ac:dyDescent="0.35">
      <c r="F392">
        <f t="shared" si="63"/>
        <v>5</v>
      </c>
      <c r="G392">
        <f t="shared" si="64"/>
        <v>27</v>
      </c>
      <c r="H392">
        <f t="shared" si="65"/>
        <v>1</v>
      </c>
      <c r="K392" t="str">
        <f t="shared" ca="1" si="61"/>
        <v>OBS</v>
      </c>
      <c r="L392" t="str">
        <f t="shared" ca="1" si="62"/>
        <v>imp</v>
      </c>
      <c r="M392" t="str">
        <f t="shared" ca="1" si="59"/>
        <v>WOOD</v>
      </c>
      <c r="N392">
        <f t="shared" ca="1" si="60"/>
        <v>4.9551556067427664E-8</v>
      </c>
    </row>
    <row r="393" spans="6:14" x14ac:dyDescent="0.35">
      <c r="F393">
        <f t="shared" si="63"/>
        <v>5</v>
      </c>
      <c r="G393">
        <f t="shared" si="64"/>
        <v>28</v>
      </c>
      <c r="H393">
        <f t="shared" si="65"/>
        <v>1</v>
      </c>
      <c r="K393" t="str">
        <f t="shared" ca="1" si="61"/>
        <v>GOV</v>
      </c>
      <c r="L393" t="str">
        <f t="shared" ca="1" si="62"/>
        <v>imp</v>
      </c>
      <c r="M393" t="str">
        <f t="shared" ca="1" si="59"/>
        <v>WOOD</v>
      </c>
      <c r="N393">
        <f t="shared" ca="1" si="60"/>
        <v>4.9551556067427664E-8</v>
      </c>
    </row>
    <row r="394" spans="6:14" x14ac:dyDescent="0.35">
      <c r="F394">
        <f t="shared" si="63"/>
        <v>5</v>
      </c>
      <c r="G394">
        <f t="shared" si="64"/>
        <v>29</v>
      </c>
      <c r="H394">
        <f t="shared" si="65"/>
        <v>1</v>
      </c>
      <c r="K394" t="str">
        <f t="shared" ca="1" si="61"/>
        <v>EDU</v>
      </c>
      <c r="L394" t="str">
        <f t="shared" ca="1" si="62"/>
        <v>imp</v>
      </c>
      <c r="M394" t="str">
        <f t="shared" ca="1" si="59"/>
        <v>WOOD</v>
      </c>
      <c r="N394">
        <f t="shared" ca="1" si="60"/>
        <v>4.9551556067427664E-8</v>
      </c>
    </row>
    <row r="395" spans="6:14" x14ac:dyDescent="0.35">
      <c r="F395">
        <f t="shared" si="63"/>
        <v>5</v>
      </c>
      <c r="G395">
        <f t="shared" si="64"/>
        <v>30</v>
      </c>
      <c r="H395">
        <f t="shared" si="65"/>
        <v>1</v>
      </c>
      <c r="K395" t="str">
        <f t="shared" ca="1" si="61"/>
        <v>HHT</v>
      </c>
      <c r="L395" t="str">
        <f t="shared" ca="1" si="62"/>
        <v>imp</v>
      </c>
      <c r="M395" t="str">
        <f t="shared" ca="1" si="59"/>
        <v>WOOD</v>
      </c>
      <c r="N395">
        <f t="shared" ca="1" si="60"/>
        <v>4.9551556067427664E-8</v>
      </c>
    </row>
    <row r="396" spans="6:14" x14ac:dyDescent="0.35">
      <c r="F396">
        <f t="shared" si="63"/>
        <v>5</v>
      </c>
      <c r="G396">
        <f t="shared" si="64"/>
        <v>31</v>
      </c>
      <c r="H396">
        <f t="shared" si="65"/>
        <v>1</v>
      </c>
      <c r="K396" t="str">
        <f t="shared" ca="1" si="61"/>
        <v>REC</v>
      </c>
      <c r="L396" t="str">
        <f t="shared" ca="1" si="62"/>
        <v>imp</v>
      </c>
      <c r="M396" t="str">
        <f t="shared" ca="1" si="59"/>
        <v>WOOD</v>
      </c>
      <c r="N396">
        <f t="shared" ca="1" si="60"/>
        <v>4.9551556067427664E-8</v>
      </c>
    </row>
    <row r="397" spans="6:14" x14ac:dyDescent="0.35">
      <c r="F397">
        <f t="shared" si="63"/>
        <v>5</v>
      </c>
      <c r="G397">
        <f t="shared" si="64"/>
        <v>32</v>
      </c>
      <c r="H397">
        <f t="shared" si="65"/>
        <v>1</v>
      </c>
      <c r="K397" t="str">
        <f t="shared" ca="1" si="61"/>
        <v>DWE</v>
      </c>
      <c r="L397" t="str">
        <f t="shared" ca="1" si="62"/>
        <v>imp</v>
      </c>
      <c r="M397" t="str">
        <f t="shared" ca="1" si="59"/>
        <v>WOOD</v>
      </c>
      <c r="N397">
        <f t="shared" ca="1" si="60"/>
        <v>4.9551556067427664E-8</v>
      </c>
    </row>
    <row r="398" spans="6:14" x14ac:dyDescent="0.35">
      <c r="F398">
        <f t="shared" si="63"/>
        <v>6</v>
      </c>
      <c r="G398">
        <f t="shared" si="64"/>
        <v>0</v>
      </c>
      <c r="H398">
        <f t="shared" si="65"/>
        <v>0</v>
      </c>
      <c r="K398" t="str">
        <f t="shared" ca="1" si="61"/>
        <v>AG</v>
      </c>
      <c r="L398" t="str">
        <f t="shared" ca="1" si="62"/>
        <v>dom</v>
      </c>
      <c r="M398" t="str">
        <f t="shared" ca="1" si="59"/>
        <v>PPP</v>
      </c>
      <c r="N398">
        <f t="shared" ca="1" si="60"/>
        <v>9.731806697718097E-2</v>
      </c>
    </row>
    <row r="399" spans="6:14" x14ac:dyDescent="0.35">
      <c r="F399">
        <f t="shared" si="63"/>
        <v>6</v>
      </c>
      <c r="G399">
        <f t="shared" si="64"/>
        <v>1</v>
      </c>
      <c r="H399">
        <f t="shared" si="65"/>
        <v>0</v>
      </c>
      <c r="K399" t="str">
        <f t="shared" ca="1" si="61"/>
        <v>MIN</v>
      </c>
      <c r="L399" t="str">
        <f t="shared" ca="1" si="62"/>
        <v>dom</v>
      </c>
      <c r="M399" t="str">
        <f t="shared" ca="1" si="59"/>
        <v>PPP</v>
      </c>
      <c r="N399">
        <f t="shared" ca="1" si="60"/>
        <v>0.16976330378142448</v>
      </c>
    </row>
    <row r="400" spans="6:14" x14ac:dyDescent="0.35">
      <c r="F400">
        <f t="shared" si="63"/>
        <v>6</v>
      </c>
      <c r="G400">
        <f t="shared" si="64"/>
        <v>2</v>
      </c>
      <c r="H400">
        <f t="shared" si="65"/>
        <v>0</v>
      </c>
      <c r="K400" t="str">
        <f t="shared" ca="1" si="61"/>
        <v>FBT</v>
      </c>
      <c r="L400" t="str">
        <f t="shared" ca="1" si="62"/>
        <v>dom</v>
      </c>
      <c r="M400" t="str">
        <f t="shared" ca="1" si="59"/>
        <v>PPP</v>
      </c>
      <c r="N400">
        <f t="shared" ca="1" si="60"/>
        <v>0.28584556013964613</v>
      </c>
    </row>
    <row r="401" spans="6:14" x14ac:dyDescent="0.35">
      <c r="F401">
        <f t="shared" si="63"/>
        <v>6</v>
      </c>
      <c r="G401">
        <f t="shared" si="64"/>
        <v>3</v>
      </c>
      <c r="H401">
        <f t="shared" si="65"/>
        <v>0</v>
      </c>
      <c r="K401" t="str">
        <f t="shared" ca="1" si="61"/>
        <v>TEX</v>
      </c>
      <c r="L401" t="str">
        <f t="shared" ca="1" si="62"/>
        <v>dom</v>
      </c>
      <c r="M401" t="str">
        <f t="shared" ca="1" si="59"/>
        <v>PPP</v>
      </c>
      <c r="N401">
        <f t="shared" ca="1" si="60"/>
        <v>1.4889275124092243</v>
      </c>
    </row>
    <row r="402" spans="6:14" x14ac:dyDescent="0.35">
      <c r="F402">
        <f t="shared" si="63"/>
        <v>6</v>
      </c>
      <c r="G402">
        <f t="shared" si="64"/>
        <v>4</v>
      </c>
      <c r="H402">
        <f t="shared" si="65"/>
        <v>0</v>
      </c>
      <c r="K402" t="str">
        <f t="shared" ca="1" si="61"/>
        <v>LEATHER</v>
      </c>
      <c r="L402" t="str">
        <f t="shared" ca="1" si="62"/>
        <v>dom</v>
      </c>
      <c r="M402" t="str">
        <f t="shared" ca="1" si="59"/>
        <v>PPP</v>
      </c>
      <c r="N402">
        <f t="shared" ca="1" si="60"/>
        <v>1.0565158854187058E-2</v>
      </c>
    </row>
    <row r="403" spans="6:14" x14ac:dyDescent="0.35">
      <c r="F403">
        <f t="shared" si="63"/>
        <v>6</v>
      </c>
      <c r="G403">
        <f t="shared" si="64"/>
        <v>5</v>
      </c>
      <c r="H403">
        <f t="shared" si="65"/>
        <v>0</v>
      </c>
      <c r="K403" t="str">
        <f t="shared" ca="1" si="61"/>
        <v>WOOD</v>
      </c>
      <c r="L403" t="str">
        <f t="shared" ca="1" si="62"/>
        <v>dom</v>
      </c>
      <c r="M403" t="str">
        <f t="shared" ca="1" si="59"/>
        <v>PPP</v>
      </c>
      <c r="N403">
        <f t="shared" ca="1" si="60"/>
        <v>6.5038252072625313E-2</v>
      </c>
    </row>
    <row r="404" spans="6:14" x14ac:dyDescent="0.35">
      <c r="F404">
        <f t="shared" si="63"/>
        <v>6</v>
      </c>
      <c r="G404">
        <f t="shared" si="64"/>
        <v>6</v>
      </c>
      <c r="H404">
        <f t="shared" si="65"/>
        <v>0</v>
      </c>
      <c r="K404" t="str">
        <f t="shared" ca="1" si="61"/>
        <v>PPP</v>
      </c>
      <c r="L404" t="str">
        <f t="shared" ca="1" si="62"/>
        <v>dom</v>
      </c>
      <c r="M404" t="str">
        <f t="shared" ca="1" si="59"/>
        <v>PPP</v>
      </c>
      <c r="N404">
        <f t="shared" ca="1" si="60"/>
        <v>1.3017783215995482</v>
      </c>
    </row>
    <row r="405" spans="6:14" x14ac:dyDescent="0.35">
      <c r="F405">
        <f t="shared" ref="F405:F420" si="66">F339+1</f>
        <v>6</v>
      </c>
      <c r="G405">
        <f t="shared" si="64"/>
        <v>7</v>
      </c>
      <c r="H405">
        <f t="shared" si="65"/>
        <v>0</v>
      </c>
      <c r="K405" t="str">
        <f t="shared" ca="1" si="61"/>
        <v>PC</v>
      </c>
      <c r="L405" t="str">
        <f t="shared" ca="1" si="62"/>
        <v>dom</v>
      </c>
      <c r="M405" t="str">
        <f t="shared" ca="1" si="59"/>
        <v>PPP</v>
      </c>
      <c r="N405">
        <f t="shared" ca="1" si="60"/>
        <v>0.19836594368231963</v>
      </c>
    </row>
    <row r="406" spans="6:14" x14ac:dyDescent="0.35">
      <c r="F406">
        <f t="shared" si="66"/>
        <v>6</v>
      </c>
      <c r="G406">
        <f t="shared" si="64"/>
        <v>8</v>
      </c>
      <c r="H406">
        <f t="shared" si="65"/>
        <v>0</v>
      </c>
      <c r="K406" t="str">
        <f t="shared" ca="1" si="61"/>
        <v>CHM</v>
      </c>
      <c r="L406" t="str">
        <f t="shared" ca="1" si="62"/>
        <v>dom</v>
      </c>
      <c r="M406" t="str">
        <f t="shared" ca="1" si="59"/>
        <v>PPP</v>
      </c>
      <c r="N406">
        <f t="shared" ca="1" si="60"/>
        <v>1.2352645262377024</v>
      </c>
    </row>
    <row r="407" spans="6:14" x14ac:dyDescent="0.35">
      <c r="F407">
        <f t="shared" si="66"/>
        <v>6</v>
      </c>
      <c r="G407">
        <f t="shared" si="64"/>
        <v>9</v>
      </c>
      <c r="H407">
        <f t="shared" si="65"/>
        <v>0</v>
      </c>
      <c r="K407" t="str">
        <f t="shared" ca="1" si="61"/>
        <v>RUBBER</v>
      </c>
      <c r="L407" t="str">
        <f t="shared" ca="1" si="62"/>
        <v>dom</v>
      </c>
      <c r="M407" t="str">
        <f t="shared" ca="1" si="59"/>
        <v>PPP</v>
      </c>
      <c r="N407">
        <f t="shared" ca="1" si="60"/>
        <v>1.9336874199795711</v>
      </c>
    </row>
    <row r="408" spans="6:14" x14ac:dyDescent="0.35">
      <c r="F408">
        <f t="shared" si="66"/>
        <v>6</v>
      </c>
      <c r="G408">
        <f t="shared" si="64"/>
        <v>10</v>
      </c>
      <c r="H408">
        <f t="shared" si="65"/>
        <v>0</v>
      </c>
      <c r="K408" t="str">
        <f t="shared" ca="1" si="61"/>
        <v>NMM</v>
      </c>
      <c r="L408" t="str">
        <f t="shared" ca="1" si="62"/>
        <v>dom</v>
      </c>
      <c r="M408" t="str">
        <f t="shared" ca="1" si="59"/>
        <v>PPP</v>
      </c>
      <c r="N408">
        <f t="shared" ca="1" si="60"/>
        <v>1.7913210526962311</v>
      </c>
    </row>
    <row r="409" spans="6:14" x14ac:dyDescent="0.35">
      <c r="F409">
        <f t="shared" si="66"/>
        <v>6</v>
      </c>
      <c r="G409">
        <f t="shared" si="64"/>
        <v>11</v>
      </c>
      <c r="H409">
        <f t="shared" si="65"/>
        <v>0</v>
      </c>
      <c r="K409" t="str">
        <f t="shared" ca="1" si="61"/>
        <v>METAL</v>
      </c>
      <c r="L409" t="str">
        <f t="shared" ca="1" si="62"/>
        <v>dom</v>
      </c>
      <c r="M409" t="str">
        <f t="shared" ca="1" si="59"/>
        <v>PPP</v>
      </c>
      <c r="N409">
        <f t="shared" ca="1" si="60"/>
        <v>5.2393040994691509</v>
      </c>
    </row>
    <row r="410" spans="6:14" x14ac:dyDescent="0.35">
      <c r="F410">
        <f t="shared" si="66"/>
        <v>6</v>
      </c>
      <c r="G410">
        <f t="shared" si="64"/>
        <v>12</v>
      </c>
      <c r="H410">
        <f t="shared" si="65"/>
        <v>0</v>
      </c>
      <c r="K410" t="str">
        <f t="shared" ca="1" si="61"/>
        <v>MACH</v>
      </c>
      <c r="L410" t="str">
        <f t="shared" ca="1" si="62"/>
        <v>dom</v>
      </c>
      <c r="M410" t="str">
        <f t="shared" ca="1" si="59"/>
        <v>PPP</v>
      </c>
      <c r="N410">
        <f t="shared" ca="1" si="60"/>
        <v>7.5834796490747785</v>
      </c>
    </row>
    <row r="411" spans="6:14" x14ac:dyDescent="0.35">
      <c r="F411">
        <f t="shared" si="66"/>
        <v>6</v>
      </c>
      <c r="G411">
        <f t="shared" si="64"/>
        <v>13</v>
      </c>
      <c r="H411">
        <f t="shared" si="65"/>
        <v>0</v>
      </c>
      <c r="K411" t="str">
        <f t="shared" ca="1" si="61"/>
        <v>ELEC</v>
      </c>
      <c r="L411" t="str">
        <f t="shared" ca="1" si="62"/>
        <v>dom</v>
      </c>
      <c r="M411" t="str">
        <f t="shared" ca="1" si="59"/>
        <v>PPP</v>
      </c>
      <c r="N411">
        <f t="shared" ca="1" si="60"/>
        <v>1.5775284185587117</v>
      </c>
    </row>
    <row r="412" spans="6:14" x14ac:dyDescent="0.35">
      <c r="F412">
        <f t="shared" si="66"/>
        <v>6</v>
      </c>
      <c r="G412">
        <f t="shared" si="64"/>
        <v>14</v>
      </c>
      <c r="H412">
        <f t="shared" si="65"/>
        <v>0</v>
      </c>
      <c r="K412" t="str">
        <f t="shared" ca="1" si="61"/>
        <v>TRNEQUIP</v>
      </c>
      <c r="L412" t="str">
        <f t="shared" ca="1" si="62"/>
        <v>dom</v>
      </c>
      <c r="M412" t="str">
        <f t="shared" ca="1" si="59"/>
        <v>PPP</v>
      </c>
      <c r="N412">
        <f t="shared" ca="1" si="60"/>
        <v>2.2787522998741241</v>
      </c>
    </row>
    <row r="413" spans="6:14" x14ac:dyDescent="0.35">
      <c r="F413">
        <f t="shared" si="66"/>
        <v>6</v>
      </c>
      <c r="G413">
        <f t="shared" si="64"/>
        <v>15</v>
      </c>
      <c r="H413">
        <f t="shared" si="65"/>
        <v>0</v>
      </c>
      <c r="K413" t="str">
        <f t="shared" ca="1" si="61"/>
        <v>ROMAN</v>
      </c>
      <c r="L413" t="str">
        <f t="shared" ca="1" si="62"/>
        <v>dom</v>
      </c>
      <c r="M413" t="str">
        <f t="shared" ca="1" si="59"/>
        <v>PPP</v>
      </c>
      <c r="N413">
        <f t="shared" ca="1" si="60"/>
        <v>6.2048945535179527</v>
      </c>
    </row>
    <row r="414" spans="6:14" x14ac:dyDescent="0.35">
      <c r="F414">
        <f t="shared" si="66"/>
        <v>6</v>
      </c>
      <c r="G414">
        <f t="shared" si="64"/>
        <v>16</v>
      </c>
      <c r="H414">
        <f t="shared" si="65"/>
        <v>0</v>
      </c>
      <c r="K414" t="str">
        <f t="shared" ca="1" si="61"/>
        <v>ELYGASWTR</v>
      </c>
      <c r="L414" t="str">
        <f t="shared" ca="1" si="62"/>
        <v>dom</v>
      </c>
      <c r="M414" t="str">
        <f t="shared" ca="1" si="59"/>
        <v>PPP</v>
      </c>
      <c r="N414">
        <f t="shared" ca="1" si="60"/>
        <v>1.4159157938288922E-7</v>
      </c>
    </row>
    <row r="415" spans="6:14" x14ac:dyDescent="0.35">
      <c r="F415">
        <f t="shared" si="66"/>
        <v>6</v>
      </c>
      <c r="G415">
        <f t="shared" si="64"/>
        <v>17</v>
      </c>
      <c r="H415">
        <f t="shared" si="65"/>
        <v>0</v>
      </c>
      <c r="K415" t="str">
        <f t="shared" ca="1" si="61"/>
        <v>CNS</v>
      </c>
      <c r="L415" t="str">
        <f t="shared" ca="1" si="62"/>
        <v>dom</v>
      </c>
      <c r="M415" t="str">
        <f t="shared" ca="1" si="59"/>
        <v>PPP</v>
      </c>
      <c r="N415">
        <f t="shared" ca="1" si="60"/>
        <v>206.11691576167971</v>
      </c>
    </row>
    <row r="416" spans="6:14" x14ac:dyDescent="0.35">
      <c r="F416">
        <f t="shared" si="66"/>
        <v>6</v>
      </c>
      <c r="G416">
        <f t="shared" si="64"/>
        <v>18</v>
      </c>
      <c r="H416">
        <f t="shared" si="65"/>
        <v>0</v>
      </c>
      <c r="K416" t="str">
        <f t="shared" ca="1" si="61"/>
        <v>TRD</v>
      </c>
      <c r="L416" t="str">
        <f t="shared" ca="1" si="62"/>
        <v>dom</v>
      </c>
      <c r="M416" t="str">
        <f t="shared" ca="1" si="59"/>
        <v>PPP</v>
      </c>
      <c r="N416">
        <f t="shared" ca="1" si="60"/>
        <v>32.956720636750624</v>
      </c>
    </row>
    <row r="417" spans="6:14" x14ac:dyDescent="0.35">
      <c r="F417">
        <f t="shared" si="66"/>
        <v>6</v>
      </c>
      <c r="G417">
        <f t="shared" si="64"/>
        <v>19</v>
      </c>
      <c r="H417">
        <f t="shared" si="65"/>
        <v>0</v>
      </c>
      <c r="K417" t="str">
        <f t="shared" ca="1" si="61"/>
        <v>AFS</v>
      </c>
      <c r="L417" t="str">
        <f t="shared" ca="1" si="62"/>
        <v>dom</v>
      </c>
      <c r="M417" t="str">
        <f t="shared" ca="1" si="59"/>
        <v>PPP</v>
      </c>
      <c r="N417">
        <f t="shared" ca="1" si="60"/>
        <v>1.4159157938288922E-7</v>
      </c>
    </row>
    <row r="418" spans="6:14" x14ac:dyDescent="0.35">
      <c r="F418">
        <f t="shared" si="66"/>
        <v>6</v>
      </c>
      <c r="G418">
        <f t="shared" si="64"/>
        <v>20</v>
      </c>
      <c r="H418">
        <f t="shared" si="65"/>
        <v>0</v>
      </c>
      <c r="K418" t="str">
        <f t="shared" ca="1" si="61"/>
        <v>OTP</v>
      </c>
      <c r="L418" t="str">
        <f t="shared" ca="1" si="62"/>
        <v>dom</v>
      </c>
      <c r="M418" t="str">
        <f t="shared" ca="1" si="59"/>
        <v>PPP</v>
      </c>
      <c r="N418">
        <f t="shared" ca="1" si="60"/>
        <v>1.4159157938288922E-7</v>
      </c>
    </row>
    <row r="419" spans="6:14" x14ac:dyDescent="0.35">
      <c r="F419">
        <f t="shared" si="66"/>
        <v>6</v>
      </c>
      <c r="G419">
        <f t="shared" si="64"/>
        <v>21</v>
      </c>
      <c r="H419">
        <f t="shared" si="65"/>
        <v>0</v>
      </c>
      <c r="K419" t="str">
        <f t="shared" ca="1" si="61"/>
        <v>WTP</v>
      </c>
      <c r="L419" t="str">
        <f t="shared" ca="1" si="62"/>
        <v>dom</v>
      </c>
      <c r="M419" t="str">
        <f t="shared" ca="1" si="59"/>
        <v>PPP</v>
      </c>
      <c r="N419">
        <f t="shared" ca="1" si="60"/>
        <v>1.4159157938288922E-7</v>
      </c>
    </row>
    <row r="420" spans="6:14" x14ac:dyDescent="0.35">
      <c r="F420">
        <f t="shared" si="66"/>
        <v>6</v>
      </c>
      <c r="G420">
        <f t="shared" si="64"/>
        <v>22</v>
      </c>
      <c r="H420">
        <f t="shared" si="65"/>
        <v>0</v>
      </c>
      <c r="K420" t="str">
        <f t="shared" ca="1" si="61"/>
        <v>ATP</v>
      </c>
      <c r="L420" t="str">
        <f t="shared" ca="1" si="62"/>
        <v>dom</v>
      </c>
      <c r="M420" t="str">
        <f t="shared" ca="1" si="59"/>
        <v>PPP</v>
      </c>
      <c r="N420">
        <f t="shared" ca="1" si="60"/>
        <v>1.4159157938288922E-7</v>
      </c>
    </row>
    <row r="421" spans="6:14" x14ac:dyDescent="0.35">
      <c r="F421">
        <f t="shared" ref="F421:F436" si="67">F355+1</f>
        <v>6</v>
      </c>
      <c r="G421">
        <f t="shared" si="64"/>
        <v>23</v>
      </c>
      <c r="H421">
        <f t="shared" si="65"/>
        <v>0</v>
      </c>
      <c r="K421" t="str">
        <f t="shared" ca="1" si="61"/>
        <v>WHS</v>
      </c>
      <c r="L421" t="str">
        <f t="shared" ca="1" si="62"/>
        <v>dom</v>
      </c>
      <c r="M421" t="str">
        <f t="shared" ca="1" si="59"/>
        <v>PPP</v>
      </c>
      <c r="N421">
        <f t="shared" ca="1" si="60"/>
        <v>1.4159157938288922E-7</v>
      </c>
    </row>
    <row r="422" spans="6:14" x14ac:dyDescent="0.35">
      <c r="F422">
        <f t="shared" si="67"/>
        <v>6</v>
      </c>
      <c r="G422">
        <f t="shared" si="64"/>
        <v>24</v>
      </c>
      <c r="H422">
        <f t="shared" si="65"/>
        <v>0</v>
      </c>
      <c r="K422" t="str">
        <f t="shared" ca="1" si="61"/>
        <v>CMN</v>
      </c>
      <c r="L422" t="str">
        <f t="shared" ca="1" si="62"/>
        <v>dom</v>
      </c>
      <c r="M422" t="str">
        <f t="shared" ca="1" si="59"/>
        <v>PPP</v>
      </c>
      <c r="N422">
        <f t="shared" ca="1" si="60"/>
        <v>1.4159157938288922E-7</v>
      </c>
    </row>
    <row r="423" spans="6:14" x14ac:dyDescent="0.35">
      <c r="F423">
        <f t="shared" si="67"/>
        <v>6</v>
      </c>
      <c r="G423">
        <f t="shared" si="64"/>
        <v>25</v>
      </c>
      <c r="H423">
        <f t="shared" si="65"/>
        <v>0</v>
      </c>
      <c r="K423" t="str">
        <f t="shared" ca="1" si="61"/>
        <v>OFI</v>
      </c>
      <c r="L423" t="str">
        <f t="shared" ca="1" si="62"/>
        <v>dom</v>
      </c>
      <c r="M423" t="str">
        <f t="shared" ca="1" si="59"/>
        <v>PPP</v>
      </c>
      <c r="N423">
        <f t="shared" ca="1" si="60"/>
        <v>1.4159157938288922E-7</v>
      </c>
    </row>
    <row r="424" spans="6:14" x14ac:dyDescent="0.35">
      <c r="F424">
        <f t="shared" si="67"/>
        <v>6</v>
      </c>
      <c r="G424">
        <f t="shared" si="64"/>
        <v>26</v>
      </c>
      <c r="H424">
        <f t="shared" si="65"/>
        <v>0</v>
      </c>
      <c r="K424" t="str">
        <f t="shared" ca="1" si="61"/>
        <v>RSA</v>
      </c>
      <c r="L424" t="str">
        <f t="shared" ca="1" si="62"/>
        <v>dom</v>
      </c>
      <c r="M424" t="str">
        <f t="shared" ca="1" si="59"/>
        <v>PPP</v>
      </c>
      <c r="N424">
        <f t="shared" ca="1" si="60"/>
        <v>1.4159157938288922E-7</v>
      </c>
    </row>
    <row r="425" spans="6:14" x14ac:dyDescent="0.35">
      <c r="F425">
        <f t="shared" si="67"/>
        <v>6</v>
      </c>
      <c r="G425">
        <f t="shared" si="64"/>
        <v>27</v>
      </c>
      <c r="H425">
        <f t="shared" si="65"/>
        <v>0</v>
      </c>
      <c r="K425" t="str">
        <f t="shared" ca="1" si="61"/>
        <v>OBS</v>
      </c>
      <c r="L425" t="str">
        <f t="shared" ca="1" si="62"/>
        <v>dom</v>
      </c>
      <c r="M425" t="str">
        <f t="shared" ca="1" si="59"/>
        <v>PPP</v>
      </c>
      <c r="N425">
        <f t="shared" ca="1" si="60"/>
        <v>1.4159157938288922E-7</v>
      </c>
    </row>
    <row r="426" spans="6:14" x14ac:dyDescent="0.35">
      <c r="F426">
        <f t="shared" si="67"/>
        <v>6</v>
      </c>
      <c r="G426">
        <f t="shared" si="64"/>
        <v>28</v>
      </c>
      <c r="H426">
        <f t="shared" si="65"/>
        <v>0</v>
      </c>
      <c r="K426" t="str">
        <f t="shared" ca="1" si="61"/>
        <v>GOV</v>
      </c>
      <c r="L426" t="str">
        <f t="shared" ca="1" si="62"/>
        <v>dom</v>
      </c>
      <c r="M426" t="str">
        <f t="shared" ca="1" si="59"/>
        <v>PPP</v>
      </c>
      <c r="N426">
        <f t="shared" ca="1" si="60"/>
        <v>1.4159157938288922E-7</v>
      </c>
    </row>
    <row r="427" spans="6:14" x14ac:dyDescent="0.35">
      <c r="F427">
        <f t="shared" si="67"/>
        <v>6</v>
      </c>
      <c r="G427">
        <f t="shared" si="64"/>
        <v>29</v>
      </c>
      <c r="H427">
        <f t="shared" si="65"/>
        <v>0</v>
      </c>
      <c r="K427" t="str">
        <f t="shared" ca="1" si="61"/>
        <v>EDU</v>
      </c>
      <c r="L427" t="str">
        <f t="shared" ca="1" si="62"/>
        <v>dom</v>
      </c>
      <c r="M427" t="str">
        <f t="shared" ca="1" si="59"/>
        <v>PPP</v>
      </c>
      <c r="N427">
        <f t="shared" ca="1" si="60"/>
        <v>1.4159157938288922E-7</v>
      </c>
    </row>
    <row r="428" spans="6:14" x14ac:dyDescent="0.35">
      <c r="F428">
        <f t="shared" si="67"/>
        <v>6</v>
      </c>
      <c r="G428">
        <f t="shared" si="64"/>
        <v>30</v>
      </c>
      <c r="H428">
        <f t="shared" si="65"/>
        <v>0</v>
      </c>
      <c r="K428" t="str">
        <f t="shared" ca="1" si="61"/>
        <v>HHT</v>
      </c>
      <c r="L428" t="str">
        <f t="shared" ca="1" si="62"/>
        <v>dom</v>
      </c>
      <c r="M428" t="str">
        <f t="shared" ca="1" si="59"/>
        <v>PPP</v>
      </c>
      <c r="N428">
        <f t="shared" ca="1" si="60"/>
        <v>1.4159157938288922E-7</v>
      </c>
    </row>
    <row r="429" spans="6:14" x14ac:dyDescent="0.35">
      <c r="F429">
        <f t="shared" si="67"/>
        <v>6</v>
      </c>
      <c r="G429">
        <f t="shared" si="64"/>
        <v>31</v>
      </c>
      <c r="H429">
        <f t="shared" si="65"/>
        <v>0</v>
      </c>
      <c r="K429" t="str">
        <f t="shared" ca="1" si="61"/>
        <v>REC</v>
      </c>
      <c r="L429" t="str">
        <f t="shared" ca="1" si="62"/>
        <v>dom</v>
      </c>
      <c r="M429" t="str">
        <f t="shared" ca="1" si="59"/>
        <v>PPP</v>
      </c>
      <c r="N429">
        <f t="shared" ca="1" si="60"/>
        <v>1.4159157938288922E-7</v>
      </c>
    </row>
    <row r="430" spans="6:14" x14ac:dyDescent="0.35">
      <c r="F430">
        <f t="shared" si="67"/>
        <v>6</v>
      </c>
      <c r="G430">
        <f t="shared" si="64"/>
        <v>32</v>
      </c>
      <c r="H430">
        <f t="shared" si="65"/>
        <v>0</v>
      </c>
      <c r="K430" t="str">
        <f t="shared" ca="1" si="61"/>
        <v>DWE</v>
      </c>
      <c r="L430" t="str">
        <f t="shared" ca="1" si="62"/>
        <v>dom</v>
      </c>
      <c r="M430" t="str">
        <f t="shared" ca="1" si="59"/>
        <v>PPP</v>
      </c>
      <c r="N430">
        <f t="shared" ca="1" si="60"/>
        <v>1.4159157938288922E-7</v>
      </c>
    </row>
    <row r="431" spans="6:14" x14ac:dyDescent="0.35">
      <c r="F431">
        <f t="shared" si="67"/>
        <v>6</v>
      </c>
      <c r="G431">
        <f t="shared" si="64"/>
        <v>0</v>
      </c>
      <c r="H431">
        <f t="shared" si="65"/>
        <v>1</v>
      </c>
      <c r="K431" t="str">
        <f t="shared" ca="1" si="61"/>
        <v>AG</v>
      </c>
      <c r="L431" t="str">
        <f t="shared" ca="1" si="62"/>
        <v>imp</v>
      </c>
      <c r="M431" t="str">
        <f t="shared" ca="1" si="59"/>
        <v>PPP</v>
      </c>
      <c r="N431">
        <f t="shared" ca="1" si="60"/>
        <v>1.3099803782454154</v>
      </c>
    </row>
    <row r="432" spans="6:14" x14ac:dyDescent="0.35">
      <c r="F432">
        <f t="shared" si="67"/>
        <v>6</v>
      </c>
      <c r="G432">
        <f t="shared" si="64"/>
        <v>1</v>
      </c>
      <c r="H432">
        <f t="shared" si="65"/>
        <v>1</v>
      </c>
      <c r="K432" t="str">
        <f t="shared" ca="1" si="61"/>
        <v>MIN</v>
      </c>
      <c r="L432" t="str">
        <f t="shared" ca="1" si="62"/>
        <v>imp</v>
      </c>
      <c r="M432" t="str">
        <f t="shared" ca="1" si="59"/>
        <v>PPP</v>
      </c>
      <c r="N432">
        <f t="shared" ca="1" si="60"/>
        <v>2.0666665582466388</v>
      </c>
    </row>
    <row r="433" spans="6:14" x14ac:dyDescent="0.35">
      <c r="F433">
        <f t="shared" si="67"/>
        <v>6</v>
      </c>
      <c r="G433">
        <f t="shared" si="64"/>
        <v>2</v>
      </c>
      <c r="H433">
        <f t="shared" si="65"/>
        <v>1</v>
      </c>
      <c r="K433" t="str">
        <f t="shared" ca="1" si="61"/>
        <v>FBT</v>
      </c>
      <c r="L433" t="str">
        <f t="shared" ca="1" si="62"/>
        <v>imp</v>
      </c>
      <c r="M433" t="str">
        <f t="shared" ca="1" si="59"/>
        <v>PPP</v>
      </c>
      <c r="N433">
        <f t="shared" ca="1" si="60"/>
        <v>0.51714336426710938</v>
      </c>
    </row>
    <row r="434" spans="6:14" x14ac:dyDescent="0.35">
      <c r="F434">
        <f t="shared" si="67"/>
        <v>6</v>
      </c>
      <c r="G434">
        <f t="shared" si="64"/>
        <v>3</v>
      </c>
      <c r="H434">
        <f t="shared" si="65"/>
        <v>1</v>
      </c>
      <c r="K434" t="str">
        <f t="shared" ca="1" si="61"/>
        <v>TEX</v>
      </c>
      <c r="L434" t="str">
        <f t="shared" ca="1" si="62"/>
        <v>imp</v>
      </c>
      <c r="M434" t="str">
        <f t="shared" ca="1" si="59"/>
        <v>PPP</v>
      </c>
      <c r="N434">
        <f t="shared" ca="1" si="60"/>
        <v>10.148429613442879</v>
      </c>
    </row>
    <row r="435" spans="6:14" x14ac:dyDescent="0.35">
      <c r="F435">
        <f t="shared" si="67"/>
        <v>6</v>
      </c>
      <c r="G435">
        <f t="shared" si="64"/>
        <v>4</v>
      </c>
      <c r="H435">
        <f t="shared" si="65"/>
        <v>1</v>
      </c>
      <c r="K435" t="str">
        <f t="shared" ca="1" si="61"/>
        <v>LEATHER</v>
      </c>
      <c r="L435" t="str">
        <f t="shared" ca="1" si="62"/>
        <v>imp</v>
      </c>
      <c r="M435" t="str">
        <f t="shared" ca="1" si="59"/>
        <v>PPP</v>
      </c>
      <c r="N435">
        <f t="shared" ca="1" si="60"/>
        <v>5.2890517643429709</v>
      </c>
    </row>
    <row r="436" spans="6:14" x14ac:dyDescent="0.35">
      <c r="F436">
        <f t="shared" si="67"/>
        <v>6</v>
      </c>
      <c r="G436">
        <f t="shared" si="64"/>
        <v>5</v>
      </c>
      <c r="H436">
        <f t="shared" si="65"/>
        <v>1</v>
      </c>
      <c r="K436" t="str">
        <f t="shared" ca="1" si="61"/>
        <v>WOOD</v>
      </c>
      <c r="L436" t="str">
        <f t="shared" ca="1" si="62"/>
        <v>imp</v>
      </c>
      <c r="M436" t="str">
        <f t="shared" ca="1" si="59"/>
        <v>PPP</v>
      </c>
      <c r="N436">
        <f t="shared" ca="1" si="60"/>
        <v>9.4670156355431315E-2</v>
      </c>
    </row>
    <row r="437" spans="6:14" x14ac:dyDescent="0.35">
      <c r="F437">
        <f t="shared" ref="F437:F452" si="68">F371+1</f>
        <v>6</v>
      </c>
      <c r="G437">
        <f t="shared" si="64"/>
        <v>6</v>
      </c>
      <c r="H437">
        <f t="shared" si="65"/>
        <v>1</v>
      </c>
      <c r="K437" t="str">
        <f t="shared" ca="1" si="61"/>
        <v>PPP</v>
      </c>
      <c r="L437" t="str">
        <f t="shared" ca="1" si="62"/>
        <v>imp</v>
      </c>
      <c r="M437" t="str">
        <f t="shared" ca="1" si="59"/>
        <v>PPP</v>
      </c>
      <c r="N437">
        <f t="shared" ca="1" si="60"/>
        <v>1.3632406989707091</v>
      </c>
    </row>
    <row r="438" spans="6:14" x14ac:dyDescent="0.35">
      <c r="F438">
        <f t="shared" si="68"/>
        <v>6</v>
      </c>
      <c r="G438">
        <f t="shared" si="64"/>
        <v>7</v>
      </c>
      <c r="H438">
        <f t="shared" si="65"/>
        <v>1</v>
      </c>
      <c r="K438" t="str">
        <f t="shared" ca="1" si="61"/>
        <v>PC</v>
      </c>
      <c r="L438" t="str">
        <f t="shared" ca="1" si="62"/>
        <v>imp</v>
      </c>
      <c r="M438" t="str">
        <f t="shared" ca="1" si="59"/>
        <v>PPP</v>
      </c>
      <c r="N438">
        <f t="shared" ca="1" si="60"/>
        <v>0.34328003821639352</v>
      </c>
    </row>
    <row r="439" spans="6:14" x14ac:dyDescent="0.35">
      <c r="F439">
        <f t="shared" si="68"/>
        <v>6</v>
      </c>
      <c r="G439">
        <f t="shared" si="64"/>
        <v>8</v>
      </c>
      <c r="H439">
        <f t="shared" si="65"/>
        <v>1</v>
      </c>
      <c r="K439" t="str">
        <f t="shared" ca="1" si="61"/>
        <v>CHM</v>
      </c>
      <c r="L439" t="str">
        <f t="shared" ca="1" si="62"/>
        <v>imp</v>
      </c>
      <c r="M439" t="str">
        <f t="shared" ca="1" si="59"/>
        <v>PPP</v>
      </c>
      <c r="N439">
        <f t="shared" ca="1" si="60"/>
        <v>4.7057961473994228</v>
      </c>
    </row>
    <row r="440" spans="6:14" x14ac:dyDescent="0.35">
      <c r="F440">
        <f t="shared" si="68"/>
        <v>6</v>
      </c>
      <c r="G440">
        <f t="shared" si="64"/>
        <v>9</v>
      </c>
      <c r="H440">
        <f t="shared" si="65"/>
        <v>1</v>
      </c>
      <c r="K440" t="str">
        <f t="shared" ca="1" si="61"/>
        <v>RUBBER</v>
      </c>
      <c r="L440" t="str">
        <f t="shared" ca="1" si="62"/>
        <v>imp</v>
      </c>
      <c r="M440" t="str">
        <f t="shared" ca="1" si="59"/>
        <v>PPP</v>
      </c>
      <c r="N440">
        <f t="shared" ca="1" si="60"/>
        <v>3.6040143835859144</v>
      </c>
    </row>
    <row r="441" spans="6:14" x14ac:dyDescent="0.35">
      <c r="F441">
        <f t="shared" si="68"/>
        <v>6</v>
      </c>
      <c r="G441">
        <f t="shared" si="64"/>
        <v>10</v>
      </c>
      <c r="H441">
        <f t="shared" si="65"/>
        <v>1</v>
      </c>
      <c r="K441" t="str">
        <f t="shared" ca="1" si="61"/>
        <v>NMM</v>
      </c>
      <c r="L441" t="str">
        <f t="shared" ca="1" si="62"/>
        <v>imp</v>
      </c>
      <c r="M441" t="str">
        <f t="shared" ca="1" si="59"/>
        <v>PPP</v>
      </c>
      <c r="N441">
        <f t="shared" ca="1" si="60"/>
        <v>1.3604699342158726</v>
      </c>
    </row>
    <row r="442" spans="6:14" x14ac:dyDescent="0.35">
      <c r="F442">
        <f t="shared" si="68"/>
        <v>6</v>
      </c>
      <c r="G442">
        <f t="shared" si="64"/>
        <v>11</v>
      </c>
      <c r="H442">
        <f t="shared" si="65"/>
        <v>1</v>
      </c>
      <c r="K442" t="str">
        <f t="shared" ca="1" si="61"/>
        <v>METAL</v>
      </c>
      <c r="L442" t="str">
        <f t="shared" ca="1" si="62"/>
        <v>imp</v>
      </c>
      <c r="M442" t="str">
        <f t="shared" ca="1" si="59"/>
        <v>PPP</v>
      </c>
      <c r="N442">
        <f t="shared" ca="1" si="60"/>
        <v>17.029189559476144</v>
      </c>
    </row>
    <row r="443" spans="6:14" x14ac:dyDescent="0.35">
      <c r="F443">
        <f t="shared" si="68"/>
        <v>6</v>
      </c>
      <c r="G443">
        <f t="shared" si="64"/>
        <v>12</v>
      </c>
      <c r="H443">
        <f t="shared" si="65"/>
        <v>1</v>
      </c>
      <c r="K443" t="str">
        <f t="shared" ca="1" si="61"/>
        <v>MACH</v>
      </c>
      <c r="L443" t="str">
        <f t="shared" ca="1" si="62"/>
        <v>imp</v>
      </c>
      <c r="M443" t="str">
        <f t="shared" ca="1" si="59"/>
        <v>PPP</v>
      </c>
      <c r="N443">
        <f t="shared" ca="1" si="60"/>
        <v>65.234940438727975</v>
      </c>
    </row>
    <row r="444" spans="6:14" x14ac:dyDescent="0.35">
      <c r="F444">
        <f t="shared" si="68"/>
        <v>6</v>
      </c>
      <c r="G444">
        <f t="shared" si="64"/>
        <v>13</v>
      </c>
      <c r="H444">
        <f t="shared" si="65"/>
        <v>1</v>
      </c>
      <c r="K444" t="str">
        <f t="shared" ca="1" si="61"/>
        <v>ELEC</v>
      </c>
      <c r="L444" t="str">
        <f t="shared" ca="1" si="62"/>
        <v>imp</v>
      </c>
      <c r="M444" t="str">
        <f t="shared" ca="1" si="59"/>
        <v>PPP</v>
      </c>
      <c r="N444">
        <f t="shared" ca="1" si="60"/>
        <v>34.976985135309747</v>
      </c>
    </row>
    <row r="445" spans="6:14" x14ac:dyDescent="0.35">
      <c r="F445">
        <f t="shared" si="68"/>
        <v>6</v>
      </c>
      <c r="G445">
        <f t="shared" si="64"/>
        <v>14</v>
      </c>
      <c r="H445">
        <f t="shared" si="65"/>
        <v>1</v>
      </c>
      <c r="K445" t="str">
        <f t="shared" ca="1" si="61"/>
        <v>TRNEQUIP</v>
      </c>
      <c r="L445" t="str">
        <f t="shared" ca="1" si="62"/>
        <v>imp</v>
      </c>
      <c r="M445" t="str">
        <f t="shared" ca="1" si="59"/>
        <v>PPP</v>
      </c>
      <c r="N445">
        <f t="shared" ca="1" si="60"/>
        <v>55.819334092434012</v>
      </c>
    </row>
    <row r="446" spans="6:14" x14ac:dyDescent="0.35">
      <c r="F446">
        <f t="shared" si="68"/>
        <v>6</v>
      </c>
      <c r="G446">
        <f t="shared" si="64"/>
        <v>15</v>
      </c>
      <c r="H446">
        <f t="shared" si="65"/>
        <v>1</v>
      </c>
      <c r="K446" t="str">
        <f t="shared" ca="1" si="61"/>
        <v>ROMAN</v>
      </c>
      <c r="L446" t="str">
        <f t="shared" ca="1" si="62"/>
        <v>imp</v>
      </c>
      <c r="M446" t="str">
        <f t="shared" ca="1" si="59"/>
        <v>PPP</v>
      </c>
      <c r="N446">
        <f t="shared" ca="1" si="60"/>
        <v>21.179790616901467</v>
      </c>
    </row>
    <row r="447" spans="6:14" x14ac:dyDescent="0.35">
      <c r="F447">
        <f t="shared" si="68"/>
        <v>6</v>
      </c>
      <c r="G447">
        <f t="shared" si="64"/>
        <v>16</v>
      </c>
      <c r="H447">
        <f t="shared" si="65"/>
        <v>1</v>
      </c>
      <c r="K447" t="str">
        <f t="shared" ca="1" si="61"/>
        <v>ELYGASWTR</v>
      </c>
      <c r="L447" t="str">
        <f t="shared" ca="1" si="62"/>
        <v>imp</v>
      </c>
      <c r="M447" t="str">
        <f t="shared" ca="1" si="59"/>
        <v>PPP</v>
      </c>
      <c r="N447">
        <f t="shared" ca="1" si="60"/>
        <v>1.4159157938288922E-7</v>
      </c>
    </row>
    <row r="448" spans="6:14" x14ac:dyDescent="0.35">
      <c r="F448">
        <f t="shared" si="68"/>
        <v>6</v>
      </c>
      <c r="G448">
        <f t="shared" si="64"/>
        <v>17</v>
      </c>
      <c r="H448">
        <f t="shared" si="65"/>
        <v>1</v>
      </c>
      <c r="K448" t="str">
        <f t="shared" ca="1" si="61"/>
        <v>CNS</v>
      </c>
      <c r="L448" t="str">
        <f t="shared" ca="1" si="62"/>
        <v>imp</v>
      </c>
      <c r="M448" t="str">
        <f t="shared" ca="1" si="59"/>
        <v>PPP</v>
      </c>
      <c r="N448">
        <f t="shared" ca="1" si="60"/>
        <v>4.1460660764705519</v>
      </c>
    </row>
    <row r="449" spans="6:14" x14ac:dyDescent="0.35">
      <c r="F449">
        <f t="shared" si="68"/>
        <v>6</v>
      </c>
      <c r="G449">
        <f t="shared" si="64"/>
        <v>18</v>
      </c>
      <c r="H449">
        <f t="shared" si="65"/>
        <v>1</v>
      </c>
      <c r="K449" t="str">
        <f t="shared" ca="1" si="61"/>
        <v>TRD</v>
      </c>
      <c r="L449" t="str">
        <f t="shared" ca="1" si="62"/>
        <v>imp</v>
      </c>
      <c r="M449" t="str">
        <f t="shared" ca="1" si="59"/>
        <v>PPP</v>
      </c>
      <c r="N449">
        <f t="shared" ca="1" si="60"/>
        <v>0.36275277120353661</v>
      </c>
    </row>
    <row r="450" spans="6:14" x14ac:dyDescent="0.35">
      <c r="F450">
        <f t="shared" si="68"/>
        <v>6</v>
      </c>
      <c r="G450">
        <f t="shared" si="64"/>
        <v>19</v>
      </c>
      <c r="H450">
        <f t="shared" si="65"/>
        <v>1</v>
      </c>
      <c r="K450" t="str">
        <f t="shared" ca="1" si="61"/>
        <v>AFS</v>
      </c>
      <c r="L450" t="str">
        <f t="shared" ca="1" si="62"/>
        <v>imp</v>
      </c>
      <c r="M450" t="str">
        <f t="shared" ref="M450:M513" ca="1" si="69">OFFSET(A$2,F450,0)</f>
        <v>PPP</v>
      </c>
      <c r="N450">
        <f t="shared" ref="N450:N513" ca="1" si="70">SUMIFS(C:C,A:A,K450,B:B,L450)*SUMIFS(U:U,S:S,M450)</f>
        <v>1.4159157938288922E-7</v>
      </c>
    </row>
    <row r="451" spans="6:14" x14ac:dyDescent="0.35">
      <c r="F451">
        <f t="shared" si="68"/>
        <v>6</v>
      </c>
      <c r="G451">
        <f t="shared" si="64"/>
        <v>20</v>
      </c>
      <c r="H451">
        <f t="shared" si="65"/>
        <v>1</v>
      </c>
      <c r="K451" t="str">
        <f t="shared" ref="K451:K514" ca="1" si="71">OFFSET(A$2,G451,0)</f>
        <v>OTP</v>
      </c>
      <c r="L451" t="str">
        <f t="shared" ref="L451:L514" ca="1" si="72">OFFSET($V$3,H451,0)</f>
        <v>imp</v>
      </c>
      <c r="M451" t="str">
        <f t="shared" ca="1" si="69"/>
        <v>PPP</v>
      </c>
      <c r="N451">
        <f t="shared" ca="1" si="70"/>
        <v>1.4159157938288922E-7</v>
      </c>
    </row>
    <row r="452" spans="6:14" x14ac:dyDescent="0.35">
      <c r="F452">
        <f t="shared" si="68"/>
        <v>6</v>
      </c>
      <c r="G452">
        <f t="shared" si="64"/>
        <v>21</v>
      </c>
      <c r="H452">
        <f t="shared" si="65"/>
        <v>1</v>
      </c>
      <c r="K452" t="str">
        <f t="shared" ca="1" si="71"/>
        <v>WTP</v>
      </c>
      <c r="L452" t="str">
        <f t="shared" ca="1" si="72"/>
        <v>imp</v>
      </c>
      <c r="M452" t="str">
        <f t="shared" ca="1" si="69"/>
        <v>PPP</v>
      </c>
      <c r="N452">
        <f t="shared" ca="1" si="70"/>
        <v>1.4159157938288922E-7</v>
      </c>
    </row>
    <row r="453" spans="6:14" x14ac:dyDescent="0.35">
      <c r="F453">
        <f t="shared" ref="F453:F468" si="73">F387+1</f>
        <v>6</v>
      </c>
      <c r="G453">
        <f t="shared" ref="G453:G516" si="74">G420</f>
        <v>22</v>
      </c>
      <c r="H453">
        <f t="shared" ref="H453:H516" si="75">H387</f>
        <v>1</v>
      </c>
      <c r="K453" t="str">
        <f t="shared" ca="1" si="71"/>
        <v>ATP</v>
      </c>
      <c r="L453" t="str">
        <f t="shared" ca="1" si="72"/>
        <v>imp</v>
      </c>
      <c r="M453" t="str">
        <f t="shared" ca="1" si="69"/>
        <v>PPP</v>
      </c>
      <c r="N453">
        <f t="shared" ca="1" si="70"/>
        <v>1.4159157938288922E-7</v>
      </c>
    </row>
    <row r="454" spans="6:14" x14ac:dyDescent="0.35">
      <c r="F454">
        <f t="shared" si="73"/>
        <v>6</v>
      </c>
      <c r="G454">
        <f t="shared" si="74"/>
        <v>23</v>
      </c>
      <c r="H454">
        <f t="shared" si="75"/>
        <v>1</v>
      </c>
      <c r="K454" t="str">
        <f t="shared" ca="1" si="71"/>
        <v>WHS</v>
      </c>
      <c r="L454" t="str">
        <f t="shared" ca="1" si="72"/>
        <v>imp</v>
      </c>
      <c r="M454" t="str">
        <f t="shared" ca="1" si="69"/>
        <v>PPP</v>
      </c>
      <c r="N454">
        <f t="shared" ca="1" si="70"/>
        <v>1.4159157938288922E-7</v>
      </c>
    </row>
    <row r="455" spans="6:14" x14ac:dyDescent="0.35">
      <c r="F455">
        <f t="shared" si="73"/>
        <v>6</v>
      </c>
      <c r="G455">
        <f t="shared" si="74"/>
        <v>24</v>
      </c>
      <c r="H455">
        <f t="shared" si="75"/>
        <v>1</v>
      </c>
      <c r="K455" t="str">
        <f t="shared" ca="1" si="71"/>
        <v>CMN</v>
      </c>
      <c r="L455" t="str">
        <f t="shared" ca="1" si="72"/>
        <v>imp</v>
      </c>
      <c r="M455" t="str">
        <f t="shared" ca="1" si="69"/>
        <v>PPP</v>
      </c>
      <c r="N455">
        <f t="shared" ca="1" si="70"/>
        <v>1.4159157938288922E-7</v>
      </c>
    </row>
    <row r="456" spans="6:14" x14ac:dyDescent="0.35">
      <c r="F456">
        <f t="shared" si="73"/>
        <v>6</v>
      </c>
      <c r="G456">
        <f t="shared" si="74"/>
        <v>25</v>
      </c>
      <c r="H456">
        <f t="shared" si="75"/>
        <v>1</v>
      </c>
      <c r="K456" t="str">
        <f t="shared" ca="1" si="71"/>
        <v>OFI</v>
      </c>
      <c r="L456" t="str">
        <f t="shared" ca="1" si="72"/>
        <v>imp</v>
      </c>
      <c r="M456" t="str">
        <f t="shared" ca="1" si="69"/>
        <v>PPP</v>
      </c>
      <c r="N456">
        <f t="shared" ca="1" si="70"/>
        <v>1.4159157938288922E-7</v>
      </c>
    </row>
    <row r="457" spans="6:14" x14ac:dyDescent="0.35">
      <c r="F457">
        <f t="shared" si="73"/>
        <v>6</v>
      </c>
      <c r="G457">
        <f t="shared" si="74"/>
        <v>26</v>
      </c>
      <c r="H457">
        <f t="shared" si="75"/>
        <v>1</v>
      </c>
      <c r="K457" t="str">
        <f t="shared" ca="1" si="71"/>
        <v>RSA</v>
      </c>
      <c r="L457" t="str">
        <f t="shared" ca="1" si="72"/>
        <v>imp</v>
      </c>
      <c r="M457" t="str">
        <f t="shared" ca="1" si="69"/>
        <v>PPP</v>
      </c>
      <c r="N457">
        <f t="shared" ca="1" si="70"/>
        <v>1.4159157938288922E-7</v>
      </c>
    </row>
    <row r="458" spans="6:14" x14ac:dyDescent="0.35">
      <c r="F458">
        <f t="shared" si="73"/>
        <v>6</v>
      </c>
      <c r="G458">
        <f t="shared" si="74"/>
        <v>27</v>
      </c>
      <c r="H458">
        <f t="shared" si="75"/>
        <v>1</v>
      </c>
      <c r="K458" t="str">
        <f t="shared" ca="1" si="71"/>
        <v>OBS</v>
      </c>
      <c r="L458" t="str">
        <f t="shared" ca="1" si="72"/>
        <v>imp</v>
      </c>
      <c r="M458" t="str">
        <f t="shared" ca="1" si="69"/>
        <v>PPP</v>
      </c>
      <c r="N458">
        <f t="shared" ca="1" si="70"/>
        <v>1.4159157938288922E-7</v>
      </c>
    </row>
    <row r="459" spans="6:14" x14ac:dyDescent="0.35">
      <c r="F459">
        <f t="shared" si="73"/>
        <v>6</v>
      </c>
      <c r="G459">
        <f t="shared" si="74"/>
        <v>28</v>
      </c>
      <c r="H459">
        <f t="shared" si="75"/>
        <v>1</v>
      </c>
      <c r="K459" t="str">
        <f t="shared" ca="1" si="71"/>
        <v>GOV</v>
      </c>
      <c r="L459" t="str">
        <f t="shared" ca="1" si="72"/>
        <v>imp</v>
      </c>
      <c r="M459" t="str">
        <f t="shared" ca="1" si="69"/>
        <v>PPP</v>
      </c>
      <c r="N459">
        <f t="shared" ca="1" si="70"/>
        <v>1.4159157938288922E-7</v>
      </c>
    </row>
    <row r="460" spans="6:14" x14ac:dyDescent="0.35">
      <c r="F460">
        <f t="shared" si="73"/>
        <v>6</v>
      </c>
      <c r="G460">
        <f t="shared" si="74"/>
        <v>29</v>
      </c>
      <c r="H460">
        <f t="shared" si="75"/>
        <v>1</v>
      </c>
      <c r="K460" t="str">
        <f t="shared" ca="1" si="71"/>
        <v>EDU</v>
      </c>
      <c r="L460" t="str">
        <f t="shared" ca="1" si="72"/>
        <v>imp</v>
      </c>
      <c r="M460" t="str">
        <f t="shared" ca="1" si="69"/>
        <v>PPP</v>
      </c>
      <c r="N460">
        <f t="shared" ca="1" si="70"/>
        <v>1.4159157938288922E-7</v>
      </c>
    </row>
    <row r="461" spans="6:14" x14ac:dyDescent="0.35">
      <c r="F461">
        <f t="shared" si="73"/>
        <v>6</v>
      </c>
      <c r="G461">
        <f t="shared" si="74"/>
        <v>30</v>
      </c>
      <c r="H461">
        <f t="shared" si="75"/>
        <v>1</v>
      </c>
      <c r="K461" t="str">
        <f t="shared" ca="1" si="71"/>
        <v>HHT</v>
      </c>
      <c r="L461" t="str">
        <f t="shared" ca="1" si="72"/>
        <v>imp</v>
      </c>
      <c r="M461" t="str">
        <f t="shared" ca="1" si="69"/>
        <v>PPP</v>
      </c>
      <c r="N461">
        <f t="shared" ca="1" si="70"/>
        <v>1.4159157938288922E-7</v>
      </c>
    </row>
    <row r="462" spans="6:14" x14ac:dyDescent="0.35">
      <c r="F462">
        <f t="shared" si="73"/>
        <v>6</v>
      </c>
      <c r="G462">
        <f t="shared" si="74"/>
        <v>31</v>
      </c>
      <c r="H462">
        <f t="shared" si="75"/>
        <v>1</v>
      </c>
      <c r="K462" t="str">
        <f t="shared" ca="1" si="71"/>
        <v>REC</v>
      </c>
      <c r="L462" t="str">
        <f t="shared" ca="1" si="72"/>
        <v>imp</v>
      </c>
      <c r="M462" t="str">
        <f t="shared" ca="1" si="69"/>
        <v>PPP</v>
      </c>
      <c r="N462">
        <f t="shared" ca="1" si="70"/>
        <v>1.4159157938288922E-7</v>
      </c>
    </row>
    <row r="463" spans="6:14" x14ac:dyDescent="0.35">
      <c r="F463">
        <f t="shared" si="73"/>
        <v>6</v>
      </c>
      <c r="G463">
        <f t="shared" si="74"/>
        <v>32</v>
      </c>
      <c r="H463">
        <f t="shared" si="75"/>
        <v>1</v>
      </c>
      <c r="K463" t="str">
        <f t="shared" ca="1" si="71"/>
        <v>DWE</v>
      </c>
      <c r="L463" t="str">
        <f t="shared" ca="1" si="72"/>
        <v>imp</v>
      </c>
      <c r="M463" t="str">
        <f t="shared" ca="1" si="69"/>
        <v>PPP</v>
      </c>
      <c r="N463">
        <f t="shared" ca="1" si="70"/>
        <v>1.4159157938288922E-7</v>
      </c>
    </row>
    <row r="464" spans="6:14" x14ac:dyDescent="0.35">
      <c r="F464">
        <f t="shared" si="73"/>
        <v>7</v>
      </c>
      <c r="G464">
        <f t="shared" si="74"/>
        <v>0</v>
      </c>
      <c r="H464">
        <f t="shared" si="75"/>
        <v>0</v>
      </c>
      <c r="K464" t="str">
        <f t="shared" ca="1" si="71"/>
        <v>AG</v>
      </c>
      <c r="L464" t="str">
        <f t="shared" ca="1" si="72"/>
        <v>dom</v>
      </c>
      <c r="M464" t="str">
        <f t="shared" ca="1" si="69"/>
        <v>PC</v>
      </c>
      <c r="N464">
        <f t="shared" ca="1" si="70"/>
        <v>0.21344028423800587</v>
      </c>
    </row>
    <row r="465" spans="6:14" x14ac:dyDescent="0.35">
      <c r="F465">
        <f t="shared" si="73"/>
        <v>7</v>
      </c>
      <c r="G465">
        <f t="shared" si="74"/>
        <v>1</v>
      </c>
      <c r="H465">
        <f t="shared" si="75"/>
        <v>0</v>
      </c>
      <c r="K465" t="str">
        <f t="shared" ca="1" si="71"/>
        <v>MIN</v>
      </c>
      <c r="L465" t="str">
        <f t="shared" ca="1" si="72"/>
        <v>dom</v>
      </c>
      <c r="M465" t="str">
        <f t="shared" ca="1" si="69"/>
        <v>PC</v>
      </c>
      <c r="N465">
        <f t="shared" ca="1" si="70"/>
        <v>0.37232888956565857</v>
      </c>
    </row>
    <row r="466" spans="6:14" x14ac:dyDescent="0.35">
      <c r="F466">
        <f t="shared" si="73"/>
        <v>7</v>
      </c>
      <c r="G466">
        <f t="shared" si="74"/>
        <v>2</v>
      </c>
      <c r="H466">
        <f t="shared" si="75"/>
        <v>0</v>
      </c>
      <c r="K466" t="str">
        <f t="shared" ca="1" si="71"/>
        <v>FBT</v>
      </c>
      <c r="L466" t="str">
        <f t="shared" ca="1" si="72"/>
        <v>dom</v>
      </c>
      <c r="M466" t="str">
        <f t="shared" ca="1" si="69"/>
        <v>PC</v>
      </c>
      <c r="N466">
        <f t="shared" ca="1" si="70"/>
        <v>0.62692323737465772</v>
      </c>
    </row>
    <row r="467" spans="6:14" x14ac:dyDescent="0.35">
      <c r="F467">
        <f t="shared" si="73"/>
        <v>7</v>
      </c>
      <c r="G467">
        <f t="shared" si="74"/>
        <v>3</v>
      </c>
      <c r="H467">
        <f t="shared" si="75"/>
        <v>0</v>
      </c>
      <c r="K467" t="str">
        <f t="shared" ca="1" si="71"/>
        <v>TEX</v>
      </c>
      <c r="L467" t="str">
        <f t="shared" ca="1" si="72"/>
        <v>dom</v>
      </c>
      <c r="M467" t="str">
        <f t="shared" ca="1" si="69"/>
        <v>PC</v>
      </c>
      <c r="N467">
        <f t="shared" ca="1" si="70"/>
        <v>3.2655510053742494</v>
      </c>
    </row>
    <row r="468" spans="6:14" x14ac:dyDescent="0.35">
      <c r="F468">
        <f t="shared" si="73"/>
        <v>7</v>
      </c>
      <c r="G468">
        <f t="shared" si="74"/>
        <v>4</v>
      </c>
      <c r="H468">
        <f t="shared" si="75"/>
        <v>0</v>
      </c>
      <c r="K468" t="str">
        <f t="shared" ca="1" si="71"/>
        <v>LEATHER</v>
      </c>
      <c r="L468" t="str">
        <f t="shared" ca="1" si="72"/>
        <v>dom</v>
      </c>
      <c r="M468" t="str">
        <f t="shared" ca="1" si="69"/>
        <v>PC</v>
      </c>
      <c r="N468">
        <f t="shared" ca="1" si="70"/>
        <v>2.3171756066487914E-2</v>
      </c>
    </row>
    <row r="469" spans="6:14" x14ac:dyDescent="0.35">
      <c r="F469">
        <f t="shared" ref="F469:F484" si="76">F403+1</f>
        <v>7</v>
      </c>
      <c r="G469">
        <f t="shared" si="74"/>
        <v>5</v>
      </c>
      <c r="H469">
        <f t="shared" si="75"/>
        <v>0</v>
      </c>
      <c r="K469" t="str">
        <f t="shared" ca="1" si="71"/>
        <v>WOOD</v>
      </c>
      <c r="L469" t="str">
        <f t="shared" ca="1" si="72"/>
        <v>dom</v>
      </c>
      <c r="M469" t="str">
        <f t="shared" ca="1" si="69"/>
        <v>PC</v>
      </c>
      <c r="N469">
        <f t="shared" ca="1" si="70"/>
        <v>0.14264343137825791</v>
      </c>
    </row>
    <row r="470" spans="6:14" x14ac:dyDescent="0.35">
      <c r="F470">
        <f t="shared" si="76"/>
        <v>7</v>
      </c>
      <c r="G470">
        <f t="shared" si="74"/>
        <v>6</v>
      </c>
      <c r="H470">
        <f t="shared" si="75"/>
        <v>0</v>
      </c>
      <c r="K470" t="str">
        <f t="shared" ca="1" si="71"/>
        <v>PPP</v>
      </c>
      <c r="L470" t="str">
        <f t="shared" ca="1" si="72"/>
        <v>dom</v>
      </c>
      <c r="M470" t="str">
        <f t="shared" ca="1" si="69"/>
        <v>PC</v>
      </c>
      <c r="N470">
        <f t="shared" ca="1" si="70"/>
        <v>2.8550909775286861</v>
      </c>
    </row>
    <row r="471" spans="6:14" x14ac:dyDescent="0.35">
      <c r="F471">
        <f t="shared" si="76"/>
        <v>7</v>
      </c>
      <c r="G471">
        <f t="shared" si="74"/>
        <v>7</v>
      </c>
      <c r="H471">
        <f t="shared" si="75"/>
        <v>0</v>
      </c>
      <c r="K471" t="str">
        <f t="shared" ca="1" si="71"/>
        <v>PC</v>
      </c>
      <c r="L471" t="str">
        <f t="shared" ca="1" si="72"/>
        <v>dom</v>
      </c>
      <c r="M471" t="str">
        <f t="shared" ca="1" si="69"/>
        <v>PC</v>
      </c>
      <c r="N471">
        <f t="shared" ca="1" si="70"/>
        <v>0.43506087531128457</v>
      </c>
    </row>
    <row r="472" spans="6:14" x14ac:dyDescent="0.35">
      <c r="F472">
        <f t="shared" si="76"/>
        <v>7</v>
      </c>
      <c r="G472">
        <f t="shared" si="74"/>
        <v>8</v>
      </c>
      <c r="H472">
        <f t="shared" si="75"/>
        <v>0</v>
      </c>
      <c r="K472" t="str">
        <f t="shared" ca="1" si="71"/>
        <v>CHM</v>
      </c>
      <c r="L472" t="str">
        <f t="shared" ca="1" si="72"/>
        <v>dom</v>
      </c>
      <c r="M472" t="str">
        <f t="shared" ca="1" si="69"/>
        <v>PC</v>
      </c>
      <c r="N472">
        <f t="shared" ca="1" si="70"/>
        <v>2.7092113497396371</v>
      </c>
    </row>
    <row r="473" spans="6:14" x14ac:dyDescent="0.35">
      <c r="F473">
        <f t="shared" si="76"/>
        <v>7</v>
      </c>
      <c r="G473">
        <f t="shared" si="74"/>
        <v>9</v>
      </c>
      <c r="H473">
        <f t="shared" si="75"/>
        <v>0</v>
      </c>
      <c r="K473" t="str">
        <f t="shared" ca="1" si="71"/>
        <v>RUBBER</v>
      </c>
      <c r="L473" t="str">
        <f t="shared" ca="1" si="72"/>
        <v>dom</v>
      </c>
      <c r="M473" t="str">
        <f t="shared" ca="1" si="69"/>
        <v>PC</v>
      </c>
      <c r="N473">
        <f t="shared" ca="1" si="70"/>
        <v>4.2410089448721946</v>
      </c>
    </row>
    <row r="474" spans="6:14" x14ac:dyDescent="0.35">
      <c r="F474">
        <f t="shared" si="76"/>
        <v>7</v>
      </c>
      <c r="G474">
        <f t="shared" si="74"/>
        <v>10</v>
      </c>
      <c r="H474">
        <f t="shared" si="75"/>
        <v>0</v>
      </c>
      <c r="K474" t="str">
        <f t="shared" ca="1" si="71"/>
        <v>NMM</v>
      </c>
      <c r="L474" t="str">
        <f t="shared" ca="1" si="72"/>
        <v>dom</v>
      </c>
      <c r="M474" t="str">
        <f t="shared" ca="1" si="69"/>
        <v>PC</v>
      </c>
      <c r="N474">
        <f t="shared" ca="1" si="70"/>
        <v>3.9287676638568887</v>
      </c>
    </row>
    <row r="475" spans="6:14" x14ac:dyDescent="0.35">
      <c r="F475">
        <f t="shared" si="76"/>
        <v>7</v>
      </c>
      <c r="G475">
        <f t="shared" si="74"/>
        <v>11</v>
      </c>
      <c r="H475">
        <f t="shared" si="75"/>
        <v>0</v>
      </c>
      <c r="K475" t="str">
        <f t="shared" ca="1" si="71"/>
        <v>METAL</v>
      </c>
      <c r="L475" t="str">
        <f t="shared" ca="1" si="72"/>
        <v>dom</v>
      </c>
      <c r="M475" t="str">
        <f t="shared" ca="1" si="69"/>
        <v>PC</v>
      </c>
      <c r="N475">
        <f t="shared" ca="1" si="70"/>
        <v>11.490965562049826</v>
      </c>
    </row>
    <row r="476" spans="6:14" x14ac:dyDescent="0.35">
      <c r="F476">
        <f t="shared" si="76"/>
        <v>7</v>
      </c>
      <c r="G476">
        <f t="shared" si="74"/>
        <v>12</v>
      </c>
      <c r="H476">
        <f t="shared" si="75"/>
        <v>0</v>
      </c>
      <c r="K476" t="str">
        <f t="shared" ca="1" si="71"/>
        <v>MACH</v>
      </c>
      <c r="L476" t="str">
        <f t="shared" ca="1" si="72"/>
        <v>dom</v>
      </c>
      <c r="M476" t="str">
        <f t="shared" ca="1" si="69"/>
        <v>PC</v>
      </c>
      <c r="N476">
        <f t="shared" ca="1" si="70"/>
        <v>16.632266773148977</v>
      </c>
    </row>
    <row r="477" spans="6:14" x14ac:dyDescent="0.35">
      <c r="F477">
        <f t="shared" si="76"/>
        <v>7</v>
      </c>
      <c r="G477">
        <f t="shared" si="74"/>
        <v>13</v>
      </c>
      <c r="H477">
        <f t="shared" si="75"/>
        <v>0</v>
      </c>
      <c r="K477" t="str">
        <f t="shared" ca="1" si="71"/>
        <v>ELEC</v>
      </c>
      <c r="L477" t="str">
        <f t="shared" ca="1" si="72"/>
        <v>dom</v>
      </c>
      <c r="M477" t="str">
        <f t="shared" ca="1" si="69"/>
        <v>PC</v>
      </c>
      <c r="N477">
        <f t="shared" ca="1" si="70"/>
        <v>3.459872606487902</v>
      </c>
    </row>
    <row r="478" spans="6:14" x14ac:dyDescent="0.35">
      <c r="F478">
        <f t="shared" si="76"/>
        <v>7</v>
      </c>
      <c r="G478">
        <f t="shared" si="74"/>
        <v>14</v>
      </c>
      <c r="H478">
        <f t="shared" si="75"/>
        <v>0</v>
      </c>
      <c r="K478" t="str">
        <f t="shared" ca="1" si="71"/>
        <v>TRNEQUIP</v>
      </c>
      <c r="L478" t="str">
        <f t="shared" ca="1" si="72"/>
        <v>dom</v>
      </c>
      <c r="M478" t="str">
        <f t="shared" ca="1" si="69"/>
        <v>PC</v>
      </c>
      <c r="N478">
        <f t="shared" ca="1" si="70"/>
        <v>4.9978133937574807</v>
      </c>
    </row>
    <row r="479" spans="6:14" x14ac:dyDescent="0.35">
      <c r="F479">
        <f t="shared" si="76"/>
        <v>7</v>
      </c>
      <c r="G479">
        <f t="shared" si="74"/>
        <v>15</v>
      </c>
      <c r="H479">
        <f t="shared" si="75"/>
        <v>0</v>
      </c>
      <c r="K479" t="str">
        <f t="shared" ca="1" si="71"/>
        <v>ROMAN</v>
      </c>
      <c r="L479" t="str">
        <f t="shared" ca="1" si="72"/>
        <v>dom</v>
      </c>
      <c r="M479" t="str">
        <f t="shared" ca="1" si="69"/>
        <v>PC</v>
      </c>
      <c r="N479">
        <f t="shared" ca="1" si="70"/>
        <v>13.608721363940205</v>
      </c>
    </row>
    <row r="480" spans="6:14" x14ac:dyDescent="0.35">
      <c r="F480">
        <f t="shared" si="76"/>
        <v>7</v>
      </c>
      <c r="G480">
        <f t="shared" si="74"/>
        <v>16</v>
      </c>
      <c r="H480">
        <f t="shared" si="75"/>
        <v>0</v>
      </c>
      <c r="K480" t="str">
        <f t="shared" ca="1" si="71"/>
        <v>ELYGASWTR</v>
      </c>
      <c r="L480" t="str">
        <f t="shared" ca="1" si="72"/>
        <v>dom</v>
      </c>
      <c r="M480" t="str">
        <f t="shared" ca="1" si="69"/>
        <v>PC</v>
      </c>
      <c r="N480">
        <f t="shared" ca="1" si="70"/>
        <v>3.1054199788286299E-7</v>
      </c>
    </row>
    <row r="481" spans="6:14" x14ac:dyDescent="0.35">
      <c r="F481">
        <f t="shared" si="76"/>
        <v>7</v>
      </c>
      <c r="G481">
        <f t="shared" si="74"/>
        <v>17</v>
      </c>
      <c r="H481">
        <f t="shared" si="75"/>
        <v>0</v>
      </c>
      <c r="K481" t="str">
        <f t="shared" ca="1" si="71"/>
        <v>CNS</v>
      </c>
      <c r="L481" t="str">
        <f t="shared" ca="1" si="72"/>
        <v>dom</v>
      </c>
      <c r="M481" t="str">
        <f t="shared" ca="1" si="69"/>
        <v>PC</v>
      </c>
      <c r="N481">
        <f t="shared" ca="1" si="70"/>
        <v>452.06049044058398</v>
      </c>
    </row>
    <row r="482" spans="6:14" x14ac:dyDescent="0.35">
      <c r="F482">
        <f t="shared" si="76"/>
        <v>7</v>
      </c>
      <c r="G482">
        <f t="shared" si="74"/>
        <v>18</v>
      </c>
      <c r="H482">
        <f t="shared" si="75"/>
        <v>0</v>
      </c>
      <c r="K482" t="str">
        <f t="shared" ca="1" si="71"/>
        <v>TRD</v>
      </c>
      <c r="L482" t="str">
        <f t="shared" ca="1" si="72"/>
        <v>dom</v>
      </c>
      <c r="M482" t="str">
        <f t="shared" ca="1" si="69"/>
        <v>PC</v>
      </c>
      <c r="N482">
        <f t="shared" ca="1" si="70"/>
        <v>72.281458507699298</v>
      </c>
    </row>
    <row r="483" spans="6:14" x14ac:dyDescent="0.35">
      <c r="F483">
        <f t="shared" si="76"/>
        <v>7</v>
      </c>
      <c r="G483">
        <f t="shared" si="74"/>
        <v>19</v>
      </c>
      <c r="H483">
        <f t="shared" si="75"/>
        <v>0</v>
      </c>
      <c r="K483" t="str">
        <f t="shared" ca="1" si="71"/>
        <v>AFS</v>
      </c>
      <c r="L483" t="str">
        <f t="shared" ca="1" si="72"/>
        <v>dom</v>
      </c>
      <c r="M483" t="str">
        <f t="shared" ca="1" si="69"/>
        <v>PC</v>
      </c>
      <c r="N483">
        <f t="shared" ca="1" si="70"/>
        <v>3.1054199788286299E-7</v>
      </c>
    </row>
    <row r="484" spans="6:14" x14ac:dyDescent="0.35">
      <c r="F484">
        <f t="shared" si="76"/>
        <v>7</v>
      </c>
      <c r="G484">
        <f t="shared" si="74"/>
        <v>20</v>
      </c>
      <c r="H484">
        <f t="shared" si="75"/>
        <v>0</v>
      </c>
      <c r="K484" t="str">
        <f t="shared" ca="1" si="71"/>
        <v>OTP</v>
      </c>
      <c r="L484" t="str">
        <f t="shared" ca="1" si="72"/>
        <v>dom</v>
      </c>
      <c r="M484" t="str">
        <f t="shared" ca="1" si="69"/>
        <v>PC</v>
      </c>
      <c r="N484">
        <f t="shared" ca="1" si="70"/>
        <v>3.1054199788286299E-7</v>
      </c>
    </row>
    <row r="485" spans="6:14" x14ac:dyDescent="0.35">
      <c r="F485">
        <f t="shared" ref="F485:F500" si="77">F419+1</f>
        <v>7</v>
      </c>
      <c r="G485">
        <f t="shared" si="74"/>
        <v>21</v>
      </c>
      <c r="H485">
        <f t="shared" si="75"/>
        <v>0</v>
      </c>
      <c r="K485" t="str">
        <f t="shared" ca="1" si="71"/>
        <v>WTP</v>
      </c>
      <c r="L485" t="str">
        <f t="shared" ca="1" si="72"/>
        <v>dom</v>
      </c>
      <c r="M485" t="str">
        <f t="shared" ca="1" si="69"/>
        <v>PC</v>
      </c>
      <c r="N485">
        <f t="shared" ca="1" si="70"/>
        <v>3.1054199788286299E-7</v>
      </c>
    </row>
    <row r="486" spans="6:14" x14ac:dyDescent="0.35">
      <c r="F486">
        <f t="shared" si="77"/>
        <v>7</v>
      </c>
      <c r="G486">
        <f t="shared" si="74"/>
        <v>22</v>
      </c>
      <c r="H486">
        <f t="shared" si="75"/>
        <v>0</v>
      </c>
      <c r="K486" t="str">
        <f t="shared" ca="1" si="71"/>
        <v>ATP</v>
      </c>
      <c r="L486" t="str">
        <f t="shared" ca="1" si="72"/>
        <v>dom</v>
      </c>
      <c r="M486" t="str">
        <f t="shared" ca="1" si="69"/>
        <v>PC</v>
      </c>
      <c r="N486">
        <f t="shared" ca="1" si="70"/>
        <v>3.1054199788286299E-7</v>
      </c>
    </row>
    <row r="487" spans="6:14" x14ac:dyDescent="0.35">
      <c r="F487">
        <f t="shared" si="77"/>
        <v>7</v>
      </c>
      <c r="G487">
        <f t="shared" si="74"/>
        <v>23</v>
      </c>
      <c r="H487">
        <f t="shared" si="75"/>
        <v>0</v>
      </c>
      <c r="K487" t="str">
        <f t="shared" ca="1" si="71"/>
        <v>WHS</v>
      </c>
      <c r="L487" t="str">
        <f t="shared" ca="1" si="72"/>
        <v>dom</v>
      </c>
      <c r="M487" t="str">
        <f t="shared" ca="1" si="69"/>
        <v>PC</v>
      </c>
      <c r="N487">
        <f t="shared" ca="1" si="70"/>
        <v>3.1054199788286299E-7</v>
      </c>
    </row>
    <row r="488" spans="6:14" x14ac:dyDescent="0.35">
      <c r="F488">
        <f t="shared" si="77"/>
        <v>7</v>
      </c>
      <c r="G488">
        <f t="shared" si="74"/>
        <v>24</v>
      </c>
      <c r="H488">
        <f t="shared" si="75"/>
        <v>0</v>
      </c>
      <c r="K488" t="str">
        <f t="shared" ca="1" si="71"/>
        <v>CMN</v>
      </c>
      <c r="L488" t="str">
        <f t="shared" ca="1" si="72"/>
        <v>dom</v>
      </c>
      <c r="M488" t="str">
        <f t="shared" ca="1" si="69"/>
        <v>PC</v>
      </c>
      <c r="N488">
        <f t="shared" ca="1" si="70"/>
        <v>3.1054199788286299E-7</v>
      </c>
    </row>
    <row r="489" spans="6:14" x14ac:dyDescent="0.35">
      <c r="F489">
        <f t="shared" si="77"/>
        <v>7</v>
      </c>
      <c r="G489">
        <f t="shared" si="74"/>
        <v>25</v>
      </c>
      <c r="H489">
        <f t="shared" si="75"/>
        <v>0</v>
      </c>
      <c r="K489" t="str">
        <f t="shared" ca="1" si="71"/>
        <v>OFI</v>
      </c>
      <c r="L489" t="str">
        <f t="shared" ca="1" si="72"/>
        <v>dom</v>
      </c>
      <c r="M489" t="str">
        <f t="shared" ca="1" si="69"/>
        <v>PC</v>
      </c>
      <c r="N489">
        <f t="shared" ca="1" si="70"/>
        <v>3.1054199788286299E-7</v>
      </c>
    </row>
    <row r="490" spans="6:14" x14ac:dyDescent="0.35">
      <c r="F490">
        <f t="shared" si="77"/>
        <v>7</v>
      </c>
      <c r="G490">
        <f t="shared" si="74"/>
        <v>26</v>
      </c>
      <c r="H490">
        <f t="shared" si="75"/>
        <v>0</v>
      </c>
      <c r="K490" t="str">
        <f t="shared" ca="1" si="71"/>
        <v>RSA</v>
      </c>
      <c r="L490" t="str">
        <f t="shared" ca="1" si="72"/>
        <v>dom</v>
      </c>
      <c r="M490" t="str">
        <f t="shared" ca="1" si="69"/>
        <v>PC</v>
      </c>
      <c r="N490">
        <f t="shared" ca="1" si="70"/>
        <v>3.1054199788286299E-7</v>
      </c>
    </row>
    <row r="491" spans="6:14" x14ac:dyDescent="0.35">
      <c r="F491">
        <f t="shared" si="77"/>
        <v>7</v>
      </c>
      <c r="G491">
        <f t="shared" si="74"/>
        <v>27</v>
      </c>
      <c r="H491">
        <f t="shared" si="75"/>
        <v>0</v>
      </c>
      <c r="K491" t="str">
        <f t="shared" ca="1" si="71"/>
        <v>OBS</v>
      </c>
      <c r="L491" t="str">
        <f t="shared" ca="1" si="72"/>
        <v>dom</v>
      </c>
      <c r="M491" t="str">
        <f t="shared" ca="1" si="69"/>
        <v>PC</v>
      </c>
      <c r="N491">
        <f t="shared" ca="1" si="70"/>
        <v>3.1054199788286299E-7</v>
      </c>
    </row>
    <row r="492" spans="6:14" x14ac:dyDescent="0.35">
      <c r="F492">
        <f t="shared" si="77"/>
        <v>7</v>
      </c>
      <c r="G492">
        <f t="shared" si="74"/>
        <v>28</v>
      </c>
      <c r="H492">
        <f t="shared" si="75"/>
        <v>0</v>
      </c>
      <c r="K492" t="str">
        <f t="shared" ca="1" si="71"/>
        <v>GOV</v>
      </c>
      <c r="L492" t="str">
        <f t="shared" ca="1" si="72"/>
        <v>dom</v>
      </c>
      <c r="M492" t="str">
        <f t="shared" ca="1" si="69"/>
        <v>PC</v>
      </c>
      <c r="N492">
        <f t="shared" ca="1" si="70"/>
        <v>3.1054199788286299E-7</v>
      </c>
    </row>
    <row r="493" spans="6:14" x14ac:dyDescent="0.35">
      <c r="F493">
        <f t="shared" si="77"/>
        <v>7</v>
      </c>
      <c r="G493">
        <f t="shared" si="74"/>
        <v>29</v>
      </c>
      <c r="H493">
        <f t="shared" si="75"/>
        <v>0</v>
      </c>
      <c r="K493" t="str">
        <f t="shared" ca="1" si="71"/>
        <v>EDU</v>
      </c>
      <c r="L493" t="str">
        <f t="shared" ca="1" si="72"/>
        <v>dom</v>
      </c>
      <c r="M493" t="str">
        <f t="shared" ca="1" si="69"/>
        <v>PC</v>
      </c>
      <c r="N493">
        <f t="shared" ca="1" si="70"/>
        <v>3.1054199788286299E-7</v>
      </c>
    </row>
    <row r="494" spans="6:14" x14ac:dyDescent="0.35">
      <c r="F494">
        <f t="shared" si="77"/>
        <v>7</v>
      </c>
      <c r="G494">
        <f t="shared" si="74"/>
        <v>30</v>
      </c>
      <c r="H494">
        <f t="shared" si="75"/>
        <v>0</v>
      </c>
      <c r="K494" t="str">
        <f t="shared" ca="1" si="71"/>
        <v>HHT</v>
      </c>
      <c r="L494" t="str">
        <f t="shared" ca="1" si="72"/>
        <v>dom</v>
      </c>
      <c r="M494" t="str">
        <f t="shared" ca="1" si="69"/>
        <v>PC</v>
      </c>
      <c r="N494">
        <f t="shared" ca="1" si="70"/>
        <v>3.1054199788286299E-7</v>
      </c>
    </row>
    <row r="495" spans="6:14" x14ac:dyDescent="0.35">
      <c r="F495">
        <f t="shared" si="77"/>
        <v>7</v>
      </c>
      <c r="G495">
        <f t="shared" si="74"/>
        <v>31</v>
      </c>
      <c r="H495">
        <f t="shared" si="75"/>
        <v>0</v>
      </c>
      <c r="K495" t="str">
        <f t="shared" ca="1" si="71"/>
        <v>REC</v>
      </c>
      <c r="L495" t="str">
        <f t="shared" ca="1" si="72"/>
        <v>dom</v>
      </c>
      <c r="M495" t="str">
        <f t="shared" ca="1" si="69"/>
        <v>PC</v>
      </c>
      <c r="N495">
        <f t="shared" ca="1" si="70"/>
        <v>3.1054199788286299E-7</v>
      </c>
    </row>
    <row r="496" spans="6:14" x14ac:dyDescent="0.35">
      <c r="F496">
        <f t="shared" si="77"/>
        <v>7</v>
      </c>
      <c r="G496">
        <f t="shared" si="74"/>
        <v>32</v>
      </c>
      <c r="H496">
        <f t="shared" si="75"/>
        <v>0</v>
      </c>
      <c r="K496" t="str">
        <f t="shared" ca="1" si="71"/>
        <v>DWE</v>
      </c>
      <c r="L496" t="str">
        <f t="shared" ca="1" si="72"/>
        <v>dom</v>
      </c>
      <c r="M496" t="str">
        <f t="shared" ca="1" si="69"/>
        <v>PC</v>
      </c>
      <c r="N496">
        <f t="shared" ca="1" si="70"/>
        <v>3.1054199788286299E-7</v>
      </c>
    </row>
    <row r="497" spans="6:14" x14ac:dyDescent="0.35">
      <c r="F497">
        <f t="shared" si="77"/>
        <v>7</v>
      </c>
      <c r="G497">
        <f t="shared" si="74"/>
        <v>0</v>
      </c>
      <c r="H497">
        <f t="shared" si="75"/>
        <v>1</v>
      </c>
      <c r="K497" t="str">
        <f t="shared" ca="1" si="71"/>
        <v>AG</v>
      </c>
      <c r="L497" t="str">
        <f t="shared" ca="1" si="72"/>
        <v>imp</v>
      </c>
      <c r="M497" t="str">
        <f t="shared" ca="1" si="69"/>
        <v>PC</v>
      </c>
      <c r="N497">
        <f t="shared" ca="1" si="70"/>
        <v>2.8730799219889231</v>
      </c>
    </row>
    <row r="498" spans="6:14" x14ac:dyDescent="0.35">
      <c r="F498">
        <f t="shared" si="77"/>
        <v>7</v>
      </c>
      <c r="G498">
        <f t="shared" si="74"/>
        <v>1</v>
      </c>
      <c r="H498">
        <f t="shared" si="75"/>
        <v>1</v>
      </c>
      <c r="K498" t="str">
        <f t="shared" ca="1" si="71"/>
        <v>MIN</v>
      </c>
      <c r="L498" t="str">
        <f t="shared" ca="1" si="72"/>
        <v>imp</v>
      </c>
      <c r="M498" t="str">
        <f t="shared" ca="1" si="69"/>
        <v>PC</v>
      </c>
      <c r="N498">
        <f t="shared" ca="1" si="70"/>
        <v>4.5326619333774358</v>
      </c>
    </row>
    <row r="499" spans="6:14" x14ac:dyDescent="0.35">
      <c r="F499">
        <f t="shared" si="77"/>
        <v>7</v>
      </c>
      <c r="G499">
        <f t="shared" si="74"/>
        <v>2</v>
      </c>
      <c r="H499">
        <f t="shared" si="75"/>
        <v>1</v>
      </c>
      <c r="K499" t="str">
        <f t="shared" ca="1" si="71"/>
        <v>FBT</v>
      </c>
      <c r="L499" t="str">
        <f t="shared" ca="1" si="72"/>
        <v>imp</v>
      </c>
      <c r="M499" t="str">
        <f t="shared" ca="1" si="69"/>
        <v>PC</v>
      </c>
      <c r="N499">
        <f t="shared" ca="1" si="70"/>
        <v>1.1342110472339328</v>
      </c>
    </row>
    <row r="500" spans="6:14" x14ac:dyDescent="0.35">
      <c r="F500">
        <f t="shared" si="77"/>
        <v>7</v>
      </c>
      <c r="G500">
        <f t="shared" si="74"/>
        <v>3</v>
      </c>
      <c r="H500">
        <f t="shared" si="75"/>
        <v>1</v>
      </c>
      <c r="K500" t="str">
        <f t="shared" ca="1" si="71"/>
        <v>TEX</v>
      </c>
      <c r="L500" t="str">
        <f t="shared" ca="1" si="72"/>
        <v>imp</v>
      </c>
      <c r="M500" t="str">
        <f t="shared" ca="1" si="69"/>
        <v>PC</v>
      </c>
      <c r="N500">
        <f t="shared" ca="1" si="70"/>
        <v>22.257775647871686</v>
      </c>
    </row>
    <row r="501" spans="6:14" x14ac:dyDescent="0.35">
      <c r="F501">
        <f t="shared" ref="F501:F516" si="78">F435+1</f>
        <v>7</v>
      </c>
      <c r="G501">
        <f t="shared" si="74"/>
        <v>4</v>
      </c>
      <c r="H501">
        <f t="shared" si="75"/>
        <v>1</v>
      </c>
      <c r="K501" t="str">
        <f t="shared" ca="1" si="71"/>
        <v>LEATHER</v>
      </c>
      <c r="L501" t="str">
        <f t="shared" ca="1" si="72"/>
        <v>imp</v>
      </c>
      <c r="M501" t="str">
        <f t="shared" ca="1" si="69"/>
        <v>PC</v>
      </c>
      <c r="N501">
        <f t="shared" ca="1" si="70"/>
        <v>11.60007331624859</v>
      </c>
    </row>
    <row r="502" spans="6:14" x14ac:dyDescent="0.35">
      <c r="F502">
        <f t="shared" si="78"/>
        <v>7</v>
      </c>
      <c r="G502">
        <f t="shared" si="74"/>
        <v>5</v>
      </c>
      <c r="H502">
        <f t="shared" si="75"/>
        <v>1</v>
      </c>
      <c r="K502" t="str">
        <f t="shared" ca="1" si="71"/>
        <v>WOOD</v>
      </c>
      <c r="L502" t="str">
        <f t="shared" ca="1" si="72"/>
        <v>imp</v>
      </c>
      <c r="M502" t="str">
        <f t="shared" ca="1" si="69"/>
        <v>PC</v>
      </c>
      <c r="N502">
        <f t="shared" ca="1" si="70"/>
        <v>0.20763282408905323</v>
      </c>
    </row>
    <row r="503" spans="6:14" x14ac:dyDescent="0.35">
      <c r="F503">
        <f t="shared" si="78"/>
        <v>7</v>
      </c>
      <c r="G503">
        <f t="shared" si="74"/>
        <v>6</v>
      </c>
      <c r="H503">
        <f t="shared" si="75"/>
        <v>1</v>
      </c>
      <c r="K503" t="str">
        <f t="shared" ca="1" si="71"/>
        <v>PPP</v>
      </c>
      <c r="L503" t="str">
        <f t="shared" ca="1" si="72"/>
        <v>imp</v>
      </c>
      <c r="M503" t="str">
        <f t="shared" ca="1" si="69"/>
        <v>PC</v>
      </c>
      <c r="N503">
        <f t="shared" ca="1" si="70"/>
        <v>2.9898917160094474</v>
      </c>
    </row>
    <row r="504" spans="6:14" x14ac:dyDescent="0.35">
      <c r="F504">
        <f t="shared" si="78"/>
        <v>7</v>
      </c>
      <c r="G504">
        <f t="shared" si="74"/>
        <v>7</v>
      </c>
      <c r="H504">
        <f t="shared" si="75"/>
        <v>1</v>
      </c>
      <c r="K504" t="str">
        <f t="shared" ca="1" si="71"/>
        <v>PC</v>
      </c>
      <c r="L504" t="str">
        <f t="shared" ca="1" si="72"/>
        <v>imp</v>
      </c>
      <c r="M504" t="str">
        <f t="shared" ca="1" si="69"/>
        <v>PC</v>
      </c>
      <c r="N504">
        <f t="shared" ca="1" si="70"/>
        <v>0.75288989193877809</v>
      </c>
    </row>
    <row r="505" spans="6:14" x14ac:dyDescent="0.35">
      <c r="F505">
        <f t="shared" si="78"/>
        <v>7</v>
      </c>
      <c r="G505">
        <f t="shared" si="74"/>
        <v>8</v>
      </c>
      <c r="H505">
        <f t="shared" si="75"/>
        <v>1</v>
      </c>
      <c r="K505" t="str">
        <f t="shared" ca="1" si="71"/>
        <v>CHM</v>
      </c>
      <c r="L505" t="str">
        <f t="shared" ca="1" si="72"/>
        <v>imp</v>
      </c>
      <c r="M505" t="str">
        <f t="shared" ca="1" si="69"/>
        <v>PC</v>
      </c>
      <c r="N505">
        <f t="shared" ca="1" si="70"/>
        <v>10.320863314132183</v>
      </c>
    </row>
    <row r="506" spans="6:14" x14ac:dyDescent="0.35">
      <c r="F506">
        <f t="shared" si="78"/>
        <v>7</v>
      </c>
      <c r="G506">
        <f t="shared" si="74"/>
        <v>9</v>
      </c>
      <c r="H506">
        <f t="shared" si="75"/>
        <v>1</v>
      </c>
      <c r="K506" t="str">
        <f t="shared" ca="1" si="71"/>
        <v>RUBBER</v>
      </c>
      <c r="L506" t="str">
        <f t="shared" ca="1" si="72"/>
        <v>imp</v>
      </c>
      <c r="M506" t="str">
        <f t="shared" ca="1" si="69"/>
        <v>PC</v>
      </c>
      <c r="N506">
        <f t="shared" ca="1" si="70"/>
        <v>7.9044095133004451</v>
      </c>
    </row>
    <row r="507" spans="6:14" x14ac:dyDescent="0.35">
      <c r="F507">
        <f t="shared" si="78"/>
        <v>7</v>
      </c>
      <c r="G507">
        <f t="shared" si="74"/>
        <v>10</v>
      </c>
      <c r="H507">
        <f t="shared" si="75"/>
        <v>1</v>
      </c>
      <c r="K507" t="str">
        <f t="shared" ca="1" si="71"/>
        <v>NMM</v>
      </c>
      <c r="L507" t="str">
        <f t="shared" ca="1" si="72"/>
        <v>imp</v>
      </c>
      <c r="M507" t="str">
        <f t="shared" ca="1" si="69"/>
        <v>PC</v>
      </c>
      <c r="N507">
        <f t="shared" ca="1" si="70"/>
        <v>2.9838148092726171</v>
      </c>
    </row>
    <row r="508" spans="6:14" x14ac:dyDescent="0.35">
      <c r="F508">
        <f t="shared" si="78"/>
        <v>7</v>
      </c>
      <c r="G508">
        <f t="shared" si="74"/>
        <v>11</v>
      </c>
      <c r="H508">
        <f t="shared" si="75"/>
        <v>1</v>
      </c>
      <c r="K508" t="str">
        <f t="shared" ca="1" si="71"/>
        <v>METAL</v>
      </c>
      <c r="L508" t="str">
        <f t="shared" ca="1" si="72"/>
        <v>imp</v>
      </c>
      <c r="M508" t="str">
        <f t="shared" ca="1" si="69"/>
        <v>PC</v>
      </c>
      <c r="N508">
        <f t="shared" ca="1" si="70"/>
        <v>37.348820962193322</v>
      </c>
    </row>
    <row r="509" spans="6:14" x14ac:dyDescent="0.35">
      <c r="F509">
        <f t="shared" si="78"/>
        <v>7</v>
      </c>
      <c r="G509">
        <f t="shared" si="74"/>
        <v>12</v>
      </c>
      <c r="H509">
        <f t="shared" si="75"/>
        <v>1</v>
      </c>
      <c r="K509" t="str">
        <f t="shared" ca="1" si="71"/>
        <v>MACH</v>
      </c>
      <c r="L509" t="str">
        <f t="shared" ca="1" si="72"/>
        <v>imp</v>
      </c>
      <c r="M509" t="str">
        <f t="shared" ca="1" si="69"/>
        <v>PC</v>
      </c>
      <c r="N509">
        <f t="shared" ca="1" si="70"/>
        <v>143.07481295077832</v>
      </c>
    </row>
    <row r="510" spans="6:14" x14ac:dyDescent="0.35">
      <c r="F510">
        <f t="shared" si="78"/>
        <v>7</v>
      </c>
      <c r="G510">
        <f t="shared" si="74"/>
        <v>13</v>
      </c>
      <c r="H510">
        <f t="shared" si="75"/>
        <v>1</v>
      </c>
      <c r="K510" t="str">
        <f t="shared" ca="1" si="71"/>
        <v>ELEC</v>
      </c>
      <c r="L510" t="str">
        <f t="shared" ca="1" si="72"/>
        <v>imp</v>
      </c>
      <c r="M510" t="str">
        <f t="shared" ca="1" si="69"/>
        <v>PC</v>
      </c>
      <c r="N510">
        <f t="shared" ca="1" si="70"/>
        <v>76.712350347233269</v>
      </c>
    </row>
    <row r="511" spans="6:14" x14ac:dyDescent="0.35">
      <c r="F511">
        <f t="shared" si="78"/>
        <v>7</v>
      </c>
      <c r="G511">
        <f t="shared" si="74"/>
        <v>14</v>
      </c>
      <c r="H511">
        <f t="shared" si="75"/>
        <v>1</v>
      </c>
      <c r="K511" t="str">
        <f t="shared" ca="1" si="71"/>
        <v>TRNEQUIP</v>
      </c>
      <c r="L511" t="str">
        <f t="shared" ca="1" si="72"/>
        <v>imp</v>
      </c>
      <c r="M511" t="str">
        <f t="shared" ca="1" si="69"/>
        <v>PC</v>
      </c>
      <c r="N511">
        <f t="shared" ca="1" si="70"/>
        <v>122.42428260991795</v>
      </c>
    </row>
    <row r="512" spans="6:14" x14ac:dyDescent="0.35">
      <c r="F512">
        <f t="shared" si="78"/>
        <v>7</v>
      </c>
      <c r="G512">
        <f t="shared" si="74"/>
        <v>15</v>
      </c>
      <c r="H512">
        <f t="shared" si="75"/>
        <v>1</v>
      </c>
      <c r="K512" t="str">
        <f t="shared" ca="1" si="71"/>
        <v>ROMAN</v>
      </c>
      <c r="L512" t="str">
        <f t="shared" ca="1" si="72"/>
        <v>imp</v>
      </c>
      <c r="M512" t="str">
        <f t="shared" ca="1" si="69"/>
        <v>PC</v>
      </c>
      <c r="N512">
        <f t="shared" ca="1" si="70"/>
        <v>46.452017285062688</v>
      </c>
    </row>
    <row r="513" spans="6:14" x14ac:dyDescent="0.35">
      <c r="F513">
        <f t="shared" si="78"/>
        <v>7</v>
      </c>
      <c r="G513">
        <f t="shared" si="74"/>
        <v>16</v>
      </c>
      <c r="H513">
        <f t="shared" si="75"/>
        <v>1</v>
      </c>
      <c r="K513" t="str">
        <f t="shared" ca="1" si="71"/>
        <v>ELYGASWTR</v>
      </c>
      <c r="L513" t="str">
        <f t="shared" ca="1" si="72"/>
        <v>imp</v>
      </c>
      <c r="M513" t="str">
        <f t="shared" ca="1" si="69"/>
        <v>PC</v>
      </c>
      <c r="N513">
        <f t="shared" ca="1" si="70"/>
        <v>3.1054199788286299E-7</v>
      </c>
    </row>
    <row r="514" spans="6:14" x14ac:dyDescent="0.35">
      <c r="F514">
        <f t="shared" si="78"/>
        <v>7</v>
      </c>
      <c r="G514">
        <f t="shared" si="74"/>
        <v>17</v>
      </c>
      <c r="H514">
        <f t="shared" si="75"/>
        <v>1</v>
      </c>
      <c r="K514" t="str">
        <f t="shared" ca="1" si="71"/>
        <v>CNS</v>
      </c>
      <c r="L514" t="str">
        <f t="shared" ca="1" si="72"/>
        <v>imp</v>
      </c>
      <c r="M514" t="str">
        <f t="shared" ref="M514:M577" ca="1" si="79">OFFSET(A$2,F514,0)</f>
        <v>PC</v>
      </c>
      <c r="N514">
        <f t="shared" ref="N514:N577" ca="1" si="80">SUMIFS(C:C,A:A,K514,B:B,L514)*SUMIFS(U:U,S:S,M514)</f>
        <v>9.0932500954722784</v>
      </c>
    </row>
    <row r="515" spans="6:14" x14ac:dyDescent="0.35">
      <c r="F515">
        <f t="shared" si="78"/>
        <v>7</v>
      </c>
      <c r="G515">
        <f t="shared" si="74"/>
        <v>18</v>
      </c>
      <c r="H515">
        <f t="shared" si="75"/>
        <v>1</v>
      </c>
      <c r="K515" t="str">
        <f t="shared" ref="K515:K578" ca="1" si="81">OFFSET(A$2,G515,0)</f>
        <v>TRD</v>
      </c>
      <c r="L515" t="str">
        <f t="shared" ref="L515:L578" ca="1" si="82">OFFSET($V$3,H515,0)</f>
        <v>imp</v>
      </c>
      <c r="M515" t="str">
        <f t="shared" ca="1" si="79"/>
        <v>PC</v>
      </c>
      <c r="N515">
        <f t="shared" ca="1" si="80"/>
        <v>0.79559795009041778</v>
      </c>
    </row>
    <row r="516" spans="6:14" x14ac:dyDescent="0.35">
      <c r="F516">
        <f t="shared" si="78"/>
        <v>7</v>
      </c>
      <c r="G516">
        <f t="shared" si="74"/>
        <v>19</v>
      </c>
      <c r="H516">
        <f t="shared" si="75"/>
        <v>1</v>
      </c>
      <c r="K516" t="str">
        <f t="shared" ca="1" si="81"/>
        <v>AFS</v>
      </c>
      <c r="L516" t="str">
        <f t="shared" ca="1" si="82"/>
        <v>imp</v>
      </c>
      <c r="M516" t="str">
        <f t="shared" ca="1" si="79"/>
        <v>PC</v>
      </c>
      <c r="N516">
        <f t="shared" ca="1" si="80"/>
        <v>3.1054199788286299E-7</v>
      </c>
    </row>
    <row r="517" spans="6:14" x14ac:dyDescent="0.35">
      <c r="F517">
        <f t="shared" ref="F517:F532" si="83">F451+1</f>
        <v>7</v>
      </c>
      <c r="G517">
        <f t="shared" ref="G517:G580" si="84">G484</f>
        <v>20</v>
      </c>
      <c r="H517">
        <f t="shared" ref="H517:H580" si="85">H451</f>
        <v>1</v>
      </c>
      <c r="K517" t="str">
        <f t="shared" ca="1" si="81"/>
        <v>OTP</v>
      </c>
      <c r="L517" t="str">
        <f t="shared" ca="1" si="82"/>
        <v>imp</v>
      </c>
      <c r="M517" t="str">
        <f t="shared" ca="1" si="79"/>
        <v>PC</v>
      </c>
      <c r="N517">
        <f t="shared" ca="1" si="80"/>
        <v>3.1054199788286299E-7</v>
      </c>
    </row>
    <row r="518" spans="6:14" x14ac:dyDescent="0.35">
      <c r="F518">
        <f t="shared" si="83"/>
        <v>7</v>
      </c>
      <c r="G518">
        <f t="shared" si="84"/>
        <v>21</v>
      </c>
      <c r="H518">
        <f t="shared" si="85"/>
        <v>1</v>
      </c>
      <c r="K518" t="str">
        <f t="shared" ca="1" si="81"/>
        <v>WTP</v>
      </c>
      <c r="L518" t="str">
        <f t="shared" ca="1" si="82"/>
        <v>imp</v>
      </c>
      <c r="M518" t="str">
        <f t="shared" ca="1" si="79"/>
        <v>PC</v>
      </c>
      <c r="N518">
        <f t="shared" ca="1" si="80"/>
        <v>3.1054199788286299E-7</v>
      </c>
    </row>
    <row r="519" spans="6:14" x14ac:dyDescent="0.35">
      <c r="F519">
        <f t="shared" si="83"/>
        <v>7</v>
      </c>
      <c r="G519">
        <f t="shared" si="84"/>
        <v>22</v>
      </c>
      <c r="H519">
        <f t="shared" si="85"/>
        <v>1</v>
      </c>
      <c r="K519" t="str">
        <f t="shared" ca="1" si="81"/>
        <v>ATP</v>
      </c>
      <c r="L519" t="str">
        <f t="shared" ca="1" si="82"/>
        <v>imp</v>
      </c>
      <c r="M519" t="str">
        <f t="shared" ca="1" si="79"/>
        <v>PC</v>
      </c>
      <c r="N519">
        <f t="shared" ca="1" si="80"/>
        <v>3.1054199788286299E-7</v>
      </c>
    </row>
    <row r="520" spans="6:14" x14ac:dyDescent="0.35">
      <c r="F520">
        <f t="shared" si="83"/>
        <v>7</v>
      </c>
      <c r="G520">
        <f t="shared" si="84"/>
        <v>23</v>
      </c>
      <c r="H520">
        <f t="shared" si="85"/>
        <v>1</v>
      </c>
      <c r="K520" t="str">
        <f t="shared" ca="1" si="81"/>
        <v>WHS</v>
      </c>
      <c r="L520" t="str">
        <f t="shared" ca="1" si="82"/>
        <v>imp</v>
      </c>
      <c r="M520" t="str">
        <f t="shared" ca="1" si="79"/>
        <v>PC</v>
      </c>
      <c r="N520">
        <f t="shared" ca="1" si="80"/>
        <v>3.1054199788286299E-7</v>
      </c>
    </row>
    <row r="521" spans="6:14" x14ac:dyDescent="0.35">
      <c r="F521">
        <f t="shared" si="83"/>
        <v>7</v>
      </c>
      <c r="G521">
        <f t="shared" si="84"/>
        <v>24</v>
      </c>
      <c r="H521">
        <f t="shared" si="85"/>
        <v>1</v>
      </c>
      <c r="K521" t="str">
        <f t="shared" ca="1" si="81"/>
        <v>CMN</v>
      </c>
      <c r="L521" t="str">
        <f t="shared" ca="1" si="82"/>
        <v>imp</v>
      </c>
      <c r="M521" t="str">
        <f t="shared" ca="1" si="79"/>
        <v>PC</v>
      </c>
      <c r="N521">
        <f t="shared" ca="1" si="80"/>
        <v>3.1054199788286299E-7</v>
      </c>
    </row>
    <row r="522" spans="6:14" x14ac:dyDescent="0.35">
      <c r="F522">
        <f t="shared" si="83"/>
        <v>7</v>
      </c>
      <c r="G522">
        <f t="shared" si="84"/>
        <v>25</v>
      </c>
      <c r="H522">
        <f t="shared" si="85"/>
        <v>1</v>
      </c>
      <c r="K522" t="str">
        <f t="shared" ca="1" si="81"/>
        <v>OFI</v>
      </c>
      <c r="L522" t="str">
        <f t="shared" ca="1" si="82"/>
        <v>imp</v>
      </c>
      <c r="M522" t="str">
        <f t="shared" ca="1" si="79"/>
        <v>PC</v>
      </c>
      <c r="N522">
        <f t="shared" ca="1" si="80"/>
        <v>3.1054199788286299E-7</v>
      </c>
    </row>
    <row r="523" spans="6:14" x14ac:dyDescent="0.35">
      <c r="F523">
        <f t="shared" si="83"/>
        <v>7</v>
      </c>
      <c r="G523">
        <f t="shared" si="84"/>
        <v>26</v>
      </c>
      <c r="H523">
        <f t="shared" si="85"/>
        <v>1</v>
      </c>
      <c r="K523" t="str">
        <f t="shared" ca="1" si="81"/>
        <v>RSA</v>
      </c>
      <c r="L523" t="str">
        <f t="shared" ca="1" si="82"/>
        <v>imp</v>
      </c>
      <c r="M523" t="str">
        <f t="shared" ca="1" si="79"/>
        <v>PC</v>
      </c>
      <c r="N523">
        <f t="shared" ca="1" si="80"/>
        <v>3.1054199788286299E-7</v>
      </c>
    </row>
    <row r="524" spans="6:14" x14ac:dyDescent="0.35">
      <c r="F524">
        <f t="shared" si="83"/>
        <v>7</v>
      </c>
      <c r="G524">
        <f t="shared" si="84"/>
        <v>27</v>
      </c>
      <c r="H524">
        <f t="shared" si="85"/>
        <v>1</v>
      </c>
      <c r="K524" t="str">
        <f t="shared" ca="1" si="81"/>
        <v>OBS</v>
      </c>
      <c r="L524" t="str">
        <f t="shared" ca="1" si="82"/>
        <v>imp</v>
      </c>
      <c r="M524" t="str">
        <f t="shared" ca="1" si="79"/>
        <v>PC</v>
      </c>
      <c r="N524">
        <f t="shared" ca="1" si="80"/>
        <v>3.1054199788286299E-7</v>
      </c>
    </row>
    <row r="525" spans="6:14" x14ac:dyDescent="0.35">
      <c r="F525">
        <f t="shared" si="83"/>
        <v>7</v>
      </c>
      <c r="G525">
        <f t="shared" si="84"/>
        <v>28</v>
      </c>
      <c r="H525">
        <f t="shared" si="85"/>
        <v>1</v>
      </c>
      <c r="K525" t="str">
        <f t="shared" ca="1" si="81"/>
        <v>GOV</v>
      </c>
      <c r="L525" t="str">
        <f t="shared" ca="1" si="82"/>
        <v>imp</v>
      </c>
      <c r="M525" t="str">
        <f t="shared" ca="1" si="79"/>
        <v>PC</v>
      </c>
      <c r="N525">
        <f t="shared" ca="1" si="80"/>
        <v>3.1054199788286299E-7</v>
      </c>
    </row>
    <row r="526" spans="6:14" x14ac:dyDescent="0.35">
      <c r="F526">
        <f t="shared" si="83"/>
        <v>7</v>
      </c>
      <c r="G526">
        <f t="shared" si="84"/>
        <v>29</v>
      </c>
      <c r="H526">
        <f t="shared" si="85"/>
        <v>1</v>
      </c>
      <c r="K526" t="str">
        <f t="shared" ca="1" si="81"/>
        <v>EDU</v>
      </c>
      <c r="L526" t="str">
        <f t="shared" ca="1" si="82"/>
        <v>imp</v>
      </c>
      <c r="M526" t="str">
        <f t="shared" ca="1" si="79"/>
        <v>PC</v>
      </c>
      <c r="N526">
        <f t="shared" ca="1" si="80"/>
        <v>3.1054199788286299E-7</v>
      </c>
    </row>
    <row r="527" spans="6:14" x14ac:dyDescent="0.35">
      <c r="F527">
        <f t="shared" si="83"/>
        <v>7</v>
      </c>
      <c r="G527">
        <f t="shared" si="84"/>
        <v>30</v>
      </c>
      <c r="H527">
        <f t="shared" si="85"/>
        <v>1</v>
      </c>
      <c r="K527" t="str">
        <f t="shared" ca="1" si="81"/>
        <v>HHT</v>
      </c>
      <c r="L527" t="str">
        <f t="shared" ca="1" si="82"/>
        <v>imp</v>
      </c>
      <c r="M527" t="str">
        <f t="shared" ca="1" si="79"/>
        <v>PC</v>
      </c>
      <c r="N527">
        <f t="shared" ca="1" si="80"/>
        <v>3.1054199788286299E-7</v>
      </c>
    </row>
    <row r="528" spans="6:14" x14ac:dyDescent="0.35">
      <c r="F528">
        <f t="shared" si="83"/>
        <v>7</v>
      </c>
      <c r="G528">
        <f t="shared" si="84"/>
        <v>31</v>
      </c>
      <c r="H528">
        <f t="shared" si="85"/>
        <v>1</v>
      </c>
      <c r="K528" t="str">
        <f t="shared" ca="1" si="81"/>
        <v>REC</v>
      </c>
      <c r="L528" t="str">
        <f t="shared" ca="1" si="82"/>
        <v>imp</v>
      </c>
      <c r="M528" t="str">
        <f t="shared" ca="1" si="79"/>
        <v>PC</v>
      </c>
      <c r="N528">
        <f t="shared" ca="1" si="80"/>
        <v>3.1054199788286299E-7</v>
      </c>
    </row>
    <row r="529" spans="6:14" x14ac:dyDescent="0.35">
      <c r="F529">
        <f t="shared" si="83"/>
        <v>7</v>
      </c>
      <c r="G529">
        <f t="shared" si="84"/>
        <v>32</v>
      </c>
      <c r="H529">
        <f t="shared" si="85"/>
        <v>1</v>
      </c>
      <c r="K529" t="str">
        <f t="shared" ca="1" si="81"/>
        <v>DWE</v>
      </c>
      <c r="L529" t="str">
        <f t="shared" ca="1" si="82"/>
        <v>imp</v>
      </c>
      <c r="M529" t="str">
        <f t="shared" ca="1" si="79"/>
        <v>PC</v>
      </c>
      <c r="N529">
        <f t="shared" ca="1" si="80"/>
        <v>3.1054199788286299E-7</v>
      </c>
    </row>
    <row r="530" spans="6:14" x14ac:dyDescent="0.35">
      <c r="F530">
        <f t="shared" si="83"/>
        <v>8</v>
      </c>
      <c r="G530">
        <f t="shared" si="84"/>
        <v>0</v>
      </c>
      <c r="H530">
        <f t="shared" si="85"/>
        <v>0</v>
      </c>
      <c r="K530" t="str">
        <f t="shared" ca="1" si="81"/>
        <v>AG</v>
      </c>
      <c r="L530" t="str">
        <f t="shared" ca="1" si="82"/>
        <v>dom</v>
      </c>
      <c r="M530" t="str">
        <f t="shared" ca="1" si="79"/>
        <v>CHM</v>
      </c>
      <c r="N530">
        <f t="shared" ca="1" si="80"/>
        <v>0.26973491808406264</v>
      </c>
    </row>
    <row r="531" spans="6:14" x14ac:dyDescent="0.35">
      <c r="F531">
        <f t="shared" si="83"/>
        <v>8</v>
      </c>
      <c r="G531">
        <f t="shared" si="84"/>
        <v>1</v>
      </c>
      <c r="H531">
        <f t="shared" si="85"/>
        <v>0</v>
      </c>
      <c r="K531" t="str">
        <f t="shared" ca="1" si="81"/>
        <v>MIN</v>
      </c>
      <c r="L531" t="str">
        <f t="shared" ca="1" si="82"/>
        <v>dom</v>
      </c>
      <c r="M531" t="str">
        <f t="shared" ca="1" si="79"/>
        <v>CHM</v>
      </c>
      <c r="N531">
        <f t="shared" ca="1" si="80"/>
        <v>0.47053021357174535</v>
      </c>
    </row>
    <row r="532" spans="6:14" x14ac:dyDescent="0.35">
      <c r="F532">
        <f t="shared" si="83"/>
        <v>8</v>
      </c>
      <c r="G532">
        <f t="shared" si="84"/>
        <v>2</v>
      </c>
      <c r="H532">
        <f t="shared" si="85"/>
        <v>0</v>
      </c>
      <c r="K532" t="str">
        <f t="shared" ca="1" si="81"/>
        <v>FBT</v>
      </c>
      <c r="L532" t="str">
        <f t="shared" ca="1" si="82"/>
        <v>dom</v>
      </c>
      <c r="M532" t="str">
        <f t="shared" ca="1" si="79"/>
        <v>CHM</v>
      </c>
      <c r="N532">
        <f t="shared" ca="1" si="80"/>
        <v>0.79227353300224679</v>
      </c>
    </row>
    <row r="533" spans="6:14" x14ac:dyDescent="0.35">
      <c r="F533">
        <f t="shared" ref="F533:F548" si="86">F467+1</f>
        <v>8</v>
      </c>
      <c r="G533">
        <f t="shared" si="84"/>
        <v>3</v>
      </c>
      <c r="H533">
        <f t="shared" si="85"/>
        <v>0</v>
      </c>
      <c r="K533" t="str">
        <f t="shared" ca="1" si="81"/>
        <v>TEX</v>
      </c>
      <c r="L533" t="str">
        <f t="shared" ca="1" si="82"/>
        <v>dom</v>
      </c>
      <c r="M533" t="str">
        <f t="shared" ca="1" si="79"/>
        <v>CHM</v>
      </c>
      <c r="N533">
        <f t="shared" ca="1" si="80"/>
        <v>4.1268363939758457</v>
      </c>
    </row>
    <row r="534" spans="6:14" x14ac:dyDescent="0.35">
      <c r="F534">
        <f t="shared" si="86"/>
        <v>8</v>
      </c>
      <c r="G534">
        <f t="shared" si="84"/>
        <v>4</v>
      </c>
      <c r="H534">
        <f t="shared" si="85"/>
        <v>0</v>
      </c>
      <c r="K534" t="str">
        <f t="shared" ca="1" si="81"/>
        <v>LEATHER</v>
      </c>
      <c r="L534" t="str">
        <f t="shared" ca="1" si="82"/>
        <v>dom</v>
      </c>
      <c r="M534" t="str">
        <f t="shared" ca="1" si="79"/>
        <v>CHM</v>
      </c>
      <c r="N534">
        <f t="shared" ca="1" si="80"/>
        <v>2.9283280552083627E-2</v>
      </c>
    </row>
    <row r="535" spans="6:14" x14ac:dyDescent="0.35">
      <c r="F535">
        <f t="shared" si="86"/>
        <v>8</v>
      </c>
      <c r="G535">
        <f t="shared" si="84"/>
        <v>5</v>
      </c>
      <c r="H535">
        <f t="shared" si="85"/>
        <v>0</v>
      </c>
      <c r="K535" t="str">
        <f t="shared" ca="1" si="81"/>
        <v>WOOD</v>
      </c>
      <c r="L535" t="str">
        <f t="shared" ca="1" si="82"/>
        <v>dom</v>
      </c>
      <c r="M535" t="str">
        <f t="shared" ca="1" si="79"/>
        <v>CHM</v>
      </c>
      <c r="N535">
        <f t="shared" ca="1" si="80"/>
        <v>0.18026547526117315</v>
      </c>
    </row>
    <row r="536" spans="6:14" x14ac:dyDescent="0.35">
      <c r="F536">
        <f t="shared" si="86"/>
        <v>8</v>
      </c>
      <c r="G536">
        <f t="shared" si="84"/>
        <v>6</v>
      </c>
      <c r="H536">
        <f t="shared" si="85"/>
        <v>0</v>
      </c>
      <c r="K536" t="str">
        <f t="shared" ca="1" si="81"/>
        <v>PPP</v>
      </c>
      <c r="L536" t="str">
        <f t="shared" ca="1" si="82"/>
        <v>dom</v>
      </c>
      <c r="M536" t="str">
        <f t="shared" ca="1" si="79"/>
        <v>CHM</v>
      </c>
      <c r="N536">
        <f t="shared" ca="1" si="80"/>
        <v>3.608117997479301</v>
      </c>
    </row>
    <row r="537" spans="6:14" x14ac:dyDescent="0.35">
      <c r="F537">
        <f t="shared" si="86"/>
        <v>8</v>
      </c>
      <c r="G537">
        <f t="shared" si="84"/>
        <v>7</v>
      </c>
      <c r="H537">
        <f t="shared" si="85"/>
        <v>0</v>
      </c>
      <c r="K537" t="str">
        <f t="shared" ca="1" si="81"/>
        <v>PC</v>
      </c>
      <c r="L537" t="str">
        <f t="shared" ca="1" si="82"/>
        <v>dom</v>
      </c>
      <c r="M537" t="str">
        <f t="shared" ca="1" si="79"/>
        <v>CHM</v>
      </c>
      <c r="N537">
        <f t="shared" ca="1" si="80"/>
        <v>0.54980768968997662</v>
      </c>
    </row>
    <row r="538" spans="6:14" x14ac:dyDescent="0.35">
      <c r="F538">
        <f t="shared" si="86"/>
        <v>8</v>
      </c>
      <c r="G538">
        <f t="shared" si="84"/>
        <v>8</v>
      </c>
      <c r="H538">
        <f t="shared" si="85"/>
        <v>0</v>
      </c>
      <c r="K538" t="str">
        <f t="shared" ca="1" si="81"/>
        <v>CHM</v>
      </c>
      <c r="L538" t="str">
        <f t="shared" ca="1" si="82"/>
        <v>dom</v>
      </c>
      <c r="M538" t="str">
        <f t="shared" ca="1" si="79"/>
        <v>CHM</v>
      </c>
      <c r="N538">
        <f t="shared" ca="1" si="80"/>
        <v>3.4237627826598946</v>
      </c>
    </row>
    <row r="539" spans="6:14" x14ac:dyDescent="0.35">
      <c r="F539">
        <f t="shared" si="86"/>
        <v>8</v>
      </c>
      <c r="G539">
        <f t="shared" si="84"/>
        <v>9</v>
      </c>
      <c r="H539">
        <f t="shared" si="85"/>
        <v>0</v>
      </c>
      <c r="K539" t="str">
        <f t="shared" ca="1" si="81"/>
        <v>RUBBER</v>
      </c>
      <c r="L539" t="str">
        <f t="shared" ca="1" si="82"/>
        <v>dom</v>
      </c>
      <c r="M539" t="str">
        <f t="shared" ca="1" si="79"/>
        <v>CHM</v>
      </c>
      <c r="N539">
        <f t="shared" ca="1" si="80"/>
        <v>5.3595702630496378</v>
      </c>
    </row>
    <row r="540" spans="6:14" x14ac:dyDescent="0.35">
      <c r="F540">
        <f t="shared" si="86"/>
        <v>8</v>
      </c>
      <c r="G540">
        <f t="shared" si="84"/>
        <v>10</v>
      </c>
      <c r="H540">
        <f t="shared" si="85"/>
        <v>0</v>
      </c>
      <c r="K540" t="str">
        <f t="shared" ca="1" si="81"/>
        <v>NMM</v>
      </c>
      <c r="L540" t="str">
        <f t="shared" ca="1" si="82"/>
        <v>dom</v>
      </c>
      <c r="M540" t="str">
        <f t="shared" ca="1" si="79"/>
        <v>CHM</v>
      </c>
      <c r="N540">
        <f t="shared" ca="1" si="80"/>
        <v>4.9649756969029273</v>
      </c>
    </row>
    <row r="541" spans="6:14" x14ac:dyDescent="0.35">
      <c r="F541">
        <f t="shared" si="86"/>
        <v>8</v>
      </c>
      <c r="G541">
        <f t="shared" si="84"/>
        <v>11</v>
      </c>
      <c r="H541">
        <f t="shared" si="85"/>
        <v>0</v>
      </c>
      <c r="K541" t="str">
        <f t="shared" ca="1" si="81"/>
        <v>METAL</v>
      </c>
      <c r="L541" t="str">
        <f t="shared" ca="1" si="82"/>
        <v>dom</v>
      </c>
      <c r="M541" t="str">
        <f t="shared" ca="1" si="79"/>
        <v>CHM</v>
      </c>
      <c r="N541">
        <f t="shared" ca="1" si="80"/>
        <v>14.521694747792063</v>
      </c>
    </row>
    <row r="542" spans="6:14" x14ac:dyDescent="0.35">
      <c r="F542">
        <f t="shared" si="86"/>
        <v>8</v>
      </c>
      <c r="G542">
        <f t="shared" si="84"/>
        <v>12</v>
      </c>
      <c r="H542">
        <f t="shared" si="85"/>
        <v>0</v>
      </c>
      <c r="K542" t="str">
        <f t="shared" ca="1" si="81"/>
        <v>MACH</v>
      </c>
      <c r="L542" t="str">
        <f t="shared" ca="1" si="82"/>
        <v>dom</v>
      </c>
      <c r="M542" t="str">
        <f t="shared" ca="1" si="79"/>
        <v>CHM</v>
      </c>
      <c r="N542">
        <f t="shared" ca="1" si="80"/>
        <v>21.019008345233317</v>
      </c>
    </row>
    <row r="543" spans="6:14" x14ac:dyDescent="0.35">
      <c r="F543">
        <f t="shared" si="86"/>
        <v>8</v>
      </c>
      <c r="G543">
        <f t="shared" si="84"/>
        <v>13</v>
      </c>
      <c r="H543">
        <f t="shared" si="85"/>
        <v>0</v>
      </c>
      <c r="K543" t="str">
        <f t="shared" ca="1" si="81"/>
        <v>ELEC</v>
      </c>
      <c r="L543" t="str">
        <f t="shared" ca="1" si="82"/>
        <v>dom</v>
      </c>
      <c r="M543" t="str">
        <f t="shared" ca="1" si="79"/>
        <v>CHM</v>
      </c>
      <c r="N543">
        <f t="shared" ca="1" si="80"/>
        <v>4.3724100978597242</v>
      </c>
    </row>
    <row r="544" spans="6:14" x14ac:dyDescent="0.35">
      <c r="F544">
        <f t="shared" si="86"/>
        <v>8</v>
      </c>
      <c r="G544">
        <f t="shared" si="84"/>
        <v>14</v>
      </c>
      <c r="H544">
        <f t="shared" si="85"/>
        <v>0</v>
      </c>
      <c r="K544" t="str">
        <f t="shared" ca="1" si="81"/>
        <v>TRNEQUIP</v>
      </c>
      <c r="L544" t="str">
        <f t="shared" ca="1" si="82"/>
        <v>dom</v>
      </c>
      <c r="M544" t="str">
        <f t="shared" ca="1" si="79"/>
        <v>CHM</v>
      </c>
      <c r="N544">
        <f t="shared" ca="1" si="80"/>
        <v>6.315981030372714</v>
      </c>
    </row>
    <row r="545" spans="6:14" x14ac:dyDescent="0.35">
      <c r="F545">
        <f t="shared" si="86"/>
        <v>8</v>
      </c>
      <c r="G545">
        <f t="shared" si="84"/>
        <v>15</v>
      </c>
      <c r="H545">
        <f t="shared" si="85"/>
        <v>0</v>
      </c>
      <c r="K545" t="str">
        <f t="shared" ca="1" si="81"/>
        <v>ROMAN</v>
      </c>
      <c r="L545" t="str">
        <f t="shared" ca="1" si="82"/>
        <v>dom</v>
      </c>
      <c r="M545" t="str">
        <f t="shared" ca="1" si="79"/>
        <v>CHM</v>
      </c>
      <c r="N545">
        <f t="shared" ca="1" si="80"/>
        <v>17.19800625001988</v>
      </c>
    </row>
    <row r="546" spans="6:14" x14ac:dyDescent="0.35">
      <c r="F546">
        <f t="shared" si="86"/>
        <v>8</v>
      </c>
      <c r="G546">
        <f t="shared" si="84"/>
        <v>16</v>
      </c>
      <c r="H546">
        <f t="shared" si="85"/>
        <v>0</v>
      </c>
      <c r="K546" t="str">
        <f t="shared" ca="1" si="81"/>
        <v>ELYGASWTR</v>
      </c>
      <c r="L546" t="str">
        <f t="shared" ca="1" si="82"/>
        <v>dom</v>
      </c>
      <c r="M546" t="str">
        <f t="shared" ca="1" si="79"/>
        <v>CHM</v>
      </c>
      <c r="N546">
        <f t="shared" ca="1" si="80"/>
        <v>3.92447099007751E-7</v>
      </c>
    </row>
    <row r="547" spans="6:14" x14ac:dyDescent="0.35">
      <c r="F547">
        <f t="shared" si="86"/>
        <v>8</v>
      </c>
      <c r="G547">
        <f t="shared" si="84"/>
        <v>17</v>
      </c>
      <c r="H547">
        <f t="shared" si="85"/>
        <v>0</v>
      </c>
      <c r="K547" t="str">
        <f t="shared" ca="1" si="81"/>
        <v>CNS</v>
      </c>
      <c r="L547" t="str">
        <f t="shared" ca="1" si="82"/>
        <v>dom</v>
      </c>
      <c r="M547" t="str">
        <f t="shared" ca="1" si="79"/>
        <v>CHM</v>
      </c>
      <c r="N547">
        <f t="shared" ca="1" si="80"/>
        <v>571.2909341053047</v>
      </c>
    </row>
    <row r="548" spans="6:14" x14ac:dyDescent="0.35">
      <c r="F548">
        <f t="shared" si="86"/>
        <v>8</v>
      </c>
      <c r="G548">
        <f t="shared" si="84"/>
        <v>18</v>
      </c>
      <c r="H548">
        <f t="shared" si="85"/>
        <v>0</v>
      </c>
      <c r="K548" t="str">
        <f t="shared" ca="1" si="81"/>
        <v>TRD</v>
      </c>
      <c r="L548" t="str">
        <f t="shared" ca="1" si="82"/>
        <v>dom</v>
      </c>
      <c r="M548" t="str">
        <f t="shared" ca="1" si="79"/>
        <v>CHM</v>
      </c>
      <c r="N548">
        <f t="shared" ca="1" si="80"/>
        <v>91.345611533341341</v>
      </c>
    </row>
    <row r="549" spans="6:14" x14ac:dyDescent="0.35">
      <c r="F549">
        <f t="shared" ref="F549:F564" si="87">F483+1</f>
        <v>8</v>
      </c>
      <c r="G549">
        <f t="shared" si="84"/>
        <v>19</v>
      </c>
      <c r="H549">
        <f t="shared" si="85"/>
        <v>0</v>
      </c>
      <c r="K549" t="str">
        <f t="shared" ca="1" si="81"/>
        <v>AFS</v>
      </c>
      <c r="L549" t="str">
        <f t="shared" ca="1" si="82"/>
        <v>dom</v>
      </c>
      <c r="M549" t="str">
        <f t="shared" ca="1" si="79"/>
        <v>CHM</v>
      </c>
      <c r="N549">
        <f t="shared" ca="1" si="80"/>
        <v>3.92447099007751E-7</v>
      </c>
    </row>
    <row r="550" spans="6:14" x14ac:dyDescent="0.35">
      <c r="F550">
        <f t="shared" si="87"/>
        <v>8</v>
      </c>
      <c r="G550">
        <f t="shared" si="84"/>
        <v>20</v>
      </c>
      <c r="H550">
        <f t="shared" si="85"/>
        <v>0</v>
      </c>
      <c r="K550" t="str">
        <f t="shared" ca="1" si="81"/>
        <v>OTP</v>
      </c>
      <c r="L550" t="str">
        <f t="shared" ca="1" si="82"/>
        <v>dom</v>
      </c>
      <c r="M550" t="str">
        <f t="shared" ca="1" si="79"/>
        <v>CHM</v>
      </c>
      <c r="N550">
        <f t="shared" ca="1" si="80"/>
        <v>3.92447099007751E-7</v>
      </c>
    </row>
    <row r="551" spans="6:14" x14ac:dyDescent="0.35">
      <c r="F551">
        <f t="shared" si="87"/>
        <v>8</v>
      </c>
      <c r="G551">
        <f t="shared" si="84"/>
        <v>21</v>
      </c>
      <c r="H551">
        <f t="shared" si="85"/>
        <v>0</v>
      </c>
      <c r="K551" t="str">
        <f t="shared" ca="1" si="81"/>
        <v>WTP</v>
      </c>
      <c r="L551" t="str">
        <f t="shared" ca="1" si="82"/>
        <v>dom</v>
      </c>
      <c r="M551" t="str">
        <f t="shared" ca="1" si="79"/>
        <v>CHM</v>
      </c>
      <c r="N551">
        <f t="shared" ca="1" si="80"/>
        <v>3.92447099007751E-7</v>
      </c>
    </row>
    <row r="552" spans="6:14" x14ac:dyDescent="0.35">
      <c r="F552">
        <f t="shared" si="87"/>
        <v>8</v>
      </c>
      <c r="G552">
        <f t="shared" si="84"/>
        <v>22</v>
      </c>
      <c r="H552">
        <f t="shared" si="85"/>
        <v>0</v>
      </c>
      <c r="K552" t="str">
        <f t="shared" ca="1" si="81"/>
        <v>ATP</v>
      </c>
      <c r="L552" t="str">
        <f t="shared" ca="1" si="82"/>
        <v>dom</v>
      </c>
      <c r="M552" t="str">
        <f t="shared" ca="1" si="79"/>
        <v>CHM</v>
      </c>
      <c r="N552">
        <f t="shared" ca="1" si="80"/>
        <v>3.92447099007751E-7</v>
      </c>
    </row>
    <row r="553" spans="6:14" x14ac:dyDescent="0.35">
      <c r="F553">
        <f t="shared" si="87"/>
        <v>8</v>
      </c>
      <c r="G553">
        <f t="shared" si="84"/>
        <v>23</v>
      </c>
      <c r="H553">
        <f t="shared" si="85"/>
        <v>0</v>
      </c>
      <c r="K553" t="str">
        <f t="shared" ca="1" si="81"/>
        <v>WHS</v>
      </c>
      <c r="L553" t="str">
        <f t="shared" ca="1" si="82"/>
        <v>dom</v>
      </c>
      <c r="M553" t="str">
        <f t="shared" ca="1" si="79"/>
        <v>CHM</v>
      </c>
      <c r="N553">
        <f t="shared" ca="1" si="80"/>
        <v>3.92447099007751E-7</v>
      </c>
    </row>
    <row r="554" spans="6:14" x14ac:dyDescent="0.35">
      <c r="F554">
        <f t="shared" si="87"/>
        <v>8</v>
      </c>
      <c r="G554">
        <f t="shared" si="84"/>
        <v>24</v>
      </c>
      <c r="H554">
        <f t="shared" si="85"/>
        <v>0</v>
      </c>
      <c r="K554" t="str">
        <f t="shared" ca="1" si="81"/>
        <v>CMN</v>
      </c>
      <c r="L554" t="str">
        <f t="shared" ca="1" si="82"/>
        <v>dom</v>
      </c>
      <c r="M554" t="str">
        <f t="shared" ca="1" si="79"/>
        <v>CHM</v>
      </c>
      <c r="N554">
        <f t="shared" ca="1" si="80"/>
        <v>3.92447099007751E-7</v>
      </c>
    </row>
    <row r="555" spans="6:14" x14ac:dyDescent="0.35">
      <c r="F555">
        <f t="shared" si="87"/>
        <v>8</v>
      </c>
      <c r="G555">
        <f t="shared" si="84"/>
        <v>25</v>
      </c>
      <c r="H555">
        <f t="shared" si="85"/>
        <v>0</v>
      </c>
      <c r="K555" t="str">
        <f t="shared" ca="1" si="81"/>
        <v>OFI</v>
      </c>
      <c r="L555" t="str">
        <f t="shared" ca="1" si="82"/>
        <v>dom</v>
      </c>
      <c r="M555" t="str">
        <f t="shared" ca="1" si="79"/>
        <v>CHM</v>
      </c>
      <c r="N555">
        <f t="shared" ca="1" si="80"/>
        <v>3.92447099007751E-7</v>
      </c>
    </row>
    <row r="556" spans="6:14" x14ac:dyDescent="0.35">
      <c r="F556">
        <f t="shared" si="87"/>
        <v>8</v>
      </c>
      <c r="G556">
        <f t="shared" si="84"/>
        <v>26</v>
      </c>
      <c r="H556">
        <f t="shared" si="85"/>
        <v>0</v>
      </c>
      <c r="K556" t="str">
        <f t="shared" ca="1" si="81"/>
        <v>RSA</v>
      </c>
      <c r="L556" t="str">
        <f t="shared" ca="1" si="82"/>
        <v>dom</v>
      </c>
      <c r="M556" t="str">
        <f t="shared" ca="1" si="79"/>
        <v>CHM</v>
      </c>
      <c r="N556">
        <f t="shared" ca="1" si="80"/>
        <v>3.92447099007751E-7</v>
      </c>
    </row>
    <row r="557" spans="6:14" x14ac:dyDescent="0.35">
      <c r="F557">
        <f t="shared" si="87"/>
        <v>8</v>
      </c>
      <c r="G557">
        <f t="shared" si="84"/>
        <v>27</v>
      </c>
      <c r="H557">
        <f t="shared" si="85"/>
        <v>0</v>
      </c>
      <c r="K557" t="str">
        <f t="shared" ca="1" si="81"/>
        <v>OBS</v>
      </c>
      <c r="L557" t="str">
        <f t="shared" ca="1" si="82"/>
        <v>dom</v>
      </c>
      <c r="M557" t="str">
        <f t="shared" ca="1" si="79"/>
        <v>CHM</v>
      </c>
      <c r="N557">
        <f t="shared" ca="1" si="80"/>
        <v>3.92447099007751E-7</v>
      </c>
    </row>
    <row r="558" spans="6:14" x14ac:dyDescent="0.35">
      <c r="F558">
        <f t="shared" si="87"/>
        <v>8</v>
      </c>
      <c r="G558">
        <f t="shared" si="84"/>
        <v>28</v>
      </c>
      <c r="H558">
        <f t="shared" si="85"/>
        <v>0</v>
      </c>
      <c r="K558" t="str">
        <f t="shared" ca="1" si="81"/>
        <v>GOV</v>
      </c>
      <c r="L558" t="str">
        <f t="shared" ca="1" si="82"/>
        <v>dom</v>
      </c>
      <c r="M558" t="str">
        <f t="shared" ca="1" si="79"/>
        <v>CHM</v>
      </c>
      <c r="N558">
        <f t="shared" ca="1" si="80"/>
        <v>3.92447099007751E-7</v>
      </c>
    </row>
    <row r="559" spans="6:14" x14ac:dyDescent="0.35">
      <c r="F559">
        <f t="shared" si="87"/>
        <v>8</v>
      </c>
      <c r="G559">
        <f t="shared" si="84"/>
        <v>29</v>
      </c>
      <c r="H559">
        <f t="shared" si="85"/>
        <v>0</v>
      </c>
      <c r="K559" t="str">
        <f t="shared" ca="1" si="81"/>
        <v>EDU</v>
      </c>
      <c r="L559" t="str">
        <f t="shared" ca="1" si="82"/>
        <v>dom</v>
      </c>
      <c r="M559" t="str">
        <f t="shared" ca="1" si="79"/>
        <v>CHM</v>
      </c>
      <c r="N559">
        <f t="shared" ca="1" si="80"/>
        <v>3.92447099007751E-7</v>
      </c>
    </row>
    <row r="560" spans="6:14" x14ac:dyDescent="0.35">
      <c r="F560">
        <f t="shared" si="87"/>
        <v>8</v>
      </c>
      <c r="G560">
        <f t="shared" si="84"/>
        <v>30</v>
      </c>
      <c r="H560">
        <f t="shared" si="85"/>
        <v>0</v>
      </c>
      <c r="K560" t="str">
        <f t="shared" ca="1" si="81"/>
        <v>HHT</v>
      </c>
      <c r="L560" t="str">
        <f t="shared" ca="1" si="82"/>
        <v>dom</v>
      </c>
      <c r="M560" t="str">
        <f t="shared" ca="1" si="79"/>
        <v>CHM</v>
      </c>
      <c r="N560">
        <f t="shared" ca="1" si="80"/>
        <v>3.92447099007751E-7</v>
      </c>
    </row>
    <row r="561" spans="6:14" x14ac:dyDescent="0.35">
      <c r="F561">
        <f t="shared" si="87"/>
        <v>8</v>
      </c>
      <c r="G561">
        <f t="shared" si="84"/>
        <v>31</v>
      </c>
      <c r="H561">
        <f t="shared" si="85"/>
        <v>0</v>
      </c>
      <c r="K561" t="str">
        <f t="shared" ca="1" si="81"/>
        <v>REC</v>
      </c>
      <c r="L561" t="str">
        <f t="shared" ca="1" si="82"/>
        <v>dom</v>
      </c>
      <c r="M561" t="str">
        <f t="shared" ca="1" si="79"/>
        <v>CHM</v>
      </c>
      <c r="N561">
        <f t="shared" ca="1" si="80"/>
        <v>3.92447099007751E-7</v>
      </c>
    </row>
    <row r="562" spans="6:14" x14ac:dyDescent="0.35">
      <c r="F562">
        <f t="shared" si="87"/>
        <v>8</v>
      </c>
      <c r="G562">
        <f t="shared" si="84"/>
        <v>32</v>
      </c>
      <c r="H562">
        <f t="shared" si="85"/>
        <v>0</v>
      </c>
      <c r="K562" t="str">
        <f t="shared" ca="1" si="81"/>
        <v>DWE</v>
      </c>
      <c r="L562" t="str">
        <f t="shared" ca="1" si="82"/>
        <v>dom</v>
      </c>
      <c r="M562" t="str">
        <f t="shared" ca="1" si="79"/>
        <v>CHM</v>
      </c>
      <c r="N562">
        <f t="shared" ca="1" si="80"/>
        <v>3.92447099007751E-7</v>
      </c>
    </row>
    <row r="563" spans="6:14" x14ac:dyDescent="0.35">
      <c r="F563">
        <f t="shared" si="87"/>
        <v>8</v>
      </c>
      <c r="G563">
        <f t="shared" si="84"/>
        <v>0</v>
      </c>
      <c r="H563">
        <f t="shared" si="85"/>
        <v>1</v>
      </c>
      <c r="K563" t="str">
        <f t="shared" ca="1" si="81"/>
        <v>AG</v>
      </c>
      <c r="L563" t="str">
        <f t="shared" ca="1" si="82"/>
        <v>imp</v>
      </c>
      <c r="M563" t="str">
        <f t="shared" ca="1" si="79"/>
        <v>CHM</v>
      </c>
      <c r="N563">
        <f t="shared" ca="1" si="80"/>
        <v>3.6308515057189643</v>
      </c>
    </row>
    <row r="564" spans="6:14" x14ac:dyDescent="0.35">
      <c r="F564">
        <f t="shared" si="87"/>
        <v>8</v>
      </c>
      <c r="G564">
        <f t="shared" si="84"/>
        <v>1</v>
      </c>
      <c r="H564">
        <f t="shared" si="85"/>
        <v>1</v>
      </c>
      <c r="K564" t="str">
        <f t="shared" ca="1" si="81"/>
        <v>MIN</v>
      </c>
      <c r="L564" t="str">
        <f t="shared" ca="1" si="82"/>
        <v>imp</v>
      </c>
      <c r="M564" t="str">
        <f t="shared" ca="1" si="79"/>
        <v>CHM</v>
      </c>
      <c r="N564">
        <f t="shared" ca="1" si="80"/>
        <v>5.7281463977951761</v>
      </c>
    </row>
    <row r="565" spans="6:14" x14ac:dyDescent="0.35">
      <c r="F565">
        <f t="shared" ref="F565:F580" si="88">F499+1</f>
        <v>8</v>
      </c>
      <c r="G565">
        <f t="shared" si="84"/>
        <v>2</v>
      </c>
      <c r="H565">
        <f t="shared" si="85"/>
        <v>1</v>
      </c>
      <c r="K565" t="str">
        <f t="shared" ca="1" si="81"/>
        <v>FBT</v>
      </c>
      <c r="L565" t="str">
        <f t="shared" ca="1" si="82"/>
        <v>imp</v>
      </c>
      <c r="M565" t="str">
        <f t="shared" ca="1" si="79"/>
        <v>CHM</v>
      </c>
      <c r="N565">
        <f t="shared" ca="1" si="80"/>
        <v>1.4333579296330781</v>
      </c>
    </row>
    <row r="566" spans="6:14" x14ac:dyDescent="0.35">
      <c r="F566">
        <f t="shared" si="88"/>
        <v>8</v>
      </c>
      <c r="G566">
        <f t="shared" si="84"/>
        <v>3</v>
      </c>
      <c r="H566">
        <f t="shared" si="85"/>
        <v>1</v>
      </c>
      <c r="K566" t="str">
        <f t="shared" ca="1" si="81"/>
        <v>TEX</v>
      </c>
      <c r="L566" t="str">
        <f t="shared" ca="1" si="82"/>
        <v>imp</v>
      </c>
      <c r="M566" t="str">
        <f t="shared" ca="1" si="79"/>
        <v>CHM</v>
      </c>
      <c r="N566">
        <f t="shared" ca="1" si="80"/>
        <v>28.128238830573462</v>
      </c>
    </row>
    <row r="567" spans="6:14" x14ac:dyDescent="0.35">
      <c r="F567">
        <f t="shared" si="88"/>
        <v>8</v>
      </c>
      <c r="G567">
        <f t="shared" si="84"/>
        <v>4</v>
      </c>
      <c r="H567">
        <f t="shared" si="85"/>
        <v>1</v>
      </c>
      <c r="K567" t="str">
        <f t="shared" ca="1" si="81"/>
        <v>LEATHER</v>
      </c>
      <c r="L567" t="str">
        <f t="shared" ca="1" si="82"/>
        <v>imp</v>
      </c>
      <c r="M567" t="str">
        <f t="shared" ca="1" si="79"/>
        <v>CHM</v>
      </c>
      <c r="N567">
        <f t="shared" ca="1" si="80"/>
        <v>14.659579548902627</v>
      </c>
    </row>
    <row r="568" spans="6:14" x14ac:dyDescent="0.35">
      <c r="F568">
        <f t="shared" si="88"/>
        <v>8</v>
      </c>
      <c r="G568">
        <f t="shared" si="84"/>
        <v>5</v>
      </c>
      <c r="H568">
        <f t="shared" si="85"/>
        <v>1</v>
      </c>
      <c r="K568" t="str">
        <f t="shared" ca="1" si="81"/>
        <v>WOOD</v>
      </c>
      <c r="L568" t="str">
        <f t="shared" ca="1" si="82"/>
        <v>imp</v>
      </c>
      <c r="M568" t="str">
        <f t="shared" ca="1" si="79"/>
        <v>CHM</v>
      </c>
      <c r="N568">
        <f t="shared" ca="1" si="80"/>
        <v>0.26239574688146328</v>
      </c>
    </row>
    <row r="569" spans="6:14" x14ac:dyDescent="0.35">
      <c r="F569">
        <f t="shared" si="88"/>
        <v>8</v>
      </c>
      <c r="G569">
        <f t="shared" si="84"/>
        <v>6</v>
      </c>
      <c r="H569">
        <f t="shared" si="85"/>
        <v>1</v>
      </c>
      <c r="K569" t="str">
        <f t="shared" ca="1" si="81"/>
        <v>PPP</v>
      </c>
      <c r="L569" t="str">
        <f t="shared" ca="1" si="82"/>
        <v>imp</v>
      </c>
      <c r="M569" t="str">
        <f t="shared" ca="1" si="79"/>
        <v>CHM</v>
      </c>
      <c r="N569">
        <f t="shared" ca="1" si="80"/>
        <v>3.7784722784510878</v>
      </c>
    </row>
    <row r="570" spans="6:14" x14ac:dyDescent="0.35">
      <c r="F570">
        <f t="shared" si="88"/>
        <v>8</v>
      </c>
      <c r="G570">
        <f t="shared" si="84"/>
        <v>7</v>
      </c>
      <c r="H570">
        <f t="shared" si="85"/>
        <v>1</v>
      </c>
      <c r="K570" t="str">
        <f t="shared" ca="1" si="81"/>
        <v>PC</v>
      </c>
      <c r="L570" t="str">
        <f t="shared" ca="1" si="82"/>
        <v>imp</v>
      </c>
      <c r="M570" t="str">
        <f t="shared" ca="1" si="79"/>
        <v>CHM</v>
      </c>
      <c r="N570">
        <f t="shared" ca="1" si="80"/>
        <v>0.95146375040416997</v>
      </c>
    </row>
    <row r="571" spans="6:14" x14ac:dyDescent="0.35">
      <c r="F571">
        <f t="shared" si="88"/>
        <v>8</v>
      </c>
      <c r="G571">
        <f t="shared" si="84"/>
        <v>8</v>
      </c>
      <c r="H571">
        <f t="shared" si="85"/>
        <v>1</v>
      </c>
      <c r="K571" t="str">
        <f t="shared" ca="1" si="81"/>
        <v>CHM</v>
      </c>
      <c r="L571" t="str">
        <f t="shared" ca="1" si="82"/>
        <v>imp</v>
      </c>
      <c r="M571" t="str">
        <f t="shared" ca="1" si="79"/>
        <v>CHM</v>
      </c>
      <c r="N571">
        <f t="shared" ca="1" si="80"/>
        <v>13.042979353840938</v>
      </c>
    </row>
    <row r="572" spans="6:14" x14ac:dyDescent="0.35">
      <c r="F572">
        <f t="shared" si="88"/>
        <v>8</v>
      </c>
      <c r="G572">
        <f t="shared" si="84"/>
        <v>9</v>
      </c>
      <c r="H572">
        <f t="shared" si="85"/>
        <v>1</v>
      </c>
      <c r="K572" t="str">
        <f t="shared" ca="1" si="81"/>
        <v>RUBBER</v>
      </c>
      <c r="L572" t="str">
        <f t="shared" ca="1" si="82"/>
        <v>imp</v>
      </c>
      <c r="M572" t="str">
        <f t="shared" ca="1" si="79"/>
        <v>CHM</v>
      </c>
      <c r="N572">
        <f t="shared" ca="1" si="80"/>
        <v>9.9891885928876274</v>
      </c>
    </row>
    <row r="573" spans="6:14" x14ac:dyDescent="0.35">
      <c r="F573">
        <f t="shared" si="88"/>
        <v>8</v>
      </c>
      <c r="G573">
        <f t="shared" si="84"/>
        <v>10</v>
      </c>
      <c r="H573">
        <f t="shared" si="85"/>
        <v>1</v>
      </c>
      <c r="K573" t="str">
        <f t="shared" ca="1" si="81"/>
        <v>NMM</v>
      </c>
      <c r="L573" t="str">
        <f t="shared" ca="1" si="82"/>
        <v>imp</v>
      </c>
      <c r="M573" t="str">
        <f t="shared" ca="1" si="79"/>
        <v>CHM</v>
      </c>
      <c r="N573">
        <f t="shared" ca="1" si="80"/>
        <v>3.7707925944274492</v>
      </c>
    </row>
    <row r="574" spans="6:14" x14ac:dyDescent="0.35">
      <c r="F574">
        <f t="shared" si="88"/>
        <v>8</v>
      </c>
      <c r="G574">
        <f t="shared" si="84"/>
        <v>11</v>
      </c>
      <c r="H574">
        <f t="shared" si="85"/>
        <v>1</v>
      </c>
      <c r="K574" t="str">
        <f t="shared" ca="1" si="81"/>
        <v>METAL</v>
      </c>
      <c r="L574" t="str">
        <f t="shared" ca="1" si="82"/>
        <v>imp</v>
      </c>
      <c r="M574" t="str">
        <f t="shared" ca="1" si="79"/>
        <v>CHM</v>
      </c>
      <c r="N574">
        <f t="shared" ca="1" si="80"/>
        <v>47.199530298318813</v>
      </c>
    </row>
    <row r="575" spans="6:14" x14ac:dyDescent="0.35">
      <c r="F575">
        <f t="shared" si="88"/>
        <v>8</v>
      </c>
      <c r="G575">
        <f t="shared" si="84"/>
        <v>12</v>
      </c>
      <c r="H575">
        <f t="shared" si="85"/>
        <v>1</v>
      </c>
      <c r="K575" t="str">
        <f t="shared" ca="1" si="81"/>
        <v>MACH</v>
      </c>
      <c r="L575" t="str">
        <f t="shared" ca="1" si="82"/>
        <v>imp</v>
      </c>
      <c r="M575" t="str">
        <f t="shared" ca="1" si="79"/>
        <v>CHM</v>
      </c>
      <c r="N575">
        <f t="shared" ca="1" si="80"/>
        <v>180.81063323611764</v>
      </c>
    </row>
    <row r="576" spans="6:14" x14ac:dyDescent="0.35">
      <c r="F576">
        <f t="shared" si="88"/>
        <v>8</v>
      </c>
      <c r="G576">
        <f t="shared" si="84"/>
        <v>13</v>
      </c>
      <c r="H576">
        <f t="shared" si="85"/>
        <v>1</v>
      </c>
      <c r="K576" t="str">
        <f t="shared" ca="1" si="81"/>
        <v>ELEC</v>
      </c>
      <c r="L576" t="str">
        <f t="shared" ca="1" si="82"/>
        <v>imp</v>
      </c>
      <c r="M576" t="str">
        <f t="shared" ca="1" si="79"/>
        <v>CHM</v>
      </c>
      <c r="N576">
        <f t="shared" ca="1" si="80"/>
        <v>96.945146090010667</v>
      </c>
    </row>
    <row r="577" spans="6:14" x14ac:dyDescent="0.35">
      <c r="F577">
        <f t="shared" si="88"/>
        <v>8</v>
      </c>
      <c r="G577">
        <f t="shared" si="84"/>
        <v>14</v>
      </c>
      <c r="H577">
        <f t="shared" si="85"/>
        <v>1</v>
      </c>
      <c r="K577" t="str">
        <f t="shared" ca="1" si="81"/>
        <v>TRNEQUIP</v>
      </c>
      <c r="L577" t="str">
        <f t="shared" ca="1" si="82"/>
        <v>imp</v>
      </c>
      <c r="M577" t="str">
        <f t="shared" ca="1" si="79"/>
        <v>CHM</v>
      </c>
      <c r="N577">
        <f t="shared" ca="1" si="80"/>
        <v>154.71354884658805</v>
      </c>
    </row>
    <row r="578" spans="6:14" x14ac:dyDescent="0.35">
      <c r="F578">
        <f t="shared" si="88"/>
        <v>8</v>
      </c>
      <c r="G578">
        <f t="shared" si="84"/>
        <v>15</v>
      </c>
      <c r="H578">
        <f t="shared" si="85"/>
        <v>1</v>
      </c>
      <c r="K578" t="str">
        <f t="shared" ca="1" si="81"/>
        <v>ROMAN</v>
      </c>
      <c r="L578" t="str">
        <f t="shared" ca="1" si="82"/>
        <v>imp</v>
      </c>
      <c r="M578" t="str">
        <f t="shared" ref="M578:M641" ca="1" si="89">OFFSET(A$2,F578,0)</f>
        <v>CHM</v>
      </c>
      <c r="N578">
        <f t="shared" ref="N578:N641" ca="1" si="90">SUMIFS(C:C,A:A,K578,B:B,L578)*SUMIFS(U:U,S:S,M578)</f>
        <v>58.703684367539658</v>
      </c>
    </row>
    <row r="579" spans="6:14" x14ac:dyDescent="0.35">
      <c r="F579">
        <f t="shared" si="88"/>
        <v>8</v>
      </c>
      <c r="G579">
        <f t="shared" si="84"/>
        <v>16</v>
      </c>
      <c r="H579">
        <f t="shared" si="85"/>
        <v>1</v>
      </c>
      <c r="K579" t="str">
        <f t="shared" ref="K579:K642" ca="1" si="91">OFFSET(A$2,G579,0)</f>
        <v>ELYGASWTR</v>
      </c>
      <c r="L579" t="str">
        <f t="shared" ref="L579:L642" ca="1" si="92">OFFSET($V$3,H579,0)</f>
        <v>imp</v>
      </c>
      <c r="M579" t="str">
        <f t="shared" ca="1" si="89"/>
        <v>CHM</v>
      </c>
      <c r="N579">
        <f t="shared" ca="1" si="90"/>
        <v>3.92447099007751E-7</v>
      </c>
    </row>
    <row r="580" spans="6:14" x14ac:dyDescent="0.35">
      <c r="F580">
        <f t="shared" si="88"/>
        <v>8</v>
      </c>
      <c r="G580">
        <f t="shared" si="84"/>
        <v>17</v>
      </c>
      <c r="H580">
        <f t="shared" si="85"/>
        <v>1</v>
      </c>
      <c r="K580" t="str">
        <f t="shared" ca="1" si="91"/>
        <v>CNS</v>
      </c>
      <c r="L580" t="str">
        <f t="shared" ca="1" si="92"/>
        <v>imp</v>
      </c>
      <c r="M580" t="str">
        <f t="shared" ca="1" si="89"/>
        <v>CHM</v>
      </c>
      <c r="N580">
        <f t="shared" ca="1" si="90"/>
        <v>11.491584535583945</v>
      </c>
    </row>
    <row r="581" spans="6:14" x14ac:dyDescent="0.35">
      <c r="F581">
        <f t="shared" ref="F581:F596" si="93">F515+1</f>
        <v>8</v>
      </c>
      <c r="G581">
        <f t="shared" ref="G581:G644" si="94">G548</f>
        <v>18</v>
      </c>
      <c r="H581">
        <f t="shared" ref="H581:H644" si="95">H515</f>
        <v>1</v>
      </c>
      <c r="K581" t="str">
        <f t="shared" ca="1" si="91"/>
        <v>TRD</v>
      </c>
      <c r="L581" t="str">
        <f t="shared" ca="1" si="92"/>
        <v>imp</v>
      </c>
      <c r="M581" t="str">
        <f t="shared" ca="1" si="89"/>
        <v>CHM</v>
      </c>
      <c r="N581">
        <f t="shared" ca="1" si="90"/>
        <v>1.0054360106463658</v>
      </c>
    </row>
    <row r="582" spans="6:14" x14ac:dyDescent="0.35">
      <c r="F582">
        <f t="shared" si="93"/>
        <v>8</v>
      </c>
      <c r="G582">
        <f t="shared" si="94"/>
        <v>19</v>
      </c>
      <c r="H582">
        <f t="shared" si="95"/>
        <v>1</v>
      </c>
      <c r="K582" t="str">
        <f t="shared" ca="1" si="91"/>
        <v>AFS</v>
      </c>
      <c r="L582" t="str">
        <f t="shared" ca="1" si="92"/>
        <v>imp</v>
      </c>
      <c r="M582" t="str">
        <f t="shared" ca="1" si="89"/>
        <v>CHM</v>
      </c>
      <c r="N582">
        <f t="shared" ca="1" si="90"/>
        <v>3.92447099007751E-7</v>
      </c>
    </row>
    <row r="583" spans="6:14" x14ac:dyDescent="0.35">
      <c r="F583">
        <f t="shared" si="93"/>
        <v>8</v>
      </c>
      <c r="G583">
        <f t="shared" si="94"/>
        <v>20</v>
      </c>
      <c r="H583">
        <f t="shared" si="95"/>
        <v>1</v>
      </c>
      <c r="K583" t="str">
        <f t="shared" ca="1" si="91"/>
        <v>OTP</v>
      </c>
      <c r="L583" t="str">
        <f t="shared" ca="1" si="92"/>
        <v>imp</v>
      </c>
      <c r="M583" t="str">
        <f t="shared" ca="1" si="89"/>
        <v>CHM</v>
      </c>
      <c r="N583">
        <f t="shared" ca="1" si="90"/>
        <v>3.92447099007751E-7</v>
      </c>
    </row>
    <row r="584" spans="6:14" x14ac:dyDescent="0.35">
      <c r="F584">
        <f t="shared" si="93"/>
        <v>8</v>
      </c>
      <c r="G584">
        <f t="shared" si="94"/>
        <v>21</v>
      </c>
      <c r="H584">
        <f t="shared" si="95"/>
        <v>1</v>
      </c>
      <c r="K584" t="str">
        <f t="shared" ca="1" si="91"/>
        <v>WTP</v>
      </c>
      <c r="L584" t="str">
        <f t="shared" ca="1" si="92"/>
        <v>imp</v>
      </c>
      <c r="M584" t="str">
        <f t="shared" ca="1" si="89"/>
        <v>CHM</v>
      </c>
      <c r="N584">
        <f t="shared" ca="1" si="90"/>
        <v>3.92447099007751E-7</v>
      </c>
    </row>
    <row r="585" spans="6:14" x14ac:dyDescent="0.35">
      <c r="F585">
        <f t="shared" si="93"/>
        <v>8</v>
      </c>
      <c r="G585">
        <f t="shared" si="94"/>
        <v>22</v>
      </c>
      <c r="H585">
        <f t="shared" si="95"/>
        <v>1</v>
      </c>
      <c r="K585" t="str">
        <f t="shared" ca="1" si="91"/>
        <v>ATP</v>
      </c>
      <c r="L585" t="str">
        <f t="shared" ca="1" si="92"/>
        <v>imp</v>
      </c>
      <c r="M585" t="str">
        <f t="shared" ca="1" si="89"/>
        <v>CHM</v>
      </c>
      <c r="N585">
        <f t="shared" ca="1" si="90"/>
        <v>3.92447099007751E-7</v>
      </c>
    </row>
    <row r="586" spans="6:14" x14ac:dyDescent="0.35">
      <c r="F586">
        <f t="shared" si="93"/>
        <v>8</v>
      </c>
      <c r="G586">
        <f t="shared" si="94"/>
        <v>23</v>
      </c>
      <c r="H586">
        <f t="shared" si="95"/>
        <v>1</v>
      </c>
      <c r="K586" t="str">
        <f t="shared" ca="1" si="91"/>
        <v>WHS</v>
      </c>
      <c r="L586" t="str">
        <f t="shared" ca="1" si="92"/>
        <v>imp</v>
      </c>
      <c r="M586" t="str">
        <f t="shared" ca="1" si="89"/>
        <v>CHM</v>
      </c>
      <c r="N586">
        <f t="shared" ca="1" si="90"/>
        <v>3.92447099007751E-7</v>
      </c>
    </row>
    <row r="587" spans="6:14" x14ac:dyDescent="0.35">
      <c r="F587">
        <f t="shared" si="93"/>
        <v>8</v>
      </c>
      <c r="G587">
        <f t="shared" si="94"/>
        <v>24</v>
      </c>
      <c r="H587">
        <f t="shared" si="95"/>
        <v>1</v>
      </c>
      <c r="K587" t="str">
        <f t="shared" ca="1" si="91"/>
        <v>CMN</v>
      </c>
      <c r="L587" t="str">
        <f t="shared" ca="1" si="92"/>
        <v>imp</v>
      </c>
      <c r="M587" t="str">
        <f t="shared" ca="1" si="89"/>
        <v>CHM</v>
      </c>
      <c r="N587">
        <f t="shared" ca="1" si="90"/>
        <v>3.92447099007751E-7</v>
      </c>
    </row>
    <row r="588" spans="6:14" x14ac:dyDescent="0.35">
      <c r="F588">
        <f t="shared" si="93"/>
        <v>8</v>
      </c>
      <c r="G588">
        <f t="shared" si="94"/>
        <v>25</v>
      </c>
      <c r="H588">
        <f t="shared" si="95"/>
        <v>1</v>
      </c>
      <c r="K588" t="str">
        <f t="shared" ca="1" si="91"/>
        <v>OFI</v>
      </c>
      <c r="L588" t="str">
        <f t="shared" ca="1" si="92"/>
        <v>imp</v>
      </c>
      <c r="M588" t="str">
        <f t="shared" ca="1" si="89"/>
        <v>CHM</v>
      </c>
      <c r="N588">
        <f t="shared" ca="1" si="90"/>
        <v>3.92447099007751E-7</v>
      </c>
    </row>
    <row r="589" spans="6:14" x14ac:dyDescent="0.35">
      <c r="F589">
        <f t="shared" si="93"/>
        <v>8</v>
      </c>
      <c r="G589">
        <f t="shared" si="94"/>
        <v>26</v>
      </c>
      <c r="H589">
        <f t="shared" si="95"/>
        <v>1</v>
      </c>
      <c r="K589" t="str">
        <f t="shared" ca="1" si="91"/>
        <v>RSA</v>
      </c>
      <c r="L589" t="str">
        <f t="shared" ca="1" si="92"/>
        <v>imp</v>
      </c>
      <c r="M589" t="str">
        <f t="shared" ca="1" si="89"/>
        <v>CHM</v>
      </c>
      <c r="N589">
        <f t="shared" ca="1" si="90"/>
        <v>3.92447099007751E-7</v>
      </c>
    </row>
    <row r="590" spans="6:14" x14ac:dyDescent="0.35">
      <c r="F590">
        <f t="shared" si="93"/>
        <v>8</v>
      </c>
      <c r="G590">
        <f t="shared" si="94"/>
        <v>27</v>
      </c>
      <c r="H590">
        <f t="shared" si="95"/>
        <v>1</v>
      </c>
      <c r="K590" t="str">
        <f t="shared" ca="1" si="91"/>
        <v>OBS</v>
      </c>
      <c r="L590" t="str">
        <f t="shared" ca="1" si="92"/>
        <v>imp</v>
      </c>
      <c r="M590" t="str">
        <f t="shared" ca="1" si="89"/>
        <v>CHM</v>
      </c>
      <c r="N590">
        <f t="shared" ca="1" si="90"/>
        <v>3.92447099007751E-7</v>
      </c>
    </row>
    <row r="591" spans="6:14" x14ac:dyDescent="0.35">
      <c r="F591">
        <f t="shared" si="93"/>
        <v>8</v>
      </c>
      <c r="G591">
        <f t="shared" si="94"/>
        <v>28</v>
      </c>
      <c r="H591">
        <f t="shared" si="95"/>
        <v>1</v>
      </c>
      <c r="K591" t="str">
        <f t="shared" ca="1" si="91"/>
        <v>GOV</v>
      </c>
      <c r="L591" t="str">
        <f t="shared" ca="1" si="92"/>
        <v>imp</v>
      </c>
      <c r="M591" t="str">
        <f t="shared" ca="1" si="89"/>
        <v>CHM</v>
      </c>
      <c r="N591">
        <f t="shared" ca="1" si="90"/>
        <v>3.92447099007751E-7</v>
      </c>
    </row>
    <row r="592" spans="6:14" x14ac:dyDescent="0.35">
      <c r="F592">
        <f t="shared" si="93"/>
        <v>8</v>
      </c>
      <c r="G592">
        <f t="shared" si="94"/>
        <v>29</v>
      </c>
      <c r="H592">
        <f t="shared" si="95"/>
        <v>1</v>
      </c>
      <c r="K592" t="str">
        <f t="shared" ca="1" si="91"/>
        <v>EDU</v>
      </c>
      <c r="L592" t="str">
        <f t="shared" ca="1" si="92"/>
        <v>imp</v>
      </c>
      <c r="M592" t="str">
        <f t="shared" ca="1" si="89"/>
        <v>CHM</v>
      </c>
      <c r="N592">
        <f t="shared" ca="1" si="90"/>
        <v>3.92447099007751E-7</v>
      </c>
    </row>
    <row r="593" spans="6:14" x14ac:dyDescent="0.35">
      <c r="F593">
        <f t="shared" si="93"/>
        <v>8</v>
      </c>
      <c r="G593">
        <f t="shared" si="94"/>
        <v>30</v>
      </c>
      <c r="H593">
        <f t="shared" si="95"/>
        <v>1</v>
      </c>
      <c r="K593" t="str">
        <f t="shared" ca="1" si="91"/>
        <v>HHT</v>
      </c>
      <c r="L593" t="str">
        <f t="shared" ca="1" si="92"/>
        <v>imp</v>
      </c>
      <c r="M593" t="str">
        <f t="shared" ca="1" si="89"/>
        <v>CHM</v>
      </c>
      <c r="N593">
        <f t="shared" ca="1" si="90"/>
        <v>3.92447099007751E-7</v>
      </c>
    </row>
    <row r="594" spans="6:14" x14ac:dyDescent="0.35">
      <c r="F594">
        <f t="shared" si="93"/>
        <v>8</v>
      </c>
      <c r="G594">
        <f t="shared" si="94"/>
        <v>31</v>
      </c>
      <c r="H594">
        <f t="shared" si="95"/>
        <v>1</v>
      </c>
      <c r="K594" t="str">
        <f t="shared" ca="1" si="91"/>
        <v>REC</v>
      </c>
      <c r="L594" t="str">
        <f t="shared" ca="1" si="92"/>
        <v>imp</v>
      </c>
      <c r="M594" t="str">
        <f t="shared" ca="1" si="89"/>
        <v>CHM</v>
      </c>
      <c r="N594">
        <f t="shared" ca="1" si="90"/>
        <v>3.92447099007751E-7</v>
      </c>
    </row>
    <row r="595" spans="6:14" x14ac:dyDescent="0.35">
      <c r="F595">
        <f t="shared" si="93"/>
        <v>8</v>
      </c>
      <c r="G595">
        <f t="shared" si="94"/>
        <v>32</v>
      </c>
      <c r="H595">
        <f t="shared" si="95"/>
        <v>1</v>
      </c>
      <c r="K595" t="str">
        <f t="shared" ca="1" si="91"/>
        <v>DWE</v>
      </c>
      <c r="L595" t="str">
        <f t="shared" ca="1" si="92"/>
        <v>imp</v>
      </c>
      <c r="M595" t="str">
        <f t="shared" ca="1" si="89"/>
        <v>CHM</v>
      </c>
      <c r="N595">
        <f t="shared" ca="1" si="90"/>
        <v>3.92447099007751E-7</v>
      </c>
    </row>
    <row r="596" spans="6:14" x14ac:dyDescent="0.35">
      <c r="F596">
        <f t="shared" si="93"/>
        <v>9</v>
      </c>
      <c r="G596">
        <f t="shared" si="94"/>
        <v>0</v>
      </c>
      <c r="H596">
        <f t="shared" si="95"/>
        <v>0</v>
      </c>
      <c r="K596" t="str">
        <f t="shared" ca="1" si="91"/>
        <v>AG</v>
      </c>
      <c r="L596" t="str">
        <f t="shared" ca="1" si="92"/>
        <v>dom</v>
      </c>
      <c r="M596" t="str">
        <f t="shared" ca="1" si="89"/>
        <v>RUBBER</v>
      </c>
      <c r="N596">
        <f t="shared" ca="1" si="90"/>
        <v>0.13309184703630766</v>
      </c>
    </row>
    <row r="597" spans="6:14" x14ac:dyDescent="0.35">
      <c r="F597">
        <f t="shared" ref="F597:F612" si="96">F531+1</f>
        <v>9</v>
      </c>
      <c r="G597">
        <f t="shared" si="94"/>
        <v>1</v>
      </c>
      <c r="H597">
        <f t="shared" si="95"/>
        <v>0</v>
      </c>
      <c r="K597" t="str">
        <f t="shared" ca="1" si="91"/>
        <v>MIN</v>
      </c>
      <c r="L597" t="str">
        <f t="shared" ca="1" si="92"/>
        <v>dom</v>
      </c>
      <c r="M597" t="str">
        <f t="shared" ca="1" si="89"/>
        <v>RUBBER</v>
      </c>
      <c r="N597">
        <f t="shared" ca="1" si="90"/>
        <v>0.23216769877430279</v>
      </c>
    </row>
    <row r="598" spans="6:14" x14ac:dyDescent="0.35">
      <c r="F598">
        <f t="shared" si="96"/>
        <v>9</v>
      </c>
      <c r="G598">
        <f t="shared" si="94"/>
        <v>2</v>
      </c>
      <c r="H598">
        <f t="shared" si="95"/>
        <v>0</v>
      </c>
      <c r="K598" t="str">
        <f t="shared" ca="1" si="91"/>
        <v>FBT</v>
      </c>
      <c r="L598" t="str">
        <f t="shared" ca="1" si="92"/>
        <v>dom</v>
      </c>
      <c r="M598" t="str">
        <f t="shared" ca="1" si="89"/>
        <v>RUBBER</v>
      </c>
      <c r="N598">
        <f t="shared" ca="1" si="90"/>
        <v>0.39092138538914784</v>
      </c>
    </row>
    <row r="599" spans="6:14" x14ac:dyDescent="0.35">
      <c r="F599">
        <f t="shared" si="96"/>
        <v>9</v>
      </c>
      <c r="G599">
        <f t="shared" si="94"/>
        <v>3</v>
      </c>
      <c r="H599">
        <f t="shared" si="95"/>
        <v>0</v>
      </c>
      <c r="K599" t="str">
        <f t="shared" ca="1" si="91"/>
        <v>TEX</v>
      </c>
      <c r="L599" t="str">
        <f t="shared" ca="1" si="92"/>
        <v>dom</v>
      </c>
      <c r="M599" t="str">
        <f t="shared" ca="1" si="89"/>
        <v>RUBBER</v>
      </c>
      <c r="N599">
        <f t="shared" ca="1" si="90"/>
        <v>2.0362520432735667</v>
      </c>
    </row>
    <row r="600" spans="6:14" x14ac:dyDescent="0.35">
      <c r="F600">
        <f t="shared" si="96"/>
        <v>9</v>
      </c>
      <c r="G600">
        <f t="shared" si="94"/>
        <v>4</v>
      </c>
      <c r="H600">
        <f t="shared" si="95"/>
        <v>0</v>
      </c>
      <c r="K600" t="str">
        <f t="shared" ca="1" si="91"/>
        <v>LEATHER</v>
      </c>
      <c r="L600" t="str">
        <f t="shared" ca="1" si="92"/>
        <v>dom</v>
      </c>
      <c r="M600" t="str">
        <f t="shared" ca="1" si="89"/>
        <v>RUBBER</v>
      </c>
      <c r="N600">
        <f t="shared" ca="1" si="90"/>
        <v>1.4448874189676051E-2</v>
      </c>
    </row>
    <row r="601" spans="6:14" x14ac:dyDescent="0.35">
      <c r="F601">
        <f t="shared" si="96"/>
        <v>9</v>
      </c>
      <c r="G601">
        <f t="shared" si="94"/>
        <v>5</v>
      </c>
      <c r="H601">
        <f t="shared" si="95"/>
        <v>0</v>
      </c>
      <c r="K601" t="str">
        <f t="shared" ca="1" si="91"/>
        <v>WOOD</v>
      </c>
      <c r="L601" t="str">
        <f t="shared" ca="1" si="92"/>
        <v>dom</v>
      </c>
      <c r="M601" t="str">
        <f t="shared" ca="1" si="89"/>
        <v>RUBBER</v>
      </c>
      <c r="N601">
        <f t="shared" ca="1" si="90"/>
        <v>8.8946085400446059E-2</v>
      </c>
    </row>
    <row r="602" spans="6:14" x14ac:dyDescent="0.35">
      <c r="F602">
        <f t="shared" si="96"/>
        <v>9</v>
      </c>
      <c r="G602">
        <f t="shared" si="94"/>
        <v>6</v>
      </c>
      <c r="H602">
        <f t="shared" si="95"/>
        <v>0</v>
      </c>
      <c r="K602" t="str">
        <f t="shared" ca="1" si="91"/>
        <v>PPP</v>
      </c>
      <c r="L602" t="str">
        <f t="shared" ca="1" si="92"/>
        <v>dom</v>
      </c>
      <c r="M602" t="str">
        <f t="shared" ca="1" si="89"/>
        <v>RUBBER</v>
      </c>
      <c r="N602">
        <f t="shared" ca="1" si="90"/>
        <v>1.7803074663837422</v>
      </c>
    </row>
    <row r="603" spans="6:14" x14ac:dyDescent="0.35">
      <c r="F603">
        <f t="shared" si="96"/>
        <v>9</v>
      </c>
      <c r="G603">
        <f t="shared" si="94"/>
        <v>7</v>
      </c>
      <c r="H603">
        <f t="shared" si="95"/>
        <v>0</v>
      </c>
      <c r="K603" t="str">
        <f t="shared" ca="1" si="91"/>
        <v>PC</v>
      </c>
      <c r="L603" t="str">
        <f t="shared" ca="1" si="92"/>
        <v>dom</v>
      </c>
      <c r="M603" t="str">
        <f t="shared" ca="1" si="89"/>
        <v>RUBBER</v>
      </c>
      <c r="N603">
        <f t="shared" ca="1" si="90"/>
        <v>0.27128456877355112</v>
      </c>
    </row>
    <row r="604" spans="6:14" x14ac:dyDescent="0.35">
      <c r="F604">
        <f t="shared" si="96"/>
        <v>9</v>
      </c>
      <c r="G604">
        <f t="shared" si="94"/>
        <v>8</v>
      </c>
      <c r="H604">
        <f t="shared" si="95"/>
        <v>0</v>
      </c>
      <c r="K604" t="str">
        <f t="shared" ca="1" si="91"/>
        <v>CHM</v>
      </c>
      <c r="L604" t="str">
        <f t="shared" ca="1" si="92"/>
        <v>dom</v>
      </c>
      <c r="M604" t="str">
        <f t="shared" ca="1" si="89"/>
        <v>RUBBER</v>
      </c>
      <c r="N604">
        <f t="shared" ca="1" si="90"/>
        <v>1.6893434331567079</v>
      </c>
    </row>
    <row r="605" spans="6:14" x14ac:dyDescent="0.35">
      <c r="F605">
        <f t="shared" si="96"/>
        <v>9</v>
      </c>
      <c r="G605">
        <f t="shared" si="94"/>
        <v>9</v>
      </c>
      <c r="H605">
        <f t="shared" si="95"/>
        <v>0</v>
      </c>
      <c r="K605" t="str">
        <f t="shared" ca="1" si="91"/>
        <v>RUBBER</v>
      </c>
      <c r="L605" t="str">
        <f t="shared" ca="1" si="92"/>
        <v>dom</v>
      </c>
      <c r="M605" t="str">
        <f t="shared" ca="1" si="89"/>
        <v>RUBBER</v>
      </c>
      <c r="N605">
        <f t="shared" ca="1" si="90"/>
        <v>2.6445041327865511</v>
      </c>
    </row>
    <row r="606" spans="6:14" x14ac:dyDescent="0.35">
      <c r="F606">
        <f t="shared" si="96"/>
        <v>9</v>
      </c>
      <c r="G606">
        <f t="shared" si="94"/>
        <v>10</v>
      </c>
      <c r="H606">
        <f t="shared" si="95"/>
        <v>0</v>
      </c>
      <c r="K606" t="str">
        <f t="shared" ca="1" si="91"/>
        <v>NMM</v>
      </c>
      <c r="L606" t="str">
        <f t="shared" ca="1" si="92"/>
        <v>dom</v>
      </c>
      <c r="M606" t="str">
        <f t="shared" ca="1" si="89"/>
        <v>RUBBER</v>
      </c>
      <c r="N606">
        <f t="shared" ca="1" si="90"/>
        <v>2.4498043882670477</v>
      </c>
    </row>
    <row r="607" spans="6:14" x14ac:dyDescent="0.35">
      <c r="F607">
        <f t="shared" si="96"/>
        <v>9</v>
      </c>
      <c r="G607">
        <f t="shared" si="94"/>
        <v>11</v>
      </c>
      <c r="H607">
        <f t="shared" si="95"/>
        <v>0</v>
      </c>
      <c r="K607" t="str">
        <f t="shared" ca="1" si="91"/>
        <v>METAL</v>
      </c>
      <c r="L607" t="str">
        <f t="shared" ca="1" si="92"/>
        <v>dom</v>
      </c>
      <c r="M607" t="str">
        <f t="shared" ca="1" si="89"/>
        <v>RUBBER</v>
      </c>
      <c r="N607">
        <f t="shared" ca="1" si="90"/>
        <v>7.1652539085753935</v>
      </c>
    </row>
    <row r="608" spans="6:14" x14ac:dyDescent="0.35">
      <c r="F608">
        <f t="shared" si="96"/>
        <v>9</v>
      </c>
      <c r="G608">
        <f t="shared" si="94"/>
        <v>12</v>
      </c>
      <c r="H608">
        <f t="shared" si="95"/>
        <v>0</v>
      </c>
      <c r="K608" t="str">
        <f t="shared" ca="1" si="91"/>
        <v>MACH</v>
      </c>
      <c r="L608" t="str">
        <f t="shared" ca="1" si="92"/>
        <v>dom</v>
      </c>
      <c r="M608" t="str">
        <f t="shared" ca="1" si="89"/>
        <v>RUBBER</v>
      </c>
      <c r="N608">
        <f t="shared" ca="1" si="90"/>
        <v>10.371140167573119</v>
      </c>
    </row>
    <row r="609" spans="6:14" x14ac:dyDescent="0.35">
      <c r="F609">
        <f t="shared" si="96"/>
        <v>9</v>
      </c>
      <c r="G609">
        <f t="shared" si="94"/>
        <v>13</v>
      </c>
      <c r="H609">
        <f t="shared" si="95"/>
        <v>0</v>
      </c>
      <c r="K609" t="str">
        <f t="shared" ca="1" si="91"/>
        <v>ELEC</v>
      </c>
      <c r="L609" t="str">
        <f t="shared" ca="1" si="92"/>
        <v>dom</v>
      </c>
      <c r="M609" t="str">
        <f t="shared" ca="1" si="89"/>
        <v>RUBBER</v>
      </c>
      <c r="N609">
        <f t="shared" ca="1" si="90"/>
        <v>2.1574223317390251</v>
      </c>
    </row>
    <row r="610" spans="6:14" x14ac:dyDescent="0.35">
      <c r="F610">
        <f t="shared" si="96"/>
        <v>9</v>
      </c>
      <c r="G610">
        <f t="shared" si="94"/>
        <v>14</v>
      </c>
      <c r="H610">
        <f t="shared" si="95"/>
        <v>0</v>
      </c>
      <c r="K610" t="str">
        <f t="shared" ca="1" si="91"/>
        <v>TRNEQUIP</v>
      </c>
      <c r="L610" t="str">
        <f t="shared" ca="1" si="92"/>
        <v>dom</v>
      </c>
      <c r="M610" t="str">
        <f t="shared" ca="1" si="89"/>
        <v>RUBBER</v>
      </c>
      <c r="N610">
        <f t="shared" ca="1" si="90"/>
        <v>3.1164136521494483</v>
      </c>
    </row>
    <row r="611" spans="6:14" x14ac:dyDescent="0.35">
      <c r="F611">
        <f t="shared" si="96"/>
        <v>9</v>
      </c>
      <c r="G611">
        <f t="shared" si="94"/>
        <v>15</v>
      </c>
      <c r="H611">
        <f t="shared" si="95"/>
        <v>0</v>
      </c>
      <c r="K611" t="str">
        <f t="shared" ca="1" si="91"/>
        <v>ROMAN</v>
      </c>
      <c r="L611" t="str">
        <f t="shared" ca="1" si="92"/>
        <v>dom</v>
      </c>
      <c r="M611" t="str">
        <f t="shared" ca="1" si="89"/>
        <v>RUBBER</v>
      </c>
      <c r="N611">
        <f t="shared" ca="1" si="90"/>
        <v>8.4857920265398139</v>
      </c>
    </row>
    <row r="612" spans="6:14" x14ac:dyDescent="0.35">
      <c r="F612">
        <f t="shared" si="96"/>
        <v>9</v>
      </c>
      <c r="G612">
        <f t="shared" si="94"/>
        <v>16</v>
      </c>
      <c r="H612">
        <f t="shared" si="95"/>
        <v>0</v>
      </c>
      <c r="K612" t="str">
        <f t="shared" ca="1" si="91"/>
        <v>ELYGASWTR</v>
      </c>
      <c r="L612" t="str">
        <f t="shared" ca="1" si="92"/>
        <v>dom</v>
      </c>
      <c r="M612" t="str">
        <f t="shared" ca="1" si="89"/>
        <v>RUBBER</v>
      </c>
      <c r="N612">
        <f t="shared" ca="1" si="90"/>
        <v>1.9364014730456357E-7</v>
      </c>
    </row>
    <row r="613" spans="6:14" x14ac:dyDescent="0.35">
      <c r="F613">
        <f t="shared" ref="F613:F628" si="97">F547+1</f>
        <v>9</v>
      </c>
      <c r="G613">
        <f t="shared" si="94"/>
        <v>17</v>
      </c>
      <c r="H613">
        <f t="shared" si="95"/>
        <v>0</v>
      </c>
      <c r="K613" t="str">
        <f t="shared" ca="1" si="91"/>
        <v>CNS</v>
      </c>
      <c r="L613" t="str">
        <f t="shared" ca="1" si="92"/>
        <v>dom</v>
      </c>
      <c r="M613" t="str">
        <f t="shared" ca="1" si="89"/>
        <v>RUBBER</v>
      </c>
      <c r="N613">
        <f t="shared" ca="1" si="90"/>
        <v>281.88477100127074</v>
      </c>
    </row>
    <row r="614" spans="6:14" x14ac:dyDescent="0.35">
      <c r="F614">
        <f t="shared" si="97"/>
        <v>9</v>
      </c>
      <c r="G614">
        <f t="shared" si="94"/>
        <v>18</v>
      </c>
      <c r="H614">
        <f t="shared" si="95"/>
        <v>0</v>
      </c>
      <c r="K614" t="str">
        <f t="shared" ca="1" si="91"/>
        <v>TRD</v>
      </c>
      <c r="L614" t="str">
        <f t="shared" ca="1" si="92"/>
        <v>dom</v>
      </c>
      <c r="M614" t="str">
        <f t="shared" ca="1" si="89"/>
        <v>RUBBER</v>
      </c>
      <c r="N614">
        <f t="shared" ca="1" si="90"/>
        <v>45.07149554083545</v>
      </c>
    </row>
    <row r="615" spans="6:14" x14ac:dyDescent="0.35">
      <c r="F615">
        <f t="shared" si="97"/>
        <v>9</v>
      </c>
      <c r="G615">
        <f t="shared" si="94"/>
        <v>19</v>
      </c>
      <c r="H615">
        <f t="shared" si="95"/>
        <v>0</v>
      </c>
      <c r="K615" t="str">
        <f t="shared" ca="1" si="91"/>
        <v>AFS</v>
      </c>
      <c r="L615" t="str">
        <f t="shared" ca="1" si="92"/>
        <v>dom</v>
      </c>
      <c r="M615" t="str">
        <f t="shared" ca="1" si="89"/>
        <v>RUBBER</v>
      </c>
      <c r="N615">
        <f t="shared" ca="1" si="90"/>
        <v>1.9364014730456357E-7</v>
      </c>
    </row>
    <row r="616" spans="6:14" x14ac:dyDescent="0.35">
      <c r="F616">
        <f t="shared" si="97"/>
        <v>9</v>
      </c>
      <c r="G616">
        <f t="shared" si="94"/>
        <v>20</v>
      </c>
      <c r="H616">
        <f t="shared" si="95"/>
        <v>0</v>
      </c>
      <c r="K616" t="str">
        <f t="shared" ca="1" si="91"/>
        <v>OTP</v>
      </c>
      <c r="L616" t="str">
        <f t="shared" ca="1" si="92"/>
        <v>dom</v>
      </c>
      <c r="M616" t="str">
        <f t="shared" ca="1" si="89"/>
        <v>RUBBER</v>
      </c>
      <c r="N616">
        <f t="shared" ca="1" si="90"/>
        <v>1.9364014730456357E-7</v>
      </c>
    </row>
    <row r="617" spans="6:14" x14ac:dyDescent="0.35">
      <c r="F617">
        <f t="shared" si="97"/>
        <v>9</v>
      </c>
      <c r="G617">
        <f t="shared" si="94"/>
        <v>21</v>
      </c>
      <c r="H617">
        <f t="shared" si="95"/>
        <v>0</v>
      </c>
      <c r="K617" t="str">
        <f t="shared" ca="1" si="91"/>
        <v>WTP</v>
      </c>
      <c r="L617" t="str">
        <f t="shared" ca="1" si="92"/>
        <v>dom</v>
      </c>
      <c r="M617" t="str">
        <f t="shared" ca="1" si="89"/>
        <v>RUBBER</v>
      </c>
      <c r="N617">
        <f t="shared" ca="1" si="90"/>
        <v>1.9364014730456357E-7</v>
      </c>
    </row>
    <row r="618" spans="6:14" x14ac:dyDescent="0.35">
      <c r="F618">
        <f t="shared" si="97"/>
        <v>9</v>
      </c>
      <c r="G618">
        <f t="shared" si="94"/>
        <v>22</v>
      </c>
      <c r="H618">
        <f t="shared" si="95"/>
        <v>0</v>
      </c>
      <c r="K618" t="str">
        <f t="shared" ca="1" si="91"/>
        <v>ATP</v>
      </c>
      <c r="L618" t="str">
        <f t="shared" ca="1" si="92"/>
        <v>dom</v>
      </c>
      <c r="M618" t="str">
        <f t="shared" ca="1" si="89"/>
        <v>RUBBER</v>
      </c>
      <c r="N618">
        <f t="shared" ca="1" si="90"/>
        <v>1.9364014730456357E-7</v>
      </c>
    </row>
    <row r="619" spans="6:14" x14ac:dyDescent="0.35">
      <c r="F619">
        <f t="shared" si="97"/>
        <v>9</v>
      </c>
      <c r="G619">
        <f t="shared" si="94"/>
        <v>23</v>
      </c>
      <c r="H619">
        <f t="shared" si="95"/>
        <v>0</v>
      </c>
      <c r="K619" t="str">
        <f t="shared" ca="1" si="91"/>
        <v>WHS</v>
      </c>
      <c r="L619" t="str">
        <f t="shared" ca="1" si="92"/>
        <v>dom</v>
      </c>
      <c r="M619" t="str">
        <f t="shared" ca="1" si="89"/>
        <v>RUBBER</v>
      </c>
      <c r="N619">
        <f t="shared" ca="1" si="90"/>
        <v>1.9364014730456357E-7</v>
      </c>
    </row>
    <row r="620" spans="6:14" x14ac:dyDescent="0.35">
      <c r="F620">
        <f t="shared" si="97"/>
        <v>9</v>
      </c>
      <c r="G620">
        <f t="shared" si="94"/>
        <v>24</v>
      </c>
      <c r="H620">
        <f t="shared" si="95"/>
        <v>0</v>
      </c>
      <c r="K620" t="str">
        <f t="shared" ca="1" si="91"/>
        <v>CMN</v>
      </c>
      <c r="L620" t="str">
        <f t="shared" ca="1" si="92"/>
        <v>dom</v>
      </c>
      <c r="M620" t="str">
        <f t="shared" ca="1" si="89"/>
        <v>RUBBER</v>
      </c>
      <c r="N620">
        <f t="shared" ca="1" si="90"/>
        <v>1.9364014730456357E-7</v>
      </c>
    </row>
    <row r="621" spans="6:14" x14ac:dyDescent="0.35">
      <c r="F621">
        <f t="shared" si="97"/>
        <v>9</v>
      </c>
      <c r="G621">
        <f t="shared" si="94"/>
        <v>25</v>
      </c>
      <c r="H621">
        <f t="shared" si="95"/>
        <v>0</v>
      </c>
      <c r="K621" t="str">
        <f t="shared" ca="1" si="91"/>
        <v>OFI</v>
      </c>
      <c r="L621" t="str">
        <f t="shared" ca="1" si="92"/>
        <v>dom</v>
      </c>
      <c r="M621" t="str">
        <f t="shared" ca="1" si="89"/>
        <v>RUBBER</v>
      </c>
      <c r="N621">
        <f t="shared" ca="1" si="90"/>
        <v>1.9364014730456357E-7</v>
      </c>
    </row>
    <row r="622" spans="6:14" x14ac:dyDescent="0.35">
      <c r="F622">
        <f t="shared" si="97"/>
        <v>9</v>
      </c>
      <c r="G622">
        <f t="shared" si="94"/>
        <v>26</v>
      </c>
      <c r="H622">
        <f t="shared" si="95"/>
        <v>0</v>
      </c>
      <c r="K622" t="str">
        <f t="shared" ca="1" si="91"/>
        <v>RSA</v>
      </c>
      <c r="L622" t="str">
        <f t="shared" ca="1" si="92"/>
        <v>dom</v>
      </c>
      <c r="M622" t="str">
        <f t="shared" ca="1" si="89"/>
        <v>RUBBER</v>
      </c>
      <c r="N622">
        <f t="shared" ca="1" si="90"/>
        <v>1.9364014730456357E-7</v>
      </c>
    </row>
    <row r="623" spans="6:14" x14ac:dyDescent="0.35">
      <c r="F623">
        <f t="shared" si="97"/>
        <v>9</v>
      </c>
      <c r="G623">
        <f t="shared" si="94"/>
        <v>27</v>
      </c>
      <c r="H623">
        <f t="shared" si="95"/>
        <v>0</v>
      </c>
      <c r="K623" t="str">
        <f t="shared" ca="1" si="91"/>
        <v>OBS</v>
      </c>
      <c r="L623" t="str">
        <f t="shared" ca="1" si="92"/>
        <v>dom</v>
      </c>
      <c r="M623" t="str">
        <f t="shared" ca="1" si="89"/>
        <v>RUBBER</v>
      </c>
      <c r="N623">
        <f t="shared" ca="1" si="90"/>
        <v>1.9364014730456357E-7</v>
      </c>
    </row>
    <row r="624" spans="6:14" x14ac:dyDescent="0.35">
      <c r="F624">
        <f t="shared" si="97"/>
        <v>9</v>
      </c>
      <c r="G624">
        <f t="shared" si="94"/>
        <v>28</v>
      </c>
      <c r="H624">
        <f t="shared" si="95"/>
        <v>0</v>
      </c>
      <c r="K624" t="str">
        <f t="shared" ca="1" si="91"/>
        <v>GOV</v>
      </c>
      <c r="L624" t="str">
        <f t="shared" ca="1" si="92"/>
        <v>dom</v>
      </c>
      <c r="M624" t="str">
        <f t="shared" ca="1" si="89"/>
        <v>RUBBER</v>
      </c>
      <c r="N624">
        <f t="shared" ca="1" si="90"/>
        <v>1.9364014730456357E-7</v>
      </c>
    </row>
    <row r="625" spans="6:14" x14ac:dyDescent="0.35">
      <c r="F625">
        <f t="shared" si="97"/>
        <v>9</v>
      </c>
      <c r="G625">
        <f t="shared" si="94"/>
        <v>29</v>
      </c>
      <c r="H625">
        <f t="shared" si="95"/>
        <v>0</v>
      </c>
      <c r="K625" t="str">
        <f t="shared" ca="1" si="91"/>
        <v>EDU</v>
      </c>
      <c r="L625" t="str">
        <f t="shared" ca="1" si="92"/>
        <v>dom</v>
      </c>
      <c r="M625" t="str">
        <f t="shared" ca="1" si="89"/>
        <v>RUBBER</v>
      </c>
      <c r="N625">
        <f t="shared" ca="1" si="90"/>
        <v>1.9364014730456357E-7</v>
      </c>
    </row>
    <row r="626" spans="6:14" x14ac:dyDescent="0.35">
      <c r="F626">
        <f t="shared" si="97"/>
        <v>9</v>
      </c>
      <c r="G626">
        <f t="shared" si="94"/>
        <v>30</v>
      </c>
      <c r="H626">
        <f t="shared" si="95"/>
        <v>0</v>
      </c>
      <c r="K626" t="str">
        <f t="shared" ca="1" si="91"/>
        <v>HHT</v>
      </c>
      <c r="L626" t="str">
        <f t="shared" ca="1" si="92"/>
        <v>dom</v>
      </c>
      <c r="M626" t="str">
        <f t="shared" ca="1" si="89"/>
        <v>RUBBER</v>
      </c>
      <c r="N626">
        <f t="shared" ca="1" si="90"/>
        <v>1.9364014730456357E-7</v>
      </c>
    </row>
    <row r="627" spans="6:14" x14ac:dyDescent="0.35">
      <c r="F627">
        <f t="shared" si="97"/>
        <v>9</v>
      </c>
      <c r="G627">
        <f t="shared" si="94"/>
        <v>31</v>
      </c>
      <c r="H627">
        <f t="shared" si="95"/>
        <v>0</v>
      </c>
      <c r="K627" t="str">
        <f t="shared" ca="1" si="91"/>
        <v>REC</v>
      </c>
      <c r="L627" t="str">
        <f t="shared" ca="1" si="92"/>
        <v>dom</v>
      </c>
      <c r="M627" t="str">
        <f t="shared" ca="1" si="89"/>
        <v>RUBBER</v>
      </c>
      <c r="N627">
        <f t="shared" ca="1" si="90"/>
        <v>1.9364014730456357E-7</v>
      </c>
    </row>
    <row r="628" spans="6:14" x14ac:dyDescent="0.35">
      <c r="F628">
        <f t="shared" si="97"/>
        <v>9</v>
      </c>
      <c r="G628">
        <f t="shared" si="94"/>
        <v>32</v>
      </c>
      <c r="H628">
        <f t="shared" si="95"/>
        <v>0</v>
      </c>
      <c r="K628" t="str">
        <f t="shared" ca="1" si="91"/>
        <v>DWE</v>
      </c>
      <c r="L628" t="str">
        <f t="shared" ca="1" si="92"/>
        <v>dom</v>
      </c>
      <c r="M628" t="str">
        <f t="shared" ca="1" si="89"/>
        <v>RUBBER</v>
      </c>
      <c r="N628">
        <f t="shared" ca="1" si="90"/>
        <v>1.9364014730456357E-7</v>
      </c>
    </row>
    <row r="629" spans="6:14" x14ac:dyDescent="0.35">
      <c r="F629">
        <f t="shared" ref="F629:F644" si="98">F563+1</f>
        <v>9</v>
      </c>
      <c r="G629">
        <f t="shared" si="94"/>
        <v>0</v>
      </c>
      <c r="H629">
        <f t="shared" si="95"/>
        <v>1</v>
      </c>
      <c r="K629" t="str">
        <f t="shared" ca="1" si="91"/>
        <v>AG</v>
      </c>
      <c r="L629" t="str">
        <f t="shared" ca="1" si="92"/>
        <v>imp</v>
      </c>
      <c r="M629" t="str">
        <f t="shared" ca="1" si="89"/>
        <v>RUBBER</v>
      </c>
      <c r="N629">
        <f t="shared" ca="1" si="90"/>
        <v>1.7915245702823519</v>
      </c>
    </row>
    <row r="630" spans="6:14" x14ac:dyDescent="0.35">
      <c r="F630">
        <f t="shared" si="98"/>
        <v>9</v>
      </c>
      <c r="G630">
        <f t="shared" si="94"/>
        <v>1</v>
      </c>
      <c r="H630">
        <f t="shared" si="95"/>
        <v>1</v>
      </c>
      <c r="K630" t="str">
        <f t="shared" ca="1" si="91"/>
        <v>MIN</v>
      </c>
      <c r="L630" t="str">
        <f t="shared" ca="1" si="92"/>
        <v>imp</v>
      </c>
      <c r="M630" t="str">
        <f t="shared" ca="1" si="89"/>
        <v>RUBBER</v>
      </c>
      <c r="N630">
        <f t="shared" ca="1" si="90"/>
        <v>2.8263659358308977</v>
      </c>
    </row>
    <row r="631" spans="6:14" x14ac:dyDescent="0.35">
      <c r="F631">
        <f t="shared" si="98"/>
        <v>9</v>
      </c>
      <c r="G631">
        <f t="shared" si="94"/>
        <v>2</v>
      </c>
      <c r="H631">
        <f t="shared" si="95"/>
        <v>1</v>
      </c>
      <c r="K631" t="str">
        <f t="shared" ca="1" si="91"/>
        <v>FBT</v>
      </c>
      <c r="L631" t="str">
        <f t="shared" ca="1" si="92"/>
        <v>imp</v>
      </c>
      <c r="M631" t="str">
        <f t="shared" ca="1" si="89"/>
        <v>RUBBER</v>
      </c>
      <c r="N631">
        <f t="shared" ca="1" si="90"/>
        <v>0.70724345099269459</v>
      </c>
    </row>
    <row r="632" spans="6:14" x14ac:dyDescent="0.35">
      <c r="F632">
        <f t="shared" si="98"/>
        <v>9</v>
      </c>
      <c r="G632">
        <f t="shared" si="94"/>
        <v>3</v>
      </c>
      <c r="H632">
        <f t="shared" si="95"/>
        <v>1</v>
      </c>
      <c r="K632" t="str">
        <f t="shared" ca="1" si="91"/>
        <v>TEX</v>
      </c>
      <c r="L632" t="str">
        <f t="shared" ca="1" si="92"/>
        <v>imp</v>
      </c>
      <c r="M632" t="str">
        <f t="shared" ca="1" si="89"/>
        <v>RUBBER</v>
      </c>
      <c r="N632">
        <f t="shared" ca="1" si="90"/>
        <v>13.878956741791622</v>
      </c>
    </row>
    <row r="633" spans="6:14" x14ac:dyDescent="0.35">
      <c r="F633">
        <f t="shared" si="98"/>
        <v>9</v>
      </c>
      <c r="G633">
        <f t="shared" si="94"/>
        <v>4</v>
      </c>
      <c r="H633">
        <f t="shared" si="95"/>
        <v>1</v>
      </c>
      <c r="K633" t="str">
        <f t="shared" ca="1" si="91"/>
        <v>LEATHER</v>
      </c>
      <c r="L633" t="str">
        <f t="shared" ca="1" si="92"/>
        <v>imp</v>
      </c>
      <c r="M633" t="str">
        <f t="shared" ca="1" si="89"/>
        <v>RUBBER</v>
      </c>
      <c r="N633">
        <f t="shared" ca="1" si="90"/>
        <v>7.2332886405574044</v>
      </c>
    </row>
    <row r="634" spans="6:14" x14ac:dyDescent="0.35">
      <c r="F634">
        <f t="shared" si="98"/>
        <v>9</v>
      </c>
      <c r="G634">
        <f t="shared" si="94"/>
        <v>5</v>
      </c>
      <c r="H634">
        <f t="shared" si="95"/>
        <v>1</v>
      </c>
      <c r="K634" t="str">
        <f t="shared" ca="1" si="91"/>
        <v>WOOD</v>
      </c>
      <c r="L634" t="str">
        <f t="shared" ca="1" si="92"/>
        <v>imp</v>
      </c>
      <c r="M634" t="str">
        <f t="shared" ca="1" si="89"/>
        <v>RUBBER</v>
      </c>
      <c r="N634">
        <f t="shared" ca="1" si="90"/>
        <v>0.12947057375805446</v>
      </c>
    </row>
    <row r="635" spans="6:14" x14ac:dyDescent="0.35">
      <c r="F635">
        <f t="shared" si="98"/>
        <v>9</v>
      </c>
      <c r="G635">
        <f t="shared" si="94"/>
        <v>6</v>
      </c>
      <c r="H635">
        <f t="shared" si="95"/>
        <v>1</v>
      </c>
      <c r="K635" t="str">
        <f t="shared" ca="1" si="91"/>
        <v>PPP</v>
      </c>
      <c r="L635" t="str">
        <f t="shared" ca="1" si="92"/>
        <v>imp</v>
      </c>
      <c r="M635" t="str">
        <f t="shared" ca="1" si="89"/>
        <v>RUBBER</v>
      </c>
      <c r="N635">
        <f t="shared" ca="1" si="90"/>
        <v>1.8643631980855282</v>
      </c>
    </row>
    <row r="636" spans="6:14" x14ac:dyDescent="0.35">
      <c r="F636">
        <f t="shared" si="98"/>
        <v>9</v>
      </c>
      <c r="G636">
        <f t="shared" si="94"/>
        <v>7</v>
      </c>
      <c r="H636">
        <f t="shared" si="95"/>
        <v>1</v>
      </c>
      <c r="K636" t="str">
        <f t="shared" ca="1" si="91"/>
        <v>PC</v>
      </c>
      <c r="L636" t="str">
        <f t="shared" ca="1" si="92"/>
        <v>imp</v>
      </c>
      <c r="M636" t="str">
        <f t="shared" ca="1" si="89"/>
        <v>RUBBER</v>
      </c>
      <c r="N636">
        <f t="shared" ca="1" si="90"/>
        <v>0.46946857614451909</v>
      </c>
    </row>
    <row r="637" spans="6:14" x14ac:dyDescent="0.35">
      <c r="F637">
        <f t="shared" si="98"/>
        <v>9</v>
      </c>
      <c r="G637">
        <f t="shared" si="94"/>
        <v>8</v>
      </c>
      <c r="H637">
        <f t="shared" si="95"/>
        <v>1</v>
      </c>
      <c r="K637" t="str">
        <f t="shared" ca="1" si="91"/>
        <v>CHM</v>
      </c>
      <c r="L637" t="str">
        <f t="shared" ca="1" si="92"/>
        <v>imp</v>
      </c>
      <c r="M637" t="str">
        <f t="shared" ca="1" si="89"/>
        <v>RUBBER</v>
      </c>
      <c r="N637">
        <f t="shared" ca="1" si="90"/>
        <v>6.435630304705751</v>
      </c>
    </row>
    <row r="638" spans="6:14" x14ac:dyDescent="0.35">
      <c r="F638">
        <f t="shared" si="98"/>
        <v>9</v>
      </c>
      <c r="G638">
        <f t="shared" si="94"/>
        <v>9</v>
      </c>
      <c r="H638">
        <f t="shared" si="95"/>
        <v>1</v>
      </c>
      <c r="K638" t="str">
        <f t="shared" ca="1" si="91"/>
        <v>RUBBER</v>
      </c>
      <c r="L638" t="str">
        <f t="shared" ca="1" si="92"/>
        <v>imp</v>
      </c>
      <c r="M638" t="str">
        <f t="shared" ca="1" si="89"/>
        <v>RUBBER</v>
      </c>
      <c r="N638">
        <f t="shared" ca="1" si="90"/>
        <v>4.9288374292241182</v>
      </c>
    </row>
    <row r="639" spans="6:14" x14ac:dyDescent="0.35">
      <c r="F639">
        <f t="shared" si="98"/>
        <v>9</v>
      </c>
      <c r="G639">
        <f t="shared" si="94"/>
        <v>10</v>
      </c>
      <c r="H639">
        <f t="shared" si="95"/>
        <v>1</v>
      </c>
      <c r="K639" t="str">
        <f t="shared" ca="1" si="91"/>
        <v>NMM</v>
      </c>
      <c r="L639" t="str">
        <f t="shared" ca="1" si="92"/>
        <v>imp</v>
      </c>
      <c r="M639" t="str">
        <f t="shared" ca="1" si="89"/>
        <v>RUBBER</v>
      </c>
      <c r="N639">
        <f t="shared" ca="1" si="90"/>
        <v>1.8605739099257999</v>
      </c>
    </row>
    <row r="640" spans="6:14" x14ac:dyDescent="0.35">
      <c r="F640">
        <f t="shared" si="98"/>
        <v>9</v>
      </c>
      <c r="G640">
        <f t="shared" si="94"/>
        <v>11</v>
      </c>
      <c r="H640">
        <f t="shared" si="95"/>
        <v>1</v>
      </c>
      <c r="K640" t="str">
        <f t="shared" ca="1" si="91"/>
        <v>METAL</v>
      </c>
      <c r="L640" t="str">
        <f t="shared" ca="1" si="92"/>
        <v>imp</v>
      </c>
      <c r="M640" t="str">
        <f t="shared" ca="1" si="89"/>
        <v>RUBBER</v>
      </c>
      <c r="N640">
        <f t="shared" ca="1" si="90"/>
        <v>23.289059908408582</v>
      </c>
    </row>
    <row r="641" spans="6:14" x14ac:dyDescent="0.35">
      <c r="F641">
        <f t="shared" si="98"/>
        <v>9</v>
      </c>
      <c r="G641">
        <f t="shared" si="94"/>
        <v>12</v>
      </c>
      <c r="H641">
        <f t="shared" si="95"/>
        <v>1</v>
      </c>
      <c r="K641" t="str">
        <f t="shared" ca="1" si="91"/>
        <v>MACH</v>
      </c>
      <c r="L641" t="str">
        <f t="shared" ca="1" si="92"/>
        <v>imp</v>
      </c>
      <c r="M641" t="str">
        <f t="shared" ca="1" si="89"/>
        <v>RUBBER</v>
      </c>
      <c r="N641">
        <f t="shared" ca="1" si="90"/>
        <v>89.215075720006098</v>
      </c>
    </row>
    <row r="642" spans="6:14" x14ac:dyDescent="0.35">
      <c r="F642">
        <f t="shared" si="98"/>
        <v>9</v>
      </c>
      <c r="G642">
        <f t="shared" si="94"/>
        <v>13</v>
      </c>
      <c r="H642">
        <f t="shared" si="95"/>
        <v>1</v>
      </c>
      <c r="K642" t="str">
        <f t="shared" ca="1" si="91"/>
        <v>ELEC</v>
      </c>
      <c r="L642" t="str">
        <f t="shared" ca="1" si="92"/>
        <v>imp</v>
      </c>
      <c r="M642" t="str">
        <f t="shared" ref="M642:M705" ca="1" si="99">OFFSET(A$2,F642,0)</f>
        <v>RUBBER</v>
      </c>
      <c r="N642">
        <f t="shared" ref="N642:N705" ca="1" si="100">SUMIFS(C:C,A:A,K642,B:B,L642)*SUMIFS(U:U,S:S,M642)</f>
        <v>47.834402182601778</v>
      </c>
    </row>
    <row r="643" spans="6:14" x14ac:dyDescent="0.35">
      <c r="F643">
        <f t="shared" si="98"/>
        <v>9</v>
      </c>
      <c r="G643">
        <f t="shared" si="94"/>
        <v>14</v>
      </c>
      <c r="H643">
        <f t="shared" si="95"/>
        <v>1</v>
      </c>
      <c r="K643" t="str">
        <f t="shared" ref="K643:K706" ca="1" si="101">OFFSET(A$2,G643,0)</f>
        <v>TRNEQUIP</v>
      </c>
      <c r="L643" t="str">
        <f t="shared" ref="L643:L706" ca="1" si="102">OFFSET($V$3,H643,0)</f>
        <v>imp</v>
      </c>
      <c r="M643" t="str">
        <f t="shared" ca="1" si="99"/>
        <v>RUBBER</v>
      </c>
      <c r="N643">
        <f t="shared" ca="1" si="100"/>
        <v>76.338325507849916</v>
      </c>
    </row>
    <row r="644" spans="6:14" x14ac:dyDescent="0.35">
      <c r="F644">
        <f t="shared" si="98"/>
        <v>9</v>
      </c>
      <c r="G644">
        <f t="shared" si="94"/>
        <v>15</v>
      </c>
      <c r="H644">
        <f t="shared" si="95"/>
        <v>1</v>
      </c>
      <c r="K644" t="str">
        <f t="shared" ca="1" si="101"/>
        <v>ROMAN</v>
      </c>
      <c r="L644" t="str">
        <f t="shared" ca="1" si="102"/>
        <v>imp</v>
      </c>
      <c r="M644" t="str">
        <f t="shared" ca="1" si="99"/>
        <v>RUBBER</v>
      </c>
      <c r="N644">
        <f t="shared" ca="1" si="100"/>
        <v>28.965407355518444</v>
      </c>
    </row>
    <row r="645" spans="6:14" x14ac:dyDescent="0.35">
      <c r="F645">
        <f t="shared" ref="F645:F660" si="103">F579+1</f>
        <v>9</v>
      </c>
      <c r="G645">
        <f t="shared" ref="G645:G708" si="104">G612</f>
        <v>16</v>
      </c>
      <c r="H645">
        <f t="shared" ref="H645:H708" si="105">H579</f>
        <v>1</v>
      </c>
      <c r="K645" t="str">
        <f t="shared" ca="1" si="101"/>
        <v>ELYGASWTR</v>
      </c>
      <c r="L645" t="str">
        <f t="shared" ca="1" si="102"/>
        <v>imp</v>
      </c>
      <c r="M645" t="str">
        <f t="shared" ca="1" si="99"/>
        <v>RUBBER</v>
      </c>
      <c r="N645">
        <f t="shared" ca="1" si="100"/>
        <v>1.9364014730456357E-7</v>
      </c>
    </row>
    <row r="646" spans="6:14" x14ac:dyDescent="0.35">
      <c r="F646">
        <f t="shared" si="103"/>
        <v>9</v>
      </c>
      <c r="G646">
        <f t="shared" si="104"/>
        <v>17</v>
      </c>
      <c r="H646">
        <f t="shared" si="105"/>
        <v>1</v>
      </c>
      <c r="K646" t="str">
        <f t="shared" ca="1" si="101"/>
        <v>CNS</v>
      </c>
      <c r="L646" t="str">
        <f t="shared" ca="1" si="102"/>
        <v>imp</v>
      </c>
      <c r="M646" t="str">
        <f t="shared" ca="1" si="99"/>
        <v>RUBBER</v>
      </c>
      <c r="N646">
        <f t="shared" ca="1" si="100"/>
        <v>5.6701454230634294</v>
      </c>
    </row>
    <row r="647" spans="6:14" x14ac:dyDescent="0.35">
      <c r="F647">
        <f t="shared" si="103"/>
        <v>9</v>
      </c>
      <c r="G647">
        <f t="shared" si="104"/>
        <v>18</v>
      </c>
      <c r="H647">
        <f t="shared" si="105"/>
        <v>1</v>
      </c>
      <c r="K647" t="str">
        <f t="shared" ca="1" si="101"/>
        <v>TRD</v>
      </c>
      <c r="L647" t="str">
        <f t="shared" ca="1" si="102"/>
        <v>imp</v>
      </c>
      <c r="M647" t="str">
        <f t="shared" ca="1" si="99"/>
        <v>RUBBER</v>
      </c>
      <c r="N647">
        <f t="shared" ca="1" si="100"/>
        <v>0.49609941747341024</v>
      </c>
    </row>
    <row r="648" spans="6:14" x14ac:dyDescent="0.35">
      <c r="F648">
        <f t="shared" si="103"/>
        <v>9</v>
      </c>
      <c r="G648">
        <f t="shared" si="104"/>
        <v>19</v>
      </c>
      <c r="H648">
        <f t="shared" si="105"/>
        <v>1</v>
      </c>
      <c r="K648" t="str">
        <f t="shared" ca="1" si="101"/>
        <v>AFS</v>
      </c>
      <c r="L648" t="str">
        <f t="shared" ca="1" si="102"/>
        <v>imp</v>
      </c>
      <c r="M648" t="str">
        <f t="shared" ca="1" si="99"/>
        <v>RUBBER</v>
      </c>
      <c r="N648">
        <f t="shared" ca="1" si="100"/>
        <v>1.9364014730456357E-7</v>
      </c>
    </row>
    <row r="649" spans="6:14" x14ac:dyDescent="0.35">
      <c r="F649">
        <f t="shared" si="103"/>
        <v>9</v>
      </c>
      <c r="G649">
        <f t="shared" si="104"/>
        <v>20</v>
      </c>
      <c r="H649">
        <f t="shared" si="105"/>
        <v>1</v>
      </c>
      <c r="K649" t="str">
        <f t="shared" ca="1" si="101"/>
        <v>OTP</v>
      </c>
      <c r="L649" t="str">
        <f t="shared" ca="1" si="102"/>
        <v>imp</v>
      </c>
      <c r="M649" t="str">
        <f t="shared" ca="1" si="99"/>
        <v>RUBBER</v>
      </c>
      <c r="N649">
        <f t="shared" ca="1" si="100"/>
        <v>1.9364014730456357E-7</v>
      </c>
    </row>
    <row r="650" spans="6:14" x14ac:dyDescent="0.35">
      <c r="F650">
        <f t="shared" si="103"/>
        <v>9</v>
      </c>
      <c r="G650">
        <f t="shared" si="104"/>
        <v>21</v>
      </c>
      <c r="H650">
        <f t="shared" si="105"/>
        <v>1</v>
      </c>
      <c r="K650" t="str">
        <f t="shared" ca="1" si="101"/>
        <v>WTP</v>
      </c>
      <c r="L650" t="str">
        <f t="shared" ca="1" si="102"/>
        <v>imp</v>
      </c>
      <c r="M650" t="str">
        <f t="shared" ca="1" si="99"/>
        <v>RUBBER</v>
      </c>
      <c r="N650">
        <f t="shared" ca="1" si="100"/>
        <v>1.9364014730456357E-7</v>
      </c>
    </row>
    <row r="651" spans="6:14" x14ac:dyDescent="0.35">
      <c r="F651">
        <f t="shared" si="103"/>
        <v>9</v>
      </c>
      <c r="G651">
        <f t="shared" si="104"/>
        <v>22</v>
      </c>
      <c r="H651">
        <f t="shared" si="105"/>
        <v>1</v>
      </c>
      <c r="K651" t="str">
        <f t="shared" ca="1" si="101"/>
        <v>ATP</v>
      </c>
      <c r="L651" t="str">
        <f t="shared" ca="1" si="102"/>
        <v>imp</v>
      </c>
      <c r="M651" t="str">
        <f t="shared" ca="1" si="99"/>
        <v>RUBBER</v>
      </c>
      <c r="N651">
        <f t="shared" ca="1" si="100"/>
        <v>1.9364014730456357E-7</v>
      </c>
    </row>
    <row r="652" spans="6:14" x14ac:dyDescent="0.35">
      <c r="F652">
        <f t="shared" si="103"/>
        <v>9</v>
      </c>
      <c r="G652">
        <f t="shared" si="104"/>
        <v>23</v>
      </c>
      <c r="H652">
        <f t="shared" si="105"/>
        <v>1</v>
      </c>
      <c r="K652" t="str">
        <f t="shared" ca="1" si="101"/>
        <v>WHS</v>
      </c>
      <c r="L652" t="str">
        <f t="shared" ca="1" si="102"/>
        <v>imp</v>
      </c>
      <c r="M652" t="str">
        <f t="shared" ca="1" si="99"/>
        <v>RUBBER</v>
      </c>
      <c r="N652">
        <f t="shared" ca="1" si="100"/>
        <v>1.9364014730456357E-7</v>
      </c>
    </row>
    <row r="653" spans="6:14" x14ac:dyDescent="0.35">
      <c r="F653">
        <f t="shared" si="103"/>
        <v>9</v>
      </c>
      <c r="G653">
        <f t="shared" si="104"/>
        <v>24</v>
      </c>
      <c r="H653">
        <f t="shared" si="105"/>
        <v>1</v>
      </c>
      <c r="K653" t="str">
        <f t="shared" ca="1" si="101"/>
        <v>CMN</v>
      </c>
      <c r="L653" t="str">
        <f t="shared" ca="1" si="102"/>
        <v>imp</v>
      </c>
      <c r="M653" t="str">
        <f t="shared" ca="1" si="99"/>
        <v>RUBBER</v>
      </c>
      <c r="N653">
        <f t="shared" ca="1" si="100"/>
        <v>1.9364014730456357E-7</v>
      </c>
    </row>
    <row r="654" spans="6:14" x14ac:dyDescent="0.35">
      <c r="F654">
        <f t="shared" si="103"/>
        <v>9</v>
      </c>
      <c r="G654">
        <f t="shared" si="104"/>
        <v>25</v>
      </c>
      <c r="H654">
        <f t="shared" si="105"/>
        <v>1</v>
      </c>
      <c r="K654" t="str">
        <f t="shared" ca="1" si="101"/>
        <v>OFI</v>
      </c>
      <c r="L654" t="str">
        <f t="shared" ca="1" si="102"/>
        <v>imp</v>
      </c>
      <c r="M654" t="str">
        <f t="shared" ca="1" si="99"/>
        <v>RUBBER</v>
      </c>
      <c r="N654">
        <f t="shared" ca="1" si="100"/>
        <v>1.9364014730456357E-7</v>
      </c>
    </row>
    <row r="655" spans="6:14" x14ac:dyDescent="0.35">
      <c r="F655">
        <f t="shared" si="103"/>
        <v>9</v>
      </c>
      <c r="G655">
        <f t="shared" si="104"/>
        <v>26</v>
      </c>
      <c r="H655">
        <f t="shared" si="105"/>
        <v>1</v>
      </c>
      <c r="K655" t="str">
        <f t="shared" ca="1" si="101"/>
        <v>RSA</v>
      </c>
      <c r="L655" t="str">
        <f t="shared" ca="1" si="102"/>
        <v>imp</v>
      </c>
      <c r="M655" t="str">
        <f t="shared" ca="1" si="99"/>
        <v>RUBBER</v>
      </c>
      <c r="N655">
        <f t="shared" ca="1" si="100"/>
        <v>1.9364014730456357E-7</v>
      </c>
    </row>
    <row r="656" spans="6:14" x14ac:dyDescent="0.35">
      <c r="F656">
        <f t="shared" si="103"/>
        <v>9</v>
      </c>
      <c r="G656">
        <f t="shared" si="104"/>
        <v>27</v>
      </c>
      <c r="H656">
        <f t="shared" si="105"/>
        <v>1</v>
      </c>
      <c r="K656" t="str">
        <f t="shared" ca="1" si="101"/>
        <v>OBS</v>
      </c>
      <c r="L656" t="str">
        <f t="shared" ca="1" si="102"/>
        <v>imp</v>
      </c>
      <c r="M656" t="str">
        <f t="shared" ca="1" si="99"/>
        <v>RUBBER</v>
      </c>
      <c r="N656">
        <f t="shared" ca="1" si="100"/>
        <v>1.9364014730456357E-7</v>
      </c>
    </row>
    <row r="657" spans="6:14" x14ac:dyDescent="0.35">
      <c r="F657">
        <f t="shared" si="103"/>
        <v>9</v>
      </c>
      <c r="G657">
        <f t="shared" si="104"/>
        <v>28</v>
      </c>
      <c r="H657">
        <f t="shared" si="105"/>
        <v>1</v>
      </c>
      <c r="K657" t="str">
        <f t="shared" ca="1" si="101"/>
        <v>GOV</v>
      </c>
      <c r="L657" t="str">
        <f t="shared" ca="1" si="102"/>
        <v>imp</v>
      </c>
      <c r="M657" t="str">
        <f t="shared" ca="1" si="99"/>
        <v>RUBBER</v>
      </c>
      <c r="N657">
        <f t="shared" ca="1" si="100"/>
        <v>1.9364014730456357E-7</v>
      </c>
    </row>
    <row r="658" spans="6:14" x14ac:dyDescent="0.35">
      <c r="F658">
        <f t="shared" si="103"/>
        <v>9</v>
      </c>
      <c r="G658">
        <f t="shared" si="104"/>
        <v>29</v>
      </c>
      <c r="H658">
        <f t="shared" si="105"/>
        <v>1</v>
      </c>
      <c r="K658" t="str">
        <f t="shared" ca="1" si="101"/>
        <v>EDU</v>
      </c>
      <c r="L658" t="str">
        <f t="shared" ca="1" si="102"/>
        <v>imp</v>
      </c>
      <c r="M658" t="str">
        <f t="shared" ca="1" si="99"/>
        <v>RUBBER</v>
      </c>
      <c r="N658">
        <f t="shared" ca="1" si="100"/>
        <v>1.9364014730456357E-7</v>
      </c>
    </row>
    <row r="659" spans="6:14" x14ac:dyDescent="0.35">
      <c r="F659">
        <f t="shared" si="103"/>
        <v>9</v>
      </c>
      <c r="G659">
        <f t="shared" si="104"/>
        <v>30</v>
      </c>
      <c r="H659">
        <f t="shared" si="105"/>
        <v>1</v>
      </c>
      <c r="K659" t="str">
        <f t="shared" ca="1" si="101"/>
        <v>HHT</v>
      </c>
      <c r="L659" t="str">
        <f t="shared" ca="1" si="102"/>
        <v>imp</v>
      </c>
      <c r="M659" t="str">
        <f t="shared" ca="1" si="99"/>
        <v>RUBBER</v>
      </c>
      <c r="N659">
        <f t="shared" ca="1" si="100"/>
        <v>1.9364014730456357E-7</v>
      </c>
    </row>
    <row r="660" spans="6:14" x14ac:dyDescent="0.35">
      <c r="F660">
        <f t="shared" si="103"/>
        <v>9</v>
      </c>
      <c r="G660">
        <f t="shared" si="104"/>
        <v>31</v>
      </c>
      <c r="H660">
        <f t="shared" si="105"/>
        <v>1</v>
      </c>
      <c r="K660" t="str">
        <f t="shared" ca="1" si="101"/>
        <v>REC</v>
      </c>
      <c r="L660" t="str">
        <f t="shared" ca="1" si="102"/>
        <v>imp</v>
      </c>
      <c r="M660" t="str">
        <f t="shared" ca="1" si="99"/>
        <v>RUBBER</v>
      </c>
      <c r="N660">
        <f t="shared" ca="1" si="100"/>
        <v>1.9364014730456357E-7</v>
      </c>
    </row>
    <row r="661" spans="6:14" x14ac:dyDescent="0.35">
      <c r="F661">
        <f t="shared" ref="F661:F676" si="106">F595+1</f>
        <v>9</v>
      </c>
      <c r="G661">
        <f t="shared" si="104"/>
        <v>32</v>
      </c>
      <c r="H661">
        <f t="shared" si="105"/>
        <v>1</v>
      </c>
      <c r="K661" t="str">
        <f t="shared" ca="1" si="101"/>
        <v>DWE</v>
      </c>
      <c r="L661" t="str">
        <f t="shared" ca="1" si="102"/>
        <v>imp</v>
      </c>
      <c r="M661" t="str">
        <f t="shared" ca="1" si="99"/>
        <v>RUBBER</v>
      </c>
      <c r="N661">
        <f t="shared" ca="1" si="100"/>
        <v>1.9364014730456357E-7</v>
      </c>
    </row>
    <row r="662" spans="6:14" x14ac:dyDescent="0.35">
      <c r="F662">
        <f t="shared" si="106"/>
        <v>10</v>
      </c>
      <c r="G662">
        <f t="shared" si="104"/>
        <v>0</v>
      </c>
      <c r="H662">
        <f t="shared" si="105"/>
        <v>0</v>
      </c>
      <c r="K662" t="str">
        <f t="shared" ca="1" si="101"/>
        <v>AG</v>
      </c>
      <c r="L662" t="str">
        <f t="shared" ca="1" si="102"/>
        <v>dom</v>
      </c>
      <c r="M662" t="str">
        <f t="shared" ca="1" si="99"/>
        <v>NMM</v>
      </c>
      <c r="N662">
        <f t="shared" ca="1" si="100"/>
        <v>9.3706323290441262E-2</v>
      </c>
    </row>
    <row r="663" spans="6:14" x14ac:dyDescent="0.35">
      <c r="F663">
        <f t="shared" si="106"/>
        <v>10</v>
      </c>
      <c r="G663">
        <f t="shared" si="104"/>
        <v>1</v>
      </c>
      <c r="H663">
        <f t="shared" si="105"/>
        <v>0</v>
      </c>
      <c r="K663" t="str">
        <f t="shared" ca="1" si="101"/>
        <v>MIN</v>
      </c>
      <c r="L663" t="str">
        <f t="shared" ca="1" si="102"/>
        <v>dom</v>
      </c>
      <c r="M663" t="str">
        <f t="shared" ca="1" si="99"/>
        <v>NMM</v>
      </c>
      <c r="N663">
        <f t="shared" ca="1" si="100"/>
        <v>0.16346291619957493</v>
      </c>
    </row>
    <row r="664" spans="6:14" x14ac:dyDescent="0.35">
      <c r="F664">
        <f t="shared" si="106"/>
        <v>10</v>
      </c>
      <c r="G664">
        <f t="shared" si="104"/>
        <v>2</v>
      </c>
      <c r="H664">
        <f t="shared" si="105"/>
        <v>0</v>
      </c>
      <c r="K664" t="str">
        <f t="shared" ca="1" si="101"/>
        <v>FBT</v>
      </c>
      <c r="L664" t="str">
        <f t="shared" ca="1" si="102"/>
        <v>dom</v>
      </c>
      <c r="M664" t="str">
        <f t="shared" ca="1" si="99"/>
        <v>NMM</v>
      </c>
      <c r="N664">
        <f t="shared" ca="1" si="100"/>
        <v>0.27523703770096042</v>
      </c>
    </row>
    <row r="665" spans="6:14" x14ac:dyDescent="0.35">
      <c r="F665">
        <f t="shared" si="106"/>
        <v>10</v>
      </c>
      <c r="G665">
        <f t="shared" si="104"/>
        <v>3</v>
      </c>
      <c r="H665">
        <f t="shared" si="105"/>
        <v>0</v>
      </c>
      <c r="K665" t="str">
        <f t="shared" ca="1" si="101"/>
        <v>TEX</v>
      </c>
      <c r="L665" t="str">
        <f t="shared" ca="1" si="102"/>
        <v>dom</v>
      </c>
      <c r="M665" t="str">
        <f t="shared" ca="1" si="99"/>
        <v>NMM</v>
      </c>
      <c r="N665">
        <f t="shared" ca="1" si="100"/>
        <v>1.4336692781471525</v>
      </c>
    </row>
    <row r="666" spans="6:14" x14ac:dyDescent="0.35">
      <c r="F666">
        <f t="shared" si="106"/>
        <v>10</v>
      </c>
      <c r="G666">
        <f t="shared" si="104"/>
        <v>4</v>
      </c>
      <c r="H666">
        <f t="shared" si="105"/>
        <v>0</v>
      </c>
      <c r="K666" t="str">
        <f t="shared" ca="1" si="101"/>
        <v>LEATHER</v>
      </c>
      <c r="L666" t="str">
        <f t="shared" ca="1" si="102"/>
        <v>dom</v>
      </c>
      <c r="M666" t="str">
        <f t="shared" ca="1" si="99"/>
        <v>NMM</v>
      </c>
      <c r="N666">
        <f t="shared" ca="1" si="100"/>
        <v>1.017305647303352E-2</v>
      </c>
    </row>
    <row r="667" spans="6:14" x14ac:dyDescent="0.35">
      <c r="F667">
        <f t="shared" si="106"/>
        <v>10</v>
      </c>
      <c r="G667">
        <f t="shared" si="104"/>
        <v>5</v>
      </c>
      <c r="H667">
        <f t="shared" si="105"/>
        <v>0</v>
      </c>
      <c r="K667" t="str">
        <f t="shared" ca="1" si="101"/>
        <v>WOOD</v>
      </c>
      <c r="L667" t="str">
        <f t="shared" ca="1" si="102"/>
        <v>dom</v>
      </c>
      <c r="M667" t="str">
        <f t="shared" ca="1" si="99"/>
        <v>NMM</v>
      </c>
      <c r="N667">
        <f t="shared" ca="1" si="100"/>
        <v>6.2624501947738748E-2</v>
      </c>
    </row>
    <row r="668" spans="6:14" x14ac:dyDescent="0.35">
      <c r="F668">
        <f t="shared" si="106"/>
        <v>10</v>
      </c>
      <c r="G668">
        <f t="shared" si="104"/>
        <v>6</v>
      </c>
      <c r="H668">
        <f t="shared" si="105"/>
        <v>0</v>
      </c>
      <c r="K668" t="str">
        <f t="shared" ca="1" si="101"/>
        <v>PPP</v>
      </c>
      <c r="L668" t="str">
        <f t="shared" ca="1" si="102"/>
        <v>dom</v>
      </c>
      <c r="M668" t="str">
        <f t="shared" ca="1" si="99"/>
        <v>NMM</v>
      </c>
      <c r="N668">
        <f t="shared" ca="1" si="100"/>
        <v>1.2534657134620044</v>
      </c>
    </row>
    <row r="669" spans="6:14" x14ac:dyDescent="0.35">
      <c r="F669">
        <f t="shared" si="106"/>
        <v>10</v>
      </c>
      <c r="G669">
        <f t="shared" si="104"/>
        <v>7</v>
      </c>
      <c r="H669">
        <f t="shared" si="105"/>
        <v>0</v>
      </c>
      <c r="K669" t="str">
        <f t="shared" ca="1" si="101"/>
        <v>PC</v>
      </c>
      <c r="L669" t="str">
        <f t="shared" ca="1" si="102"/>
        <v>dom</v>
      </c>
      <c r="M669" t="str">
        <f t="shared" ca="1" si="99"/>
        <v>NMM</v>
      </c>
      <c r="N669">
        <f t="shared" ca="1" si="100"/>
        <v>0.19100403271334435</v>
      </c>
    </row>
    <row r="670" spans="6:14" x14ac:dyDescent="0.35">
      <c r="F670">
        <f t="shared" si="106"/>
        <v>10</v>
      </c>
      <c r="G670">
        <f t="shared" si="104"/>
        <v>8</v>
      </c>
      <c r="H670">
        <f t="shared" si="105"/>
        <v>0</v>
      </c>
      <c r="K670" t="str">
        <f t="shared" ca="1" si="101"/>
        <v>CHM</v>
      </c>
      <c r="L670" t="str">
        <f t="shared" ca="1" si="102"/>
        <v>dom</v>
      </c>
      <c r="M670" t="str">
        <f t="shared" ca="1" si="99"/>
        <v>NMM</v>
      </c>
      <c r="N670">
        <f t="shared" ca="1" si="100"/>
        <v>1.1894204297336211</v>
      </c>
    </row>
    <row r="671" spans="6:14" x14ac:dyDescent="0.35">
      <c r="F671">
        <f t="shared" si="106"/>
        <v>10</v>
      </c>
      <c r="G671">
        <f t="shared" si="104"/>
        <v>9</v>
      </c>
      <c r="H671">
        <f t="shared" si="105"/>
        <v>0</v>
      </c>
      <c r="K671" t="str">
        <f t="shared" ca="1" si="101"/>
        <v>RUBBER</v>
      </c>
      <c r="L671" t="str">
        <f t="shared" ca="1" si="102"/>
        <v>dom</v>
      </c>
      <c r="M671" t="str">
        <f t="shared" ca="1" si="99"/>
        <v>NMM</v>
      </c>
      <c r="N671">
        <f t="shared" ca="1" si="100"/>
        <v>1.8619229105912289</v>
      </c>
    </row>
    <row r="672" spans="6:14" x14ac:dyDescent="0.35">
      <c r="F672">
        <f t="shared" si="106"/>
        <v>10</v>
      </c>
      <c r="G672">
        <f t="shared" si="104"/>
        <v>10</v>
      </c>
      <c r="H672">
        <f t="shared" si="105"/>
        <v>0</v>
      </c>
      <c r="K672" t="str">
        <f t="shared" ca="1" si="101"/>
        <v>NMM</v>
      </c>
      <c r="L672" t="str">
        <f t="shared" ca="1" si="102"/>
        <v>dom</v>
      </c>
      <c r="M672" t="str">
        <f t="shared" ca="1" si="99"/>
        <v>NMM</v>
      </c>
      <c r="N672">
        <f t="shared" ca="1" si="100"/>
        <v>1.7248401545037448</v>
      </c>
    </row>
    <row r="673" spans="6:14" x14ac:dyDescent="0.35">
      <c r="F673">
        <f t="shared" si="106"/>
        <v>10</v>
      </c>
      <c r="G673">
        <f t="shared" si="104"/>
        <v>11</v>
      </c>
      <c r="H673">
        <f t="shared" si="105"/>
        <v>0</v>
      </c>
      <c r="K673" t="str">
        <f t="shared" ca="1" si="101"/>
        <v>METAL</v>
      </c>
      <c r="L673" t="str">
        <f t="shared" ca="1" si="102"/>
        <v>dom</v>
      </c>
      <c r="M673" t="str">
        <f t="shared" ca="1" si="99"/>
        <v>NMM</v>
      </c>
      <c r="N673">
        <f t="shared" ca="1" si="100"/>
        <v>5.0448589764622982</v>
      </c>
    </row>
    <row r="674" spans="6:14" x14ac:dyDescent="0.35">
      <c r="F674">
        <f t="shared" si="106"/>
        <v>10</v>
      </c>
      <c r="G674">
        <f t="shared" si="104"/>
        <v>12</v>
      </c>
      <c r="H674">
        <f t="shared" si="105"/>
        <v>0</v>
      </c>
      <c r="K674" t="str">
        <f t="shared" ca="1" si="101"/>
        <v>MACH</v>
      </c>
      <c r="L674" t="str">
        <f t="shared" ca="1" si="102"/>
        <v>dom</v>
      </c>
      <c r="M674" t="str">
        <f t="shared" ca="1" si="99"/>
        <v>NMM</v>
      </c>
      <c r="N674">
        <f t="shared" ca="1" si="100"/>
        <v>7.3020356623946174</v>
      </c>
    </row>
    <row r="675" spans="6:14" x14ac:dyDescent="0.35">
      <c r="F675">
        <f t="shared" si="106"/>
        <v>10</v>
      </c>
      <c r="G675">
        <f t="shared" si="104"/>
        <v>13</v>
      </c>
      <c r="H675">
        <f t="shared" si="105"/>
        <v>0</v>
      </c>
      <c r="K675" t="str">
        <f t="shared" ca="1" si="101"/>
        <v>ELEC</v>
      </c>
      <c r="L675" t="str">
        <f t="shared" ca="1" si="102"/>
        <v>dom</v>
      </c>
      <c r="M675" t="str">
        <f t="shared" ca="1" si="99"/>
        <v>NMM</v>
      </c>
      <c r="N675">
        <f t="shared" ca="1" si="100"/>
        <v>1.5189819586529898</v>
      </c>
    </row>
    <row r="676" spans="6:14" x14ac:dyDescent="0.35">
      <c r="F676">
        <f t="shared" si="106"/>
        <v>10</v>
      </c>
      <c r="G676">
        <f t="shared" si="104"/>
        <v>14</v>
      </c>
      <c r="H676">
        <f t="shared" si="105"/>
        <v>0</v>
      </c>
      <c r="K676" t="str">
        <f t="shared" ca="1" si="101"/>
        <v>TRNEQUIP</v>
      </c>
      <c r="L676" t="str">
        <f t="shared" ca="1" si="102"/>
        <v>dom</v>
      </c>
      <c r="M676" t="str">
        <f t="shared" ca="1" si="99"/>
        <v>NMM</v>
      </c>
      <c r="N676">
        <f t="shared" ca="1" si="100"/>
        <v>2.1941814746578383</v>
      </c>
    </row>
    <row r="677" spans="6:14" x14ac:dyDescent="0.35">
      <c r="F677">
        <f t="shared" ref="F677:F692" si="107">F611+1</f>
        <v>10</v>
      </c>
      <c r="G677">
        <f t="shared" si="104"/>
        <v>15</v>
      </c>
      <c r="H677">
        <f t="shared" si="105"/>
        <v>0</v>
      </c>
      <c r="K677" t="str">
        <f t="shared" ca="1" si="101"/>
        <v>ROMAN</v>
      </c>
      <c r="L677" t="str">
        <f t="shared" ca="1" si="102"/>
        <v>dom</v>
      </c>
      <c r="M677" t="str">
        <f t="shared" ca="1" si="99"/>
        <v>NMM</v>
      </c>
      <c r="N677">
        <f t="shared" ca="1" si="100"/>
        <v>5.9746136876247906</v>
      </c>
    </row>
    <row r="678" spans="6:14" x14ac:dyDescent="0.35">
      <c r="F678">
        <f t="shared" si="107"/>
        <v>10</v>
      </c>
      <c r="G678">
        <f t="shared" si="104"/>
        <v>16</v>
      </c>
      <c r="H678">
        <f t="shared" si="105"/>
        <v>0</v>
      </c>
      <c r="K678" t="str">
        <f t="shared" ca="1" si="101"/>
        <v>ELYGASWTR</v>
      </c>
      <c r="L678" t="str">
        <f t="shared" ca="1" si="102"/>
        <v>dom</v>
      </c>
      <c r="M678" t="str">
        <f t="shared" ca="1" si="99"/>
        <v>NMM</v>
      </c>
      <c r="N678">
        <f t="shared" ca="1" si="100"/>
        <v>1.3633672271735801E-7</v>
      </c>
    </row>
    <row r="679" spans="6:14" x14ac:dyDescent="0.35">
      <c r="F679">
        <f t="shared" si="107"/>
        <v>10</v>
      </c>
      <c r="G679">
        <f t="shared" si="104"/>
        <v>17</v>
      </c>
      <c r="H679">
        <f t="shared" si="105"/>
        <v>0</v>
      </c>
      <c r="K679" t="str">
        <f t="shared" ca="1" si="101"/>
        <v>CNS</v>
      </c>
      <c r="L679" t="str">
        <f t="shared" ca="1" si="102"/>
        <v>dom</v>
      </c>
      <c r="M679" t="str">
        <f t="shared" ca="1" si="99"/>
        <v>NMM</v>
      </c>
      <c r="N679">
        <f t="shared" ca="1" si="100"/>
        <v>198.46734469686334</v>
      </c>
    </row>
    <row r="680" spans="6:14" x14ac:dyDescent="0.35">
      <c r="F680">
        <f t="shared" si="107"/>
        <v>10</v>
      </c>
      <c r="G680">
        <f t="shared" si="104"/>
        <v>18</v>
      </c>
      <c r="H680">
        <f t="shared" si="105"/>
        <v>0</v>
      </c>
      <c r="K680" t="str">
        <f t="shared" ca="1" si="101"/>
        <v>TRD</v>
      </c>
      <c r="L680" t="str">
        <f t="shared" ca="1" si="102"/>
        <v>dom</v>
      </c>
      <c r="M680" t="str">
        <f t="shared" ca="1" si="99"/>
        <v>NMM</v>
      </c>
      <c r="N680">
        <f t="shared" ca="1" si="100"/>
        <v>31.733605223624526</v>
      </c>
    </row>
    <row r="681" spans="6:14" x14ac:dyDescent="0.35">
      <c r="F681">
        <f t="shared" si="107"/>
        <v>10</v>
      </c>
      <c r="G681">
        <f t="shared" si="104"/>
        <v>19</v>
      </c>
      <c r="H681">
        <f t="shared" si="105"/>
        <v>0</v>
      </c>
      <c r="K681" t="str">
        <f t="shared" ca="1" si="101"/>
        <v>AFS</v>
      </c>
      <c r="L681" t="str">
        <f t="shared" ca="1" si="102"/>
        <v>dom</v>
      </c>
      <c r="M681" t="str">
        <f t="shared" ca="1" si="99"/>
        <v>NMM</v>
      </c>
      <c r="N681">
        <f t="shared" ca="1" si="100"/>
        <v>1.3633672271735801E-7</v>
      </c>
    </row>
    <row r="682" spans="6:14" x14ac:dyDescent="0.35">
      <c r="F682">
        <f t="shared" si="107"/>
        <v>10</v>
      </c>
      <c r="G682">
        <f t="shared" si="104"/>
        <v>20</v>
      </c>
      <c r="H682">
        <f t="shared" si="105"/>
        <v>0</v>
      </c>
      <c r="K682" t="str">
        <f t="shared" ca="1" si="101"/>
        <v>OTP</v>
      </c>
      <c r="L682" t="str">
        <f t="shared" ca="1" si="102"/>
        <v>dom</v>
      </c>
      <c r="M682" t="str">
        <f t="shared" ca="1" si="99"/>
        <v>NMM</v>
      </c>
      <c r="N682">
        <f t="shared" ca="1" si="100"/>
        <v>1.3633672271735801E-7</v>
      </c>
    </row>
    <row r="683" spans="6:14" x14ac:dyDescent="0.35">
      <c r="F683">
        <f t="shared" si="107"/>
        <v>10</v>
      </c>
      <c r="G683">
        <f t="shared" si="104"/>
        <v>21</v>
      </c>
      <c r="H683">
        <f t="shared" si="105"/>
        <v>0</v>
      </c>
      <c r="K683" t="str">
        <f t="shared" ca="1" si="101"/>
        <v>WTP</v>
      </c>
      <c r="L683" t="str">
        <f t="shared" ca="1" si="102"/>
        <v>dom</v>
      </c>
      <c r="M683" t="str">
        <f t="shared" ca="1" si="99"/>
        <v>NMM</v>
      </c>
      <c r="N683">
        <f t="shared" ca="1" si="100"/>
        <v>1.3633672271735801E-7</v>
      </c>
    </row>
    <row r="684" spans="6:14" x14ac:dyDescent="0.35">
      <c r="F684">
        <f t="shared" si="107"/>
        <v>10</v>
      </c>
      <c r="G684">
        <f t="shared" si="104"/>
        <v>22</v>
      </c>
      <c r="H684">
        <f t="shared" si="105"/>
        <v>0</v>
      </c>
      <c r="K684" t="str">
        <f t="shared" ca="1" si="101"/>
        <v>ATP</v>
      </c>
      <c r="L684" t="str">
        <f t="shared" ca="1" si="102"/>
        <v>dom</v>
      </c>
      <c r="M684" t="str">
        <f t="shared" ca="1" si="99"/>
        <v>NMM</v>
      </c>
      <c r="N684">
        <f t="shared" ca="1" si="100"/>
        <v>1.3633672271735801E-7</v>
      </c>
    </row>
    <row r="685" spans="6:14" x14ac:dyDescent="0.35">
      <c r="F685">
        <f t="shared" si="107"/>
        <v>10</v>
      </c>
      <c r="G685">
        <f t="shared" si="104"/>
        <v>23</v>
      </c>
      <c r="H685">
        <f t="shared" si="105"/>
        <v>0</v>
      </c>
      <c r="K685" t="str">
        <f t="shared" ca="1" si="101"/>
        <v>WHS</v>
      </c>
      <c r="L685" t="str">
        <f t="shared" ca="1" si="102"/>
        <v>dom</v>
      </c>
      <c r="M685" t="str">
        <f t="shared" ca="1" si="99"/>
        <v>NMM</v>
      </c>
      <c r="N685">
        <f t="shared" ca="1" si="100"/>
        <v>1.3633672271735801E-7</v>
      </c>
    </row>
    <row r="686" spans="6:14" x14ac:dyDescent="0.35">
      <c r="F686">
        <f t="shared" si="107"/>
        <v>10</v>
      </c>
      <c r="G686">
        <f t="shared" si="104"/>
        <v>24</v>
      </c>
      <c r="H686">
        <f t="shared" si="105"/>
        <v>0</v>
      </c>
      <c r="K686" t="str">
        <f t="shared" ca="1" si="101"/>
        <v>CMN</v>
      </c>
      <c r="L686" t="str">
        <f t="shared" ca="1" si="102"/>
        <v>dom</v>
      </c>
      <c r="M686" t="str">
        <f t="shared" ca="1" si="99"/>
        <v>NMM</v>
      </c>
      <c r="N686">
        <f t="shared" ca="1" si="100"/>
        <v>1.3633672271735801E-7</v>
      </c>
    </row>
    <row r="687" spans="6:14" x14ac:dyDescent="0.35">
      <c r="F687">
        <f t="shared" si="107"/>
        <v>10</v>
      </c>
      <c r="G687">
        <f t="shared" si="104"/>
        <v>25</v>
      </c>
      <c r="H687">
        <f t="shared" si="105"/>
        <v>0</v>
      </c>
      <c r="K687" t="str">
        <f t="shared" ca="1" si="101"/>
        <v>OFI</v>
      </c>
      <c r="L687" t="str">
        <f t="shared" ca="1" si="102"/>
        <v>dom</v>
      </c>
      <c r="M687" t="str">
        <f t="shared" ca="1" si="99"/>
        <v>NMM</v>
      </c>
      <c r="N687">
        <f t="shared" ca="1" si="100"/>
        <v>1.3633672271735801E-7</v>
      </c>
    </row>
    <row r="688" spans="6:14" x14ac:dyDescent="0.35">
      <c r="F688">
        <f t="shared" si="107"/>
        <v>10</v>
      </c>
      <c r="G688">
        <f t="shared" si="104"/>
        <v>26</v>
      </c>
      <c r="H688">
        <f t="shared" si="105"/>
        <v>0</v>
      </c>
      <c r="K688" t="str">
        <f t="shared" ca="1" si="101"/>
        <v>RSA</v>
      </c>
      <c r="L688" t="str">
        <f t="shared" ca="1" si="102"/>
        <v>dom</v>
      </c>
      <c r="M688" t="str">
        <f t="shared" ca="1" si="99"/>
        <v>NMM</v>
      </c>
      <c r="N688">
        <f t="shared" ca="1" si="100"/>
        <v>1.3633672271735801E-7</v>
      </c>
    </row>
    <row r="689" spans="6:14" x14ac:dyDescent="0.35">
      <c r="F689">
        <f t="shared" si="107"/>
        <v>10</v>
      </c>
      <c r="G689">
        <f t="shared" si="104"/>
        <v>27</v>
      </c>
      <c r="H689">
        <f t="shared" si="105"/>
        <v>0</v>
      </c>
      <c r="K689" t="str">
        <f t="shared" ca="1" si="101"/>
        <v>OBS</v>
      </c>
      <c r="L689" t="str">
        <f t="shared" ca="1" si="102"/>
        <v>dom</v>
      </c>
      <c r="M689" t="str">
        <f t="shared" ca="1" si="99"/>
        <v>NMM</v>
      </c>
      <c r="N689">
        <f t="shared" ca="1" si="100"/>
        <v>1.3633672271735801E-7</v>
      </c>
    </row>
    <row r="690" spans="6:14" x14ac:dyDescent="0.35">
      <c r="F690">
        <f t="shared" si="107"/>
        <v>10</v>
      </c>
      <c r="G690">
        <f t="shared" si="104"/>
        <v>28</v>
      </c>
      <c r="H690">
        <f t="shared" si="105"/>
        <v>0</v>
      </c>
      <c r="K690" t="str">
        <f t="shared" ca="1" si="101"/>
        <v>GOV</v>
      </c>
      <c r="L690" t="str">
        <f t="shared" ca="1" si="102"/>
        <v>dom</v>
      </c>
      <c r="M690" t="str">
        <f t="shared" ca="1" si="99"/>
        <v>NMM</v>
      </c>
      <c r="N690">
        <f t="shared" ca="1" si="100"/>
        <v>1.3633672271735801E-7</v>
      </c>
    </row>
    <row r="691" spans="6:14" x14ac:dyDescent="0.35">
      <c r="F691">
        <f t="shared" si="107"/>
        <v>10</v>
      </c>
      <c r="G691">
        <f t="shared" si="104"/>
        <v>29</v>
      </c>
      <c r="H691">
        <f t="shared" si="105"/>
        <v>0</v>
      </c>
      <c r="K691" t="str">
        <f t="shared" ca="1" si="101"/>
        <v>EDU</v>
      </c>
      <c r="L691" t="str">
        <f t="shared" ca="1" si="102"/>
        <v>dom</v>
      </c>
      <c r="M691" t="str">
        <f t="shared" ca="1" si="99"/>
        <v>NMM</v>
      </c>
      <c r="N691">
        <f t="shared" ca="1" si="100"/>
        <v>1.3633672271735801E-7</v>
      </c>
    </row>
    <row r="692" spans="6:14" x14ac:dyDescent="0.35">
      <c r="F692">
        <f t="shared" si="107"/>
        <v>10</v>
      </c>
      <c r="G692">
        <f t="shared" si="104"/>
        <v>30</v>
      </c>
      <c r="H692">
        <f t="shared" si="105"/>
        <v>0</v>
      </c>
      <c r="K692" t="str">
        <f t="shared" ca="1" si="101"/>
        <v>HHT</v>
      </c>
      <c r="L692" t="str">
        <f t="shared" ca="1" si="102"/>
        <v>dom</v>
      </c>
      <c r="M692" t="str">
        <f t="shared" ca="1" si="99"/>
        <v>NMM</v>
      </c>
      <c r="N692">
        <f t="shared" ca="1" si="100"/>
        <v>1.3633672271735801E-7</v>
      </c>
    </row>
    <row r="693" spans="6:14" x14ac:dyDescent="0.35">
      <c r="F693">
        <f t="shared" ref="F693:F708" si="108">F627+1</f>
        <v>10</v>
      </c>
      <c r="G693">
        <f t="shared" si="104"/>
        <v>31</v>
      </c>
      <c r="H693">
        <f t="shared" si="105"/>
        <v>0</v>
      </c>
      <c r="K693" t="str">
        <f t="shared" ca="1" si="101"/>
        <v>REC</v>
      </c>
      <c r="L693" t="str">
        <f t="shared" ca="1" si="102"/>
        <v>dom</v>
      </c>
      <c r="M693" t="str">
        <f t="shared" ca="1" si="99"/>
        <v>NMM</v>
      </c>
      <c r="N693">
        <f t="shared" ca="1" si="100"/>
        <v>1.3633672271735801E-7</v>
      </c>
    </row>
    <row r="694" spans="6:14" x14ac:dyDescent="0.35">
      <c r="F694">
        <f t="shared" si="108"/>
        <v>10</v>
      </c>
      <c r="G694">
        <f t="shared" si="104"/>
        <v>32</v>
      </c>
      <c r="H694">
        <f t="shared" si="105"/>
        <v>0</v>
      </c>
      <c r="K694" t="str">
        <f t="shared" ca="1" si="101"/>
        <v>DWE</v>
      </c>
      <c r="L694" t="str">
        <f t="shared" ca="1" si="102"/>
        <v>dom</v>
      </c>
      <c r="M694" t="str">
        <f t="shared" ca="1" si="99"/>
        <v>NMM</v>
      </c>
      <c r="N694">
        <f t="shared" ca="1" si="100"/>
        <v>1.3633672271735801E-7</v>
      </c>
    </row>
    <row r="695" spans="6:14" x14ac:dyDescent="0.35">
      <c r="F695">
        <f t="shared" si="108"/>
        <v>10</v>
      </c>
      <c r="G695">
        <f t="shared" si="104"/>
        <v>0</v>
      </c>
      <c r="H695">
        <f t="shared" si="105"/>
        <v>1</v>
      </c>
      <c r="K695" t="str">
        <f t="shared" ca="1" si="101"/>
        <v>AG</v>
      </c>
      <c r="L695" t="str">
        <f t="shared" ca="1" si="102"/>
        <v>imp</v>
      </c>
      <c r="M695" t="str">
        <f t="shared" ca="1" si="99"/>
        <v>NMM</v>
      </c>
      <c r="N695">
        <f t="shared" ca="1" si="100"/>
        <v>1.2613633690112498</v>
      </c>
    </row>
    <row r="696" spans="6:14" x14ac:dyDescent="0.35">
      <c r="F696">
        <f t="shared" si="108"/>
        <v>10</v>
      </c>
      <c r="G696">
        <f t="shared" si="104"/>
        <v>1</v>
      </c>
      <c r="H696">
        <f t="shared" si="105"/>
        <v>1</v>
      </c>
      <c r="K696" t="str">
        <f t="shared" ca="1" si="101"/>
        <v>MIN</v>
      </c>
      <c r="L696" t="str">
        <f t="shared" ca="1" si="102"/>
        <v>imp</v>
      </c>
      <c r="M696" t="str">
        <f t="shared" ca="1" si="99"/>
        <v>NMM</v>
      </c>
      <c r="N696">
        <f t="shared" ca="1" si="100"/>
        <v>1.9899668237965744</v>
      </c>
    </row>
    <row r="697" spans="6:14" x14ac:dyDescent="0.35">
      <c r="F697">
        <f t="shared" si="108"/>
        <v>10</v>
      </c>
      <c r="G697">
        <f t="shared" si="104"/>
        <v>2</v>
      </c>
      <c r="H697">
        <f t="shared" si="105"/>
        <v>1</v>
      </c>
      <c r="K697" t="str">
        <f t="shared" ca="1" si="101"/>
        <v>FBT</v>
      </c>
      <c r="L697" t="str">
        <f t="shared" ca="1" si="102"/>
        <v>imp</v>
      </c>
      <c r="M697" t="str">
        <f t="shared" ca="1" si="99"/>
        <v>NMM</v>
      </c>
      <c r="N697">
        <f t="shared" ca="1" si="100"/>
        <v>0.49795073807706169</v>
      </c>
    </row>
    <row r="698" spans="6:14" x14ac:dyDescent="0.35">
      <c r="F698">
        <f t="shared" si="108"/>
        <v>10</v>
      </c>
      <c r="G698">
        <f t="shared" si="104"/>
        <v>3</v>
      </c>
      <c r="H698">
        <f t="shared" si="105"/>
        <v>1</v>
      </c>
      <c r="K698" t="str">
        <f t="shared" ca="1" si="101"/>
        <v>TEX</v>
      </c>
      <c r="L698" t="str">
        <f t="shared" ca="1" si="102"/>
        <v>imp</v>
      </c>
      <c r="M698" t="str">
        <f t="shared" ca="1" si="99"/>
        <v>NMM</v>
      </c>
      <c r="N698">
        <f t="shared" ca="1" si="100"/>
        <v>9.7717932115374744</v>
      </c>
    </row>
    <row r="699" spans="6:14" x14ac:dyDescent="0.35">
      <c r="F699">
        <f t="shared" si="108"/>
        <v>10</v>
      </c>
      <c r="G699">
        <f t="shared" si="104"/>
        <v>4</v>
      </c>
      <c r="H699">
        <f t="shared" si="105"/>
        <v>1</v>
      </c>
      <c r="K699" t="str">
        <f t="shared" ca="1" si="101"/>
        <v>LEATHER</v>
      </c>
      <c r="L699" t="str">
        <f t="shared" ca="1" si="102"/>
        <v>imp</v>
      </c>
      <c r="M699" t="str">
        <f t="shared" ca="1" si="99"/>
        <v>NMM</v>
      </c>
      <c r="N699">
        <f t="shared" ca="1" si="100"/>
        <v>5.0927603673592596</v>
      </c>
    </row>
    <row r="700" spans="6:14" x14ac:dyDescent="0.35">
      <c r="F700">
        <f t="shared" si="108"/>
        <v>10</v>
      </c>
      <c r="G700">
        <f t="shared" si="104"/>
        <v>5</v>
      </c>
      <c r="H700">
        <f t="shared" si="105"/>
        <v>1</v>
      </c>
      <c r="K700" t="str">
        <f t="shared" ca="1" si="101"/>
        <v>WOOD</v>
      </c>
      <c r="L700" t="str">
        <f t="shared" ca="1" si="102"/>
        <v>imp</v>
      </c>
      <c r="M700" t="str">
        <f t="shared" ca="1" si="99"/>
        <v>NMM</v>
      </c>
      <c r="N700">
        <f t="shared" ca="1" si="100"/>
        <v>9.1156683984267559E-2</v>
      </c>
    </row>
    <row r="701" spans="6:14" x14ac:dyDescent="0.35">
      <c r="F701">
        <f t="shared" si="108"/>
        <v>10</v>
      </c>
      <c r="G701">
        <f t="shared" si="104"/>
        <v>6</v>
      </c>
      <c r="H701">
        <f t="shared" si="105"/>
        <v>1</v>
      </c>
      <c r="K701" t="str">
        <f t="shared" ca="1" si="101"/>
        <v>PPP</v>
      </c>
      <c r="L701" t="str">
        <f t="shared" ca="1" si="102"/>
        <v>imp</v>
      </c>
      <c r="M701" t="str">
        <f t="shared" ca="1" si="99"/>
        <v>NMM</v>
      </c>
      <c r="N701">
        <f t="shared" ca="1" si="100"/>
        <v>1.3126470513475132</v>
      </c>
    </row>
    <row r="702" spans="6:14" x14ac:dyDescent="0.35">
      <c r="F702">
        <f t="shared" si="108"/>
        <v>10</v>
      </c>
      <c r="G702">
        <f t="shared" si="104"/>
        <v>7</v>
      </c>
      <c r="H702">
        <f t="shared" si="105"/>
        <v>1</v>
      </c>
      <c r="K702" t="str">
        <f t="shared" ca="1" si="101"/>
        <v>PC</v>
      </c>
      <c r="L702" t="str">
        <f t="shared" ca="1" si="102"/>
        <v>imp</v>
      </c>
      <c r="M702" t="str">
        <f t="shared" ca="1" si="99"/>
        <v>NMM</v>
      </c>
      <c r="N702">
        <f t="shared" ca="1" si="100"/>
        <v>0.33053996281906223</v>
      </c>
    </row>
    <row r="703" spans="6:14" x14ac:dyDescent="0.35">
      <c r="F703">
        <f t="shared" si="108"/>
        <v>10</v>
      </c>
      <c r="G703">
        <f t="shared" si="104"/>
        <v>8</v>
      </c>
      <c r="H703">
        <f t="shared" si="105"/>
        <v>1</v>
      </c>
      <c r="K703" t="str">
        <f t="shared" ca="1" si="101"/>
        <v>CHM</v>
      </c>
      <c r="L703" t="str">
        <f t="shared" ca="1" si="102"/>
        <v>imp</v>
      </c>
      <c r="M703" t="str">
        <f t="shared" ca="1" si="99"/>
        <v>NMM</v>
      </c>
      <c r="N703">
        <f t="shared" ca="1" si="100"/>
        <v>4.531150985875211</v>
      </c>
    </row>
    <row r="704" spans="6:14" x14ac:dyDescent="0.35">
      <c r="F704">
        <f t="shared" si="108"/>
        <v>10</v>
      </c>
      <c r="G704">
        <f t="shared" si="104"/>
        <v>9</v>
      </c>
      <c r="H704">
        <f t="shared" si="105"/>
        <v>1</v>
      </c>
      <c r="K704" t="str">
        <f t="shared" ca="1" si="101"/>
        <v>RUBBER</v>
      </c>
      <c r="L704" t="str">
        <f t="shared" ca="1" si="102"/>
        <v>imp</v>
      </c>
      <c r="M704" t="str">
        <f t="shared" ca="1" si="99"/>
        <v>NMM</v>
      </c>
      <c r="N704">
        <f t="shared" ca="1" si="100"/>
        <v>3.4702594026131868</v>
      </c>
    </row>
    <row r="705" spans="6:14" x14ac:dyDescent="0.35">
      <c r="F705">
        <f t="shared" si="108"/>
        <v>10</v>
      </c>
      <c r="G705">
        <f t="shared" si="104"/>
        <v>10</v>
      </c>
      <c r="H705">
        <f t="shared" si="105"/>
        <v>1</v>
      </c>
      <c r="K705" t="str">
        <f t="shared" ca="1" si="101"/>
        <v>NMM</v>
      </c>
      <c r="L705" t="str">
        <f t="shared" ca="1" si="102"/>
        <v>imp</v>
      </c>
      <c r="M705" t="str">
        <f t="shared" ca="1" si="99"/>
        <v>NMM</v>
      </c>
      <c r="N705">
        <f t="shared" ca="1" si="100"/>
        <v>1.3099791173662583</v>
      </c>
    </row>
    <row r="706" spans="6:14" x14ac:dyDescent="0.35">
      <c r="F706">
        <f t="shared" si="108"/>
        <v>10</v>
      </c>
      <c r="G706">
        <f t="shared" si="104"/>
        <v>11</v>
      </c>
      <c r="H706">
        <f t="shared" si="105"/>
        <v>1</v>
      </c>
      <c r="K706" t="str">
        <f t="shared" ca="1" si="101"/>
        <v>METAL</v>
      </c>
      <c r="L706" t="str">
        <f t="shared" ca="1" si="102"/>
        <v>imp</v>
      </c>
      <c r="M706" t="str">
        <f t="shared" ref="M706:M769" ca="1" si="109">OFFSET(A$2,F706,0)</f>
        <v>NMM</v>
      </c>
      <c r="N706">
        <f t="shared" ref="N706:N769" ca="1" si="110">SUMIFS(C:C,A:A,K706,B:B,L706)*SUMIFS(U:U,S:S,M706)</f>
        <v>16.397189050298817</v>
      </c>
    </row>
    <row r="707" spans="6:14" x14ac:dyDescent="0.35">
      <c r="F707">
        <f t="shared" si="108"/>
        <v>10</v>
      </c>
      <c r="G707">
        <f t="shared" si="104"/>
        <v>12</v>
      </c>
      <c r="H707">
        <f t="shared" si="105"/>
        <v>1</v>
      </c>
      <c r="K707" t="str">
        <f t="shared" ref="K707:K770" ca="1" si="111">OFFSET(A$2,G707,0)</f>
        <v>MACH</v>
      </c>
      <c r="L707" t="str">
        <f t="shared" ref="L707:L770" ca="1" si="112">OFFSET($V$3,H707,0)</f>
        <v>imp</v>
      </c>
      <c r="M707" t="str">
        <f t="shared" ca="1" si="109"/>
        <v>NMM</v>
      </c>
      <c r="N707">
        <f t="shared" ca="1" si="110"/>
        <v>62.813890662434517</v>
      </c>
    </row>
    <row r="708" spans="6:14" x14ac:dyDescent="0.35">
      <c r="F708">
        <f t="shared" si="108"/>
        <v>10</v>
      </c>
      <c r="G708">
        <f t="shared" si="104"/>
        <v>13</v>
      </c>
      <c r="H708">
        <f t="shared" si="105"/>
        <v>1</v>
      </c>
      <c r="K708" t="str">
        <f t="shared" ca="1" si="111"/>
        <v>ELEC</v>
      </c>
      <c r="L708" t="str">
        <f t="shared" ca="1" si="112"/>
        <v>imp</v>
      </c>
      <c r="M708" t="str">
        <f t="shared" ca="1" si="109"/>
        <v>NMM</v>
      </c>
      <c r="N708">
        <f t="shared" ca="1" si="110"/>
        <v>33.678892097012302</v>
      </c>
    </row>
    <row r="709" spans="6:14" x14ac:dyDescent="0.35">
      <c r="F709">
        <f t="shared" ref="F709:F724" si="113">F643+1</f>
        <v>10</v>
      </c>
      <c r="G709">
        <f t="shared" ref="G709:G772" si="114">G676</f>
        <v>14</v>
      </c>
      <c r="H709">
        <f t="shared" ref="H709:H772" si="115">H643</f>
        <v>1</v>
      </c>
      <c r="K709" t="str">
        <f t="shared" ca="1" si="111"/>
        <v>TRNEQUIP</v>
      </c>
      <c r="L709" t="str">
        <f t="shared" ca="1" si="112"/>
        <v>imp</v>
      </c>
      <c r="M709" t="str">
        <f t="shared" ca="1" si="109"/>
        <v>NMM</v>
      </c>
      <c r="N709">
        <f t="shared" ca="1" si="110"/>
        <v>53.747723611785702</v>
      </c>
    </row>
    <row r="710" spans="6:14" x14ac:dyDescent="0.35">
      <c r="F710">
        <f t="shared" si="113"/>
        <v>10</v>
      </c>
      <c r="G710">
        <f t="shared" si="114"/>
        <v>15</v>
      </c>
      <c r="H710">
        <f t="shared" si="115"/>
        <v>1</v>
      </c>
      <c r="K710" t="str">
        <f t="shared" ca="1" si="111"/>
        <v>ROMAN</v>
      </c>
      <c r="L710" t="str">
        <f t="shared" ca="1" si="112"/>
        <v>imp</v>
      </c>
      <c r="M710" t="str">
        <f t="shared" ca="1" si="109"/>
        <v>NMM</v>
      </c>
      <c r="N710">
        <f t="shared" ca="1" si="110"/>
        <v>20.393749777588461</v>
      </c>
    </row>
    <row r="711" spans="6:14" x14ac:dyDescent="0.35">
      <c r="F711">
        <f t="shared" si="113"/>
        <v>10</v>
      </c>
      <c r="G711">
        <f t="shared" si="114"/>
        <v>16</v>
      </c>
      <c r="H711">
        <f t="shared" si="115"/>
        <v>1</v>
      </c>
      <c r="K711" t="str">
        <f t="shared" ca="1" si="111"/>
        <v>ELYGASWTR</v>
      </c>
      <c r="L711" t="str">
        <f t="shared" ca="1" si="112"/>
        <v>imp</v>
      </c>
      <c r="M711" t="str">
        <f t="shared" ca="1" si="109"/>
        <v>NMM</v>
      </c>
      <c r="N711">
        <f t="shared" ca="1" si="110"/>
        <v>1.3633672271735801E-7</v>
      </c>
    </row>
    <row r="712" spans="6:14" x14ac:dyDescent="0.35">
      <c r="F712">
        <f t="shared" si="113"/>
        <v>10</v>
      </c>
      <c r="G712">
        <f t="shared" si="114"/>
        <v>17</v>
      </c>
      <c r="H712">
        <f t="shared" si="115"/>
        <v>1</v>
      </c>
      <c r="K712" t="str">
        <f t="shared" ca="1" si="111"/>
        <v>CNS</v>
      </c>
      <c r="L712" t="str">
        <f t="shared" ca="1" si="112"/>
        <v>imp</v>
      </c>
      <c r="M712" t="str">
        <f t="shared" ca="1" si="109"/>
        <v>NMM</v>
      </c>
      <c r="N712">
        <f t="shared" ca="1" si="110"/>
        <v>3.9921940520703001</v>
      </c>
    </row>
    <row r="713" spans="6:14" x14ac:dyDescent="0.35">
      <c r="F713">
        <f t="shared" si="113"/>
        <v>10</v>
      </c>
      <c r="G713">
        <f t="shared" si="114"/>
        <v>18</v>
      </c>
      <c r="H713">
        <f t="shared" si="115"/>
        <v>1</v>
      </c>
      <c r="K713" t="str">
        <f t="shared" ca="1" si="111"/>
        <v>TRD</v>
      </c>
      <c r="L713" t="str">
        <f t="shared" ca="1" si="112"/>
        <v>imp</v>
      </c>
      <c r="M713" t="str">
        <f t="shared" ca="1" si="109"/>
        <v>NMM</v>
      </c>
      <c r="N713">
        <f t="shared" ca="1" si="110"/>
        <v>0.34929000861548692</v>
      </c>
    </row>
    <row r="714" spans="6:14" x14ac:dyDescent="0.35">
      <c r="F714">
        <f t="shared" si="113"/>
        <v>10</v>
      </c>
      <c r="G714">
        <f t="shared" si="114"/>
        <v>19</v>
      </c>
      <c r="H714">
        <f t="shared" si="115"/>
        <v>1</v>
      </c>
      <c r="K714" t="str">
        <f t="shared" ca="1" si="111"/>
        <v>AFS</v>
      </c>
      <c r="L714" t="str">
        <f t="shared" ca="1" si="112"/>
        <v>imp</v>
      </c>
      <c r="M714" t="str">
        <f t="shared" ca="1" si="109"/>
        <v>NMM</v>
      </c>
      <c r="N714">
        <f t="shared" ca="1" si="110"/>
        <v>1.3633672271735801E-7</v>
      </c>
    </row>
    <row r="715" spans="6:14" x14ac:dyDescent="0.35">
      <c r="F715">
        <f t="shared" si="113"/>
        <v>10</v>
      </c>
      <c r="G715">
        <f t="shared" si="114"/>
        <v>20</v>
      </c>
      <c r="H715">
        <f t="shared" si="115"/>
        <v>1</v>
      </c>
      <c r="K715" t="str">
        <f t="shared" ca="1" si="111"/>
        <v>OTP</v>
      </c>
      <c r="L715" t="str">
        <f t="shared" ca="1" si="112"/>
        <v>imp</v>
      </c>
      <c r="M715" t="str">
        <f t="shared" ca="1" si="109"/>
        <v>NMM</v>
      </c>
      <c r="N715">
        <f t="shared" ca="1" si="110"/>
        <v>1.3633672271735801E-7</v>
      </c>
    </row>
    <row r="716" spans="6:14" x14ac:dyDescent="0.35">
      <c r="F716">
        <f t="shared" si="113"/>
        <v>10</v>
      </c>
      <c r="G716">
        <f t="shared" si="114"/>
        <v>21</v>
      </c>
      <c r="H716">
        <f t="shared" si="115"/>
        <v>1</v>
      </c>
      <c r="K716" t="str">
        <f t="shared" ca="1" si="111"/>
        <v>WTP</v>
      </c>
      <c r="L716" t="str">
        <f t="shared" ca="1" si="112"/>
        <v>imp</v>
      </c>
      <c r="M716" t="str">
        <f t="shared" ca="1" si="109"/>
        <v>NMM</v>
      </c>
      <c r="N716">
        <f t="shared" ca="1" si="110"/>
        <v>1.3633672271735801E-7</v>
      </c>
    </row>
    <row r="717" spans="6:14" x14ac:dyDescent="0.35">
      <c r="F717">
        <f t="shared" si="113"/>
        <v>10</v>
      </c>
      <c r="G717">
        <f t="shared" si="114"/>
        <v>22</v>
      </c>
      <c r="H717">
        <f t="shared" si="115"/>
        <v>1</v>
      </c>
      <c r="K717" t="str">
        <f t="shared" ca="1" si="111"/>
        <v>ATP</v>
      </c>
      <c r="L717" t="str">
        <f t="shared" ca="1" si="112"/>
        <v>imp</v>
      </c>
      <c r="M717" t="str">
        <f t="shared" ca="1" si="109"/>
        <v>NMM</v>
      </c>
      <c r="N717">
        <f t="shared" ca="1" si="110"/>
        <v>1.3633672271735801E-7</v>
      </c>
    </row>
    <row r="718" spans="6:14" x14ac:dyDescent="0.35">
      <c r="F718">
        <f t="shared" si="113"/>
        <v>10</v>
      </c>
      <c r="G718">
        <f t="shared" si="114"/>
        <v>23</v>
      </c>
      <c r="H718">
        <f t="shared" si="115"/>
        <v>1</v>
      </c>
      <c r="K718" t="str">
        <f t="shared" ca="1" si="111"/>
        <v>WHS</v>
      </c>
      <c r="L718" t="str">
        <f t="shared" ca="1" si="112"/>
        <v>imp</v>
      </c>
      <c r="M718" t="str">
        <f t="shared" ca="1" si="109"/>
        <v>NMM</v>
      </c>
      <c r="N718">
        <f t="shared" ca="1" si="110"/>
        <v>1.3633672271735801E-7</v>
      </c>
    </row>
    <row r="719" spans="6:14" x14ac:dyDescent="0.35">
      <c r="F719">
        <f t="shared" si="113"/>
        <v>10</v>
      </c>
      <c r="G719">
        <f t="shared" si="114"/>
        <v>24</v>
      </c>
      <c r="H719">
        <f t="shared" si="115"/>
        <v>1</v>
      </c>
      <c r="K719" t="str">
        <f t="shared" ca="1" si="111"/>
        <v>CMN</v>
      </c>
      <c r="L719" t="str">
        <f t="shared" ca="1" si="112"/>
        <v>imp</v>
      </c>
      <c r="M719" t="str">
        <f t="shared" ca="1" si="109"/>
        <v>NMM</v>
      </c>
      <c r="N719">
        <f t="shared" ca="1" si="110"/>
        <v>1.3633672271735801E-7</v>
      </c>
    </row>
    <row r="720" spans="6:14" x14ac:dyDescent="0.35">
      <c r="F720">
        <f t="shared" si="113"/>
        <v>10</v>
      </c>
      <c r="G720">
        <f t="shared" si="114"/>
        <v>25</v>
      </c>
      <c r="H720">
        <f t="shared" si="115"/>
        <v>1</v>
      </c>
      <c r="K720" t="str">
        <f t="shared" ca="1" si="111"/>
        <v>OFI</v>
      </c>
      <c r="L720" t="str">
        <f t="shared" ca="1" si="112"/>
        <v>imp</v>
      </c>
      <c r="M720" t="str">
        <f t="shared" ca="1" si="109"/>
        <v>NMM</v>
      </c>
      <c r="N720">
        <f t="shared" ca="1" si="110"/>
        <v>1.3633672271735801E-7</v>
      </c>
    </row>
    <row r="721" spans="6:14" x14ac:dyDescent="0.35">
      <c r="F721">
        <f t="shared" si="113"/>
        <v>10</v>
      </c>
      <c r="G721">
        <f t="shared" si="114"/>
        <v>26</v>
      </c>
      <c r="H721">
        <f t="shared" si="115"/>
        <v>1</v>
      </c>
      <c r="K721" t="str">
        <f t="shared" ca="1" si="111"/>
        <v>RSA</v>
      </c>
      <c r="L721" t="str">
        <f t="shared" ca="1" si="112"/>
        <v>imp</v>
      </c>
      <c r="M721" t="str">
        <f t="shared" ca="1" si="109"/>
        <v>NMM</v>
      </c>
      <c r="N721">
        <f t="shared" ca="1" si="110"/>
        <v>1.3633672271735801E-7</v>
      </c>
    </row>
    <row r="722" spans="6:14" x14ac:dyDescent="0.35">
      <c r="F722">
        <f t="shared" si="113"/>
        <v>10</v>
      </c>
      <c r="G722">
        <f t="shared" si="114"/>
        <v>27</v>
      </c>
      <c r="H722">
        <f t="shared" si="115"/>
        <v>1</v>
      </c>
      <c r="K722" t="str">
        <f t="shared" ca="1" si="111"/>
        <v>OBS</v>
      </c>
      <c r="L722" t="str">
        <f t="shared" ca="1" si="112"/>
        <v>imp</v>
      </c>
      <c r="M722" t="str">
        <f t="shared" ca="1" si="109"/>
        <v>NMM</v>
      </c>
      <c r="N722">
        <f t="shared" ca="1" si="110"/>
        <v>1.3633672271735801E-7</v>
      </c>
    </row>
    <row r="723" spans="6:14" x14ac:dyDescent="0.35">
      <c r="F723">
        <f t="shared" si="113"/>
        <v>10</v>
      </c>
      <c r="G723">
        <f t="shared" si="114"/>
        <v>28</v>
      </c>
      <c r="H723">
        <f t="shared" si="115"/>
        <v>1</v>
      </c>
      <c r="K723" t="str">
        <f t="shared" ca="1" si="111"/>
        <v>GOV</v>
      </c>
      <c r="L723" t="str">
        <f t="shared" ca="1" si="112"/>
        <v>imp</v>
      </c>
      <c r="M723" t="str">
        <f t="shared" ca="1" si="109"/>
        <v>NMM</v>
      </c>
      <c r="N723">
        <f t="shared" ca="1" si="110"/>
        <v>1.3633672271735801E-7</v>
      </c>
    </row>
    <row r="724" spans="6:14" x14ac:dyDescent="0.35">
      <c r="F724">
        <f t="shared" si="113"/>
        <v>10</v>
      </c>
      <c r="G724">
        <f t="shared" si="114"/>
        <v>29</v>
      </c>
      <c r="H724">
        <f t="shared" si="115"/>
        <v>1</v>
      </c>
      <c r="K724" t="str">
        <f t="shared" ca="1" si="111"/>
        <v>EDU</v>
      </c>
      <c r="L724" t="str">
        <f t="shared" ca="1" si="112"/>
        <v>imp</v>
      </c>
      <c r="M724" t="str">
        <f t="shared" ca="1" si="109"/>
        <v>NMM</v>
      </c>
      <c r="N724">
        <f t="shared" ca="1" si="110"/>
        <v>1.3633672271735801E-7</v>
      </c>
    </row>
    <row r="725" spans="6:14" x14ac:dyDescent="0.35">
      <c r="F725">
        <f t="shared" ref="F725:F740" si="116">F659+1</f>
        <v>10</v>
      </c>
      <c r="G725">
        <f t="shared" si="114"/>
        <v>30</v>
      </c>
      <c r="H725">
        <f t="shared" si="115"/>
        <v>1</v>
      </c>
      <c r="K725" t="str">
        <f t="shared" ca="1" si="111"/>
        <v>HHT</v>
      </c>
      <c r="L725" t="str">
        <f t="shared" ca="1" si="112"/>
        <v>imp</v>
      </c>
      <c r="M725" t="str">
        <f t="shared" ca="1" si="109"/>
        <v>NMM</v>
      </c>
      <c r="N725">
        <f t="shared" ca="1" si="110"/>
        <v>1.3633672271735801E-7</v>
      </c>
    </row>
    <row r="726" spans="6:14" x14ac:dyDescent="0.35">
      <c r="F726">
        <f t="shared" si="116"/>
        <v>10</v>
      </c>
      <c r="G726">
        <f t="shared" si="114"/>
        <v>31</v>
      </c>
      <c r="H726">
        <f t="shared" si="115"/>
        <v>1</v>
      </c>
      <c r="K726" t="str">
        <f t="shared" ca="1" si="111"/>
        <v>REC</v>
      </c>
      <c r="L726" t="str">
        <f t="shared" ca="1" si="112"/>
        <v>imp</v>
      </c>
      <c r="M726" t="str">
        <f t="shared" ca="1" si="109"/>
        <v>NMM</v>
      </c>
      <c r="N726">
        <f t="shared" ca="1" si="110"/>
        <v>1.3633672271735801E-7</v>
      </c>
    </row>
    <row r="727" spans="6:14" x14ac:dyDescent="0.35">
      <c r="F727">
        <f t="shared" si="116"/>
        <v>10</v>
      </c>
      <c r="G727">
        <f t="shared" si="114"/>
        <v>32</v>
      </c>
      <c r="H727">
        <f t="shared" si="115"/>
        <v>1</v>
      </c>
      <c r="K727" t="str">
        <f t="shared" ca="1" si="111"/>
        <v>DWE</v>
      </c>
      <c r="L727" t="str">
        <f t="shared" ca="1" si="112"/>
        <v>imp</v>
      </c>
      <c r="M727" t="str">
        <f t="shared" ca="1" si="109"/>
        <v>NMM</v>
      </c>
      <c r="N727">
        <f t="shared" ca="1" si="110"/>
        <v>1.3633672271735801E-7</v>
      </c>
    </row>
    <row r="728" spans="6:14" x14ac:dyDescent="0.35">
      <c r="F728">
        <f t="shared" si="116"/>
        <v>11</v>
      </c>
      <c r="G728">
        <f t="shared" si="114"/>
        <v>0</v>
      </c>
      <c r="H728">
        <f t="shared" si="115"/>
        <v>0</v>
      </c>
      <c r="K728" t="str">
        <f t="shared" ca="1" si="111"/>
        <v>AG</v>
      </c>
      <c r="L728" t="str">
        <f t="shared" ca="1" si="112"/>
        <v>dom</v>
      </c>
      <c r="M728" t="str">
        <f t="shared" ca="1" si="109"/>
        <v>METAL</v>
      </c>
      <c r="N728">
        <f t="shared" ca="1" si="110"/>
        <v>0.81051700931305137</v>
      </c>
    </row>
    <row r="729" spans="6:14" x14ac:dyDescent="0.35">
      <c r="F729">
        <f t="shared" si="116"/>
        <v>11</v>
      </c>
      <c r="G729">
        <f t="shared" si="114"/>
        <v>1</v>
      </c>
      <c r="H729">
        <f t="shared" si="115"/>
        <v>0</v>
      </c>
      <c r="K729" t="str">
        <f t="shared" ca="1" si="111"/>
        <v>MIN</v>
      </c>
      <c r="L729" t="str">
        <f t="shared" ca="1" si="112"/>
        <v>dom</v>
      </c>
      <c r="M729" t="str">
        <f t="shared" ca="1" si="109"/>
        <v>METAL</v>
      </c>
      <c r="N729">
        <f t="shared" ca="1" si="110"/>
        <v>1.4138797609316116</v>
      </c>
    </row>
    <row r="730" spans="6:14" x14ac:dyDescent="0.35">
      <c r="F730">
        <f t="shared" si="116"/>
        <v>11</v>
      </c>
      <c r="G730">
        <f t="shared" si="114"/>
        <v>2</v>
      </c>
      <c r="H730">
        <f t="shared" si="115"/>
        <v>0</v>
      </c>
      <c r="K730" t="str">
        <f t="shared" ca="1" si="111"/>
        <v>FBT</v>
      </c>
      <c r="L730" t="str">
        <f t="shared" ca="1" si="112"/>
        <v>dom</v>
      </c>
      <c r="M730" t="str">
        <f t="shared" ca="1" si="109"/>
        <v>METAL</v>
      </c>
      <c r="N730">
        <f t="shared" ca="1" si="110"/>
        <v>2.3806749941316099</v>
      </c>
    </row>
    <row r="731" spans="6:14" x14ac:dyDescent="0.35">
      <c r="F731">
        <f t="shared" si="116"/>
        <v>11</v>
      </c>
      <c r="G731">
        <f t="shared" si="114"/>
        <v>3</v>
      </c>
      <c r="H731">
        <f t="shared" si="115"/>
        <v>0</v>
      </c>
      <c r="K731" t="str">
        <f t="shared" ca="1" si="111"/>
        <v>TEX</v>
      </c>
      <c r="L731" t="str">
        <f t="shared" ca="1" si="112"/>
        <v>dom</v>
      </c>
      <c r="M731" t="str">
        <f t="shared" ca="1" si="109"/>
        <v>METAL</v>
      </c>
      <c r="N731">
        <f t="shared" ca="1" si="110"/>
        <v>12.400586159657436</v>
      </c>
    </row>
    <row r="732" spans="6:14" x14ac:dyDescent="0.35">
      <c r="F732">
        <f t="shared" si="116"/>
        <v>11</v>
      </c>
      <c r="G732">
        <f t="shared" si="114"/>
        <v>4</v>
      </c>
      <c r="H732">
        <f t="shared" si="115"/>
        <v>0</v>
      </c>
      <c r="K732" t="str">
        <f t="shared" ca="1" si="111"/>
        <v>LEATHER</v>
      </c>
      <c r="L732" t="str">
        <f t="shared" ca="1" si="112"/>
        <v>dom</v>
      </c>
      <c r="M732" t="str">
        <f t="shared" ca="1" si="109"/>
        <v>METAL</v>
      </c>
      <c r="N732">
        <f t="shared" ca="1" si="110"/>
        <v>8.7992304239056643E-2</v>
      </c>
    </row>
    <row r="733" spans="6:14" x14ac:dyDescent="0.35">
      <c r="F733">
        <f t="shared" si="116"/>
        <v>11</v>
      </c>
      <c r="G733">
        <f t="shared" si="114"/>
        <v>5</v>
      </c>
      <c r="H733">
        <f t="shared" si="115"/>
        <v>0</v>
      </c>
      <c r="K733" t="str">
        <f t="shared" ca="1" si="111"/>
        <v>WOOD</v>
      </c>
      <c r="L733" t="str">
        <f t="shared" ca="1" si="112"/>
        <v>dom</v>
      </c>
      <c r="M733" t="str">
        <f t="shared" ca="1" si="109"/>
        <v>METAL</v>
      </c>
      <c r="N733">
        <f t="shared" ca="1" si="110"/>
        <v>0.5416734137682071</v>
      </c>
    </row>
    <row r="734" spans="6:14" x14ac:dyDescent="0.35">
      <c r="F734">
        <f t="shared" si="116"/>
        <v>11</v>
      </c>
      <c r="G734">
        <f t="shared" si="114"/>
        <v>6</v>
      </c>
      <c r="H734">
        <f t="shared" si="115"/>
        <v>0</v>
      </c>
      <c r="K734" t="str">
        <f t="shared" ca="1" si="111"/>
        <v>PPP</v>
      </c>
      <c r="L734" t="str">
        <f t="shared" ca="1" si="112"/>
        <v>dom</v>
      </c>
      <c r="M734" t="str">
        <f t="shared" ca="1" si="109"/>
        <v>METAL</v>
      </c>
      <c r="N734">
        <f t="shared" ca="1" si="110"/>
        <v>10.841907415391134</v>
      </c>
    </row>
    <row r="735" spans="6:14" x14ac:dyDescent="0.35">
      <c r="F735">
        <f t="shared" si="116"/>
        <v>11</v>
      </c>
      <c r="G735">
        <f t="shared" si="114"/>
        <v>7</v>
      </c>
      <c r="H735">
        <f t="shared" si="115"/>
        <v>0</v>
      </c>
      <c r="K735" t="str">
        <f t="shared" ca="1" si="111"/>
        <v>PC</v>
      </c>
      <c r="L735" t="str">
        <f t="shared" ca="1" si="112"/>
        <v>dom</v>
      </c>
      <c r="M735" t="str">
        <f t="shared" ca="1" si="109"/>
        <v>METAL</v>
      </c>
      <c r="N735">
        <f t="shared" ca="1" si="110"/>
        <v>1.6520978726453144</v>
      </c>
    </row>
    <row r="736" spans="6:14" x14ac:dyDescent="0.35">
      <c r="F736">
        <f t="shared" si="116"/>
        <v>11</v>
      </c>
      <c r="G736">
        <f t="shared" si="114"/>
        <v>8</v>
      </c>
      <c r="H736">
        <f t="shared" si="115"/>
        <v>0</v>
      </c>
      <c r="K736" t="str">
        <f t="shared" ca="1" si="111"/>
        <v>CHM</v>
      </c>
      <c r="L736" t="str">
        <f t="shared" ca="1" si="112"/>
        <v>dom</v>
      </c>
      <c r="M736" t="str">
        <f t="shared" ca="1" si="109"/>
        <v>METAL</v>
      </c>
      <c r="N736">
        <f t="shared" ca="1" si="110"/>
        <v>10.287944886445873</v>
      </c>
    </row>
    <row r="737" spans="6:14" x14ac:dyDescent="0.35">
      <c r="F737">
        <f t="shared" si="116"/>
        <v>11</v>
      </c>
      <c r="G737">
        <f t="shared" si="114"/>
        <v>9</v>
      </c>
      <c r="H737">
        <f t="shared" si="115"/>
        <v>0</v>
      </c>
      <c r="K737" t="str">
        <f t="shared" ca="1" si="111"/>
        <v>RUBBER</v>
      </c>
      <c r="L737" t="str">
        <f t="shared" ca="1" si="112"/>
        <v>dom</v>
      </c>
      <c r="M737" t="str">
        <f t="shared" ca="1" si="109"/>
        <v>METAL</v>
      </c>
      <c r="N737">
        <f t="shared" ca="1" si="110"/>
        <v>16.104784992858601</v>
      </c>
    </row>
    <row r="738" spans="6:14" x14ac:dyDescent="0.35">
      <c r="F738">
        <f t="shared" si="116"/>
        <v>11</v>
      </c>
      <c r="G738">
        <f t="shared" si="114"/>
        <v>10</v>
      </c>
      <c r="H738">
        <f t="shared" si="115"/>
        <v>0</v>
      </c>
      <c r="K738" t="str">
        <f t="shared" ca="1" si="111"/>
        <v>NMM</v>
      </c>
      <c r="L738" t="str">
        <f t="shared" ca="1" si="112"/>
        <v>dom</v>
      </c>
      <c r="M738" t="str">
        <f t="shared" ca="1" si="109"/>
        <v>METAL</v>
      </c>
      <c r="N738">
        <f t="shared" ca="1" si="110"/>
        <v>14.919081599630367</v>
      </c>
    </row>
    <row r="739" spans="6:14" x14ac:dyDescent="0.35">
      <c r="F739">
        <f t="shared" si="116"/>
        <v>11</v>
      </c>
      <c r="G739">
        <f t="shared" si="114"/>
        <v>11</v>
      </c>
      <c r="H739">
        <f t="shared" si="115"/>
        <v>0</v>
      </c>
      <c r="K739" t="str">
        <f t="shared" ca="1" si="111"/>
        <v>METAL</v>
      </c>
      <c r="L739" t="str">
        <f t="shared" ca="1" si="112"/>
        <v>dom</v>
      </c>
      <c r="M739" t="str">
        <f t="shared" ca="1" si="109"/>
        <v>METAL</v>
      </c>
      <c r="N739">
        <f t="shared" ca="1" si="110"/>
        <v>43.635732002147876</v>
      </c>
    </row>
    <row r="740" spans="6:14" x14ac:dyDescent="0.35">
      <c r="F740">
        <f t="shared" si="116"/>
        <v>11</v>
      </c>
      <c r="G740">
        <f t="shared" si="114"/>
        <v>12</v>
      </c>
      <c r="H740">
        <f t="shared" si="115"/>
        <v>0</v>
      </c>
      <c r="K740" t="str">
        <f t="shared" ca="1" si="111"/>
        <v>MACH</v>
      </c>
      <c r="L740" t="str">
        <f t="shared" ca="1" si="112"/>
        <v>dom</v>
      </c>
      <c r="M740" t="str">
        <f t="shared" ca="1" si="109"/>
        <v>METAL</v>
      </c>
      <c r="N740">
        <f t="shared" ca="1" si="110"/>
        <v>63.159282097081849</v>
      </c>
    </row>
    <row r="741" spans="6:14" x14ac:dyDescent="0.35">
      <c r="F741">
        <f t="shared" ref="F741:F756" si="117">F675+1</f>
        <v>11</v>
      </c>
      <c r="G741">
        <f t="shared" si="114"/>
        <v>13</v>
      </c>
      <c r="H741">
        <f t="shared" si="115"/>
        <v>0</v>
      </c>
      <c r="K741" t="str">
        <f t="shared" ca="1" si="111"/>
        <v>ELEC</v>
      </c>
      <c r="L741" t="str">
        <f t="shared" ca="1" si="112"/>
        <v>dom</v>
      </c>
      <c r="M741" t="str">
        <f t="shared" ca="1" si="109"/>
        <v>METAL</v>
      </c>
      <c r="N741">
        <f t="shared" ca="1" si="110"/>
        <v>13.138501982538992</v>
      </c>
    </row>
    <row r="742" spans="6:14" x14ac:dyDescent="0.35">
      <c r="F742">
        <f t="shared" si="117"/>
        <v>11</v>
      </c>
      <c r="G742">
        <f t="shared" si="114"/>
        <v>14</v>
      </c>
      <c r="H742">
        <f t="shared" si="115"/>
        <v>0</v>
      </c>
      <c r="K742" t="str">
        <f t="shared" ca="1" si="111"/>
        <v>TRNEQUIP</v>
      </c>
      <c r="L742" t="str">
        <f t="shared" ca="1" si="112"/>
        <v>dom</v>
      </c>
      <c r="M742" t="str">
        <f t="shared" ca="1" si="109"/>
        <v>METAL</v>
      </c>
      <c r="N742">
        <f t="shared" ca="1" si="110"/>
        <v>18.978670214363049</v>
      </c>
    </row>
    <row r="743" spans="6:14" x14ac:dyDescent="0.35">
      <c r="F743">
        <f t="shared" si="117"/>
        <v>11</v>
      </c>
      <c r="G743">
        <f t="shared" si="114"/>
        <v>15</v>
      </c>
      <c r="H743">
        <f t="shared" si="115"/>
        <v>0</v>
      </c>
      <c r="K743" t="str">
        <f t="shared" ca="1" si="111"/>
        <v>ROMAN</v>
      </c>
      <c r="L743" t="str">
        <f t="shared" ca="1" si="112"/>
        <v>dom</v>
      </c>
      <c r="M743" t="str">
        <f t="shared" ca="1" si="109"/>
        <v>METAL</v>
      </c>
      <c r="N743">
        <f t="shared" ca="1" si="110"/>
        <v>51.677686711548091</v>
      </c>
    </row>
    <row r="744" spans="6:14" x14ac:dyDescent="0.35">
      <c r="F744">
        <f t="shared" si="117"/>
        <v>11</v>
      </c>
      <c r="G744">
        <f t="shared" si="114"/>
        <v>16</v>
      </c>
      <c r="H744">
        <f t="shared" si="115"/>
        <v>0</v>
      </c>
      <c r="K744" t="str">
        <f t="shared" ca="1" si="111"/>
        <v>ELYGASWTR</v>
      </c>
      <c r="L744" t="str">
        <f t="shared" ca="1" si="112"/>
        <v>dom</v>
      </c>
      <c r="M744" t="str">
        <f t="shared" ca="1" si="109"/>
        <v>METAL</v>
      </c>
      <c r="N744">
        <f t="shared" ca="1" si="110"/>
        <v>1.1792505444260443E-6</v>
      </c>
    </row>
    <row r="745" spans="6:14" x14ac:dyDescent="0.35">
      <c r="F745">
        <f t="shared" si="117"/>
        <v>11</v>
      </c>
      <c r="G745">
        <f t="shared" si="114"/>
        <v>17</v>
      </c>
      <c r="H745">
        <f t="shared" si="115"/>
        <v>0</v>
      </c>
      <c r="K745" t="str">
        <f t="shared" ca="1" si="111"/>
        <v>CNS</v>
      </c>
      <c r="L745" t="str">
        <f t="shared" ca="1" si="112"/>
        <v>dom</v>
      </c>
      <c r="M745" t="str">
        <f t="shared" ca="1" si="109"/>
        <v>METAL</v>
      </c>
      <c r="N745">
        <f t="shared" ca="1" si="110"/>
        <v>1716.6521214520128</v>
      </c>
    </row>
    <row r="746" spans="6:14" x14ac:dyDescent="0.35">
      <c r="F746">
        <f t="shared" si="117"/>
        <v>11</v>
      </c>
      <c r="G746">
        <f t="shared" si="114"/>
        <v>18</v>
      </c>
      <c r="H746">
        <f t="shared" si="115"/>
        <v>0</v>
      </c>
      <c r="K746" t="str">
        <f t="shared" ca="1" si="111"/>
        <v>TRD</v>
      </c>
      <c r="L746" t="str">
        <f t="shared" ca="1" si="112"/>
        <v>dom</v>
      </c>
      <c r="M746" t="str">
        <f t="shared" ca="1" si="109"/>
        <v>METAL</v>
      </c>
      <c r="N746">
        <f t="shared" ca="1" si="110"/>
        <v>274.48122920000287</v>
      </c>
    </row>
    <row r="747" spans="6:14" x14ac:dyDescent="0.35">
      <c r="F747">
        <f t="shared" si="117"/>
        <v>11</v>
      </c>
      <c r="G747">
        <f t="shared" si="114"/>
        <v>19</v>
      </c>
      <c r="H747">
        <f t="shared" si="115"/>
        <v>0</v>
      </c>
      <c r="K747" t="str">
        <f t="shared" ca="1" si="111"/>
        <v>AFS</v>
      </c>
      <c r="L747" t="str">
        <f t="shared" ca="1" si="112"/>
        <v>dom</v>
      </c>
      <c r="M747" t="str">
        <f t="shared" ca="1" si="109"/>
        <v>METAL</v>
      </c>
      <c r="N747">
        <f t="shared" ca="1" si="110"/>
        <v>1.1792505444260443E-6</v>
      </c>
    </row>
    <row r="748" spans="6:14" x14ac:dyDescent="0.35">
      <c r="F748">
        <f t="shared" si="117"/>
        <v>11</v>
      </c>
      <c r="G748">
        <f t="shared" si="114"/>
        <v>20</v>
      </c>
      <c r="H748">
        <f t="shared" si="115"/>
        <v>0</v>
      </c>
      <c r="K748" t="str">
        <f t="shared" ca="1" si="111"/>
        <v>OTP</v>
      </c>
      <c r="L748" t="str">
        <f t="shared" ca="1" si="112"/>
        <v>dom</v>
      </c>
      <c r="M748" t="str">
        <f t="shared" ca="1" si="109"/>
        <v>METAL</v>
      </c>
      <c r="N748">
        <f t="shared" ca="1" si="110"/>
        <v>1.1792505444260443E-6</v>
      </c>
    </row>
    <row r="749" spans="6:14" x14ac:dyDescent="0.35">
      <c r="F749">
        <f t="shared" si="117"/>
        <v>11</v>
      </c>
      <c r="G749">
        <f t="shared" si="114"/>
        <v>21</v>
      </c>
      <c r="H749">
        <f t="shared" si="115"/>
        <v>0</v>
      </c>
      <c r="K749" t="str">
        <f t="shared" ca="1" si="111"/>
        <v>WTP</v>
      </c>
      <c r="L749" t="str">
        <f t="shared" ca="1" si="112"/>
        <v>dom</v>
      </c>
      <c r="M749" t="str">
        <f t="shared" ca="1" si="109"/>
        <v>METAL</v>
      </c>
      <c r="N749">
        <f t="shared" ca="1" si="110"/>
        <v>1.1792505444260443E-6</v>
      </c>
    </row>
    <row r="750" spans="6:14" x14ac:dyDescent="0.35">
      <c r="F750">
        <f t="shared" si="117"/>
        <v>11</v>
      </c>
      <c r="G750">
        <f t="shared" si="114"/>
        <v>22</v>
      </c>
      <c r="H750">
        <f t="shared" si="115"/>
        <v>0</v>
      </c>
      <c r="K750" t="str">
        <f t="shared" ca="1" si="111"/>
        <v>ATP</v>
      </c>
      <c r="L750" t="str">
        <f t="shared" ca="1" si="112"/>
        <v>dom</v>
      </c>
      <c r="M750" t="str">
        <f t="shared" ca="1" si="109"/>
        <v>METAL</v>
      </c>
      <c r="N750">
        <f t="shared" ca="1" si="110"/>
        <v>1.1792505444260443E-6</v>
      </c>
    </row>
    <row r="751" spans="6:14" x14ac:dyDescent="0.35">
      <c r="F751">
        <f t="shared" si="117"/>
        <v>11</v>
      </c>
      <c r="G751">
        <f t="shared" si="114"/>
        <v>23</v>
      </c>
      <c r="H751">
        <f t="shared" si="115"/>
        <v>0</v>
      </c>
      <c r="K751" t="str">
        <f t="shared" ca="1" si="111"/>
        <v>WHS</v>
      </c>
      <c r="L751" t="str">
        <f t="shared" ca="1" si="112"/>
        <v>dom</v>
      </c>
      <c r="M751" t="str">
        <f t="shared" ca="1" si="109"/>
        <v>METAL</v>
      </c>
      <c r="N751">
        <f t="shared" ca="1" si="110"/>
        <v>1.1792505444260443E-6</v>
      </c>
    </row>
    <row r="752" spans="6:14" x14ac:dyDescent="0.35">
      <c r="F752">
        <f t="shared" si="117"/>
        <v>11</v>
      </c>
      <c r="G752">
        <f t="shared" si="114"/>
        <v>24</v>
      </c>
      <c r="H752">
        <f t="shared" si="115"/>
        <v>0</v>
      </c>
      <c r="K752" t="str">
        <f t="shared" ca="1" si="111"/>
        <v>CMN</v>
      </c>
      <c r="L752" t="str">
        <f t="shared" ca="1" si="112"/>
        <v>dom</v>
      </c>
      <c r="M752" t="str">
        <f t="shared" ca="1" si="109"/>
        <v>METAL</v>
      </c>
      <c r="N752">
        <f t="shared" ca="1" si="110"/>
        <v>1.1792505444260443E-6</v>
      </c>
    </row>
    <row r="753" spans="6:14" x14ac:dyDescent="0.35">
      <c r="F753">
        <f t="shared" si="117"/>
        <v>11</v>
      </c>
      <c r="G753">
        <f t="shared" si="114"/>
        <v>25</v>
      </c>
      <c r="H753">
        <f t="shared" si="115"/>
        <v>0</v>
      </c>
      <c r="K753" t="str">
        <f t="shared" ca="1" si="111"/>
        <v>OFI</v>
      </c>
      <c r="L753" t="str">
        <f t="shared" ca="1" si="112"/>
        <v>dom</v>
      </c>
      <c r="M753" t="str">
        <f t="shared" ca="1" si="109"/>
        <v>METAL</v>
      </c>
      <c r="N753">
        <f t="shared" ca="1" si="110"/>
        <v>1.1792505444260443E-6</v>
      </c>
    </row>
    <row r="754" spans="6:14" x14ac:dyDescent="0.35">
      <c r="F754">
        <f t="shared" si="117"/>
        <v>11</v>
      </c>
      <c r="G754">
        <f t="shared" si="114"/>
        <v>26</v>
      </c>
      <c r="H754">
        <f t="shared" si="115"/>
        <v>0</v>
      </c>
      <c r="K754" t="str">
        <f t="shared" ca="1" si="111"/>
        <v>RSA</v>
      </c>
      <c r="L754" t="str">
        <f t="shared" ca="1" si="112"/>
        <v>dom</v>
      </c>
      <c r="M754" t="str">
        <f t="shared" ca="1" si="109"/>
        <v>METAL</v>
      </c>
      <c r="N754">
        <f t="shared" ca="1" si="110"/>
        <v>1.1792505444260443E-6</v>
      </c>
    </row>
    <row r="755" spans="6:14" x14ac:dyDescent="0.35">
      <c r="F755">
        <f t="shared" si="117"/>
        <v>11</v>
      </c>
      <c r="G755">
        <f t="shared" si="114"/>
        <v>27</v>
      </c>
      <c r="H755">
        <f t="shared" si="115"/>
        <v>0</v>
      </c>
      <c r="K755" t="str">
        <f t="shared" ca="1" si="111"/>
        <v>OBS</v>
      </c>
      <c r="L755" t="str">
        <f t="shared" ca="1" si="112"/>
        <v>dom</v>
      </c>
      <c r="M755" t="str">
        <f t="shared" ca="1" si="109"/>
        <v>METAL</v>
      </c>
      <c r="N755">
        <f t="shared" ca="1" si="110"/>
        <v>1.1792505444260443E-6</v>
      </c>
    </row>
    <row r="756" spans="6:14" x14ac:dyDescent="0.35">
      <c r="F756">
        <f t="shared" si="117"/>
        <v>11</v>
      </c>
      <c r="G756">
        <f t="shared" si="114"/>
        <v>28</v>
      </c>
      <c r="H756">
        <f t="shared" si="115"/>
        <v>0</v>
      </c>
      <c r="K756" t="str">
        <f t="shared" ca="1" si="111"/>
        <v>GOV</v>
      </c>
      <c r="L756" t="str">
        <f t="shared" ca="1" si="112"/>
        <v>dom</v>
      </c>
      <c r="M756" t="str">
        <f t="shared" ca="1" si="109"/>
        <v>METAL</v>
      </c>
      <c r="N756">
        <f t="shared" ca="1" si="110"/>
        <v>1.1792505444260443E-6</v>
      </c>
    </row>
    <row r="757" spans="6:14" x14ac:dyDescent="0.35">
      <c r="F757">
        <f t="shared" ref="F757:F772" si="118">F691+1</f>
        <v>11</v>
      </c>
      <c r="G757">
        <f t="shared" si="114"/>
        <v>29</v>
      </c>
      <c r="H757">
        <f t="shared" si="115"/>
        <v>0</v>
      </c>
      <c r="K757" t="str">
        <f t="shared" ca="1" si="111"/>
        <v>EDU</v>
      </c>
      <c r="L757" t="str">
        <f t="shared" ca="1" si="112"/>
        <v>dom</v>
      </c>
      <c r="M757" t="str">
        <f t="shared" ca="1" si="109"/>
        <v>METAL</v>
      </c>
      <c r="N757">
        <f t="shared" ca="1" si="110"/>
        <v>1.1792505444260443E-6</v>
      </c>
    </row>
    <row r="758" spans="6:14" x14ac:dyDescent="0.35">
      <c r="F758">
        <f t="shared" si="118"/>
        <v>11</v>
      </c>
      <c r="G758">
        <f t="shared" si="114"/>
        <v>30</v>
      </c>
      <c r="H758">
        <f t="shared" si="115"/>
        <v>0</v>
      </c>
      <c r="K758" t="str">
        <f t="shared" ca="1" si="111"/>
        <v>HHT</v>
      </c>
      <c r="L758" t="str">
        <f t="shared" ca="1" si="112"/>
        <v>dom</v>
      </c>
      <c r="M758" t="str">
        <f t="shared" ca="1" si="109"/>
        <v>METAL</v>
      </c>
      <c r="N758">
        <f t="shared" ca="1" si="110"/>
        <v>1.1792505444260443E-6</v>
      </c>
    </row>
    <row r="759" spans="6:14" x14ac:dyDescent="0.35">
      <c r="F759">
        <f t="shared" si="118"/>
        <v>11</v>
      </c>
      <c r="G759">
        <f t="shared" si="114"/>
        <v>31</v>
      </c>
      <c r="H759">
        <f t="shared" si="115"/>
        <v>0</v>
      </c>
      <c r="K759" t="str">
        <f t="shared" ca="1" si="111"/>
        <v>REC</v>
      </c>
      <c r="L759" t="str">
        <f t="shared" ca="1" si="112"/>
        <v>dom</v>
      </c>
      <c r="M759" t="str">
        <f t="shared" ca="1" si="109"/>
        <v>METAL</v>
      </c>
      <c r="N759">
        <f t="shared" ca="1" si="110"/>
        <v>1.1792505444260443E-6</v>
      </c>
    </row>
    <row r="760" spans="6:14" x14ac:dyDescent="0.35">
      <c r="F760">
        <f t="shared" si="118"/>
        <v>11</v>
      </c>
      <c r="G760">
        <f t="shared" si="114"/>
        <v>32</v>
      </c>
      <c r="H760">
        <f t="shared" si="115"/>
        <v>0</v>
      </c>
      <c r="K760" t="str">
        <f t="shared" ca="1" si="111"/>
        <v>DWE</v>
      </c>
      <c r="L760" t="str">
        <f t="shared" ca="1" si="112"/>
        <v>dom</v>
      </c>
      <c r="M760" t="str">
        <f t="shared" ca="1" si="109"/>
        <v>METAL</v>
      </c>
      <c r="N760">
        <f t="shared" ca="1" si="110"/>
        <v>1.1792505444260443E-6</v>
      </c>
    </row>
    <row r="761" spans="6:14" x14ac:dyDescent="0.35">
      <c r="F761">
        <f t="shared" si="118"/>
        <v>11</v>
      </c>
      <c r="G761">
        <f t="shared" si="114"/>
        <v>0</v>
      </c>
      <c r="H761">
        <f t="shared" si="115"/>
        <v>1</v>
      </c>
      <c r="K761" t="str">
        <f t="shared" ca="1" si="111"/>
        <v>AG</v>
      </c>
      <c r="L761" t="str">
        <f t="shared" ca="1" si="112"/>
        <v>imp</v>
      </c>
      <c r="M761" t="str">
        <f t="shared" ca="1" si="109"/>
        <v>METAL</v>
      </c>
      <c r="N761">
        <f t="shared" ca="1" si="110"/>
        <v>10.910218538179706</v>
      </c>
    </row>
    <row r="762" spans="6:14" x14ac:dyDescent="0.35">
      <c r="F762">
        <f t="shared" si="118"/>
        <v>11</v>
      </c>
      <c r="G762">
        <f t="shared" si="114"/>
        <v>1</v>
      </c>
      <c r="H762">
        <f t="shared" si="115"/>
        <v>1</v>
      </c>
      <c r="K762" t="str">
        <f t="shared" ca="1" si="111"/>
        <v>MIN</v>
      </c>
      <c r="L762" t="str">
        <f t="shared" ca="1" si="112"/>
        <v>imp</v>
      </c>
      <c r="M762" t="str">
        <f t="shared" ca="1" si="109"/>
        <v>METAL</v>
      </c>
      <c r="N762">
        <f t="shared" ca="1" si="110"/>
        <v>17.212306512727292</v>
      </c>
    </row>
    <row r="763" spans="6:14" x14ac:dyDescent="0.35">
      <c r="F763">
        <f t="shared" si="118"/>
        <v>11</v>
      </c>
      <c r="G763">
        <f t="shared" si="114"/>
        <v>2</v>
      </c>
      <c r="H763">
        <f t="shared" si="115"/>
        <v>1</v>
      </c>
      <c r="K763" t="str">
        <f t="shared" ca="1" si="111"/>
        <v>FBT</v>
      </c>
      <c r="L763" t="str">
        <f t="shared" ca="1" si="112"/>
        <v>imp</v>
      </c>
      <c r="M763" t="str">
        <f t="shared" ca="1" si="109"/>
        <v>METAL</v>
      </c>
      <c r="N763">
        <f t="shared" ca="1" si="110"/>
        <v>4.3070470469799824</v>
      </c>
    </row>
    <row r="764" spans="6:14" x14ac:dyDescent="0.35">
      <c r="F764">
        <f t="shared" si="118"/>
        <v>11</v>
      </c>
      <c r="G764">
        <f t="shared" si="114"/>
        <v>3</v>
      </c>
      <c r="H764">
        <f t="shared" si="115"/>
        <v>1</v>
      </c>
      <c r="K764" t="str">
        <f t="shared" ca="1" si="111"/>
        <v>TEX</v>
      </c>
      <c r="L764" t="str">
        <f t="shared" ca="1" si="112"/>
        <v>imp</v>
      </c>
      <c r="M764" t="str">
        <f t="shared" ca="1" si="109"/>
        <v>METAL</v>
      </c>
      <c r="N764">
        <f t="shared" ca="1" si="110"/>
        <v>84.521559819313183</v>
      </c>
    </row>
    <row r="765" spans="6:14" x14ac:dyDescent="0.35">
      <c r="F765">
        <f t="shared" si="118"/>
        <v>11</v>
      </c>
      <c r="G765">
        <f t="shared" si="114"/>
        <v>4</v>
      </c>
      <c r="H765">
        <f t="shared" si="115"/>
        <v>1</v>
      </c>
      <c r="K765" t="str">
        <f t="shared" ca="1" si="111"/>
        <v>LEATHER</v>
      </c>
      <c r="L765" t="str">
        <f t="shared" ca="1" si="112"/>
        <v>imp</v>
      </c>
      <c r="M765" t="str">
        <f t="shared" ca="1" si="109"/>
        <v>METAL</v>
      </c>
      <c r="N765">
        <f t="shared" ca="1" si="110"/>
        <v>44.0500572123197</v>
      </c>
    </row>
    <row r="766" spans="6:14" x14ac:dyDescent="0.35">
      <c r="F766">
        <f t="shared" si="118"/>
        <v>11</v>
      </c>
      <c r="G766">
        <f t="shared" si="114"/>
        <v>5</v>
      </c>
      <c r="H766">
        <f t="shared" si="115"/>
        <v>1</v>
      </c>
      <c r="K766" t="str">
        <f t="shared" ca="1" si="111"/>
        <v>WOOD</v>
      </c>
      <c r="L766" t="str">
        <f t="shared" ca="1" si="112"/>
        <v>imp</v>
      </c>
      <c r="M766" t="str">
        <f t="shared" ca="1" si="109"/>
        <v>METAL</v>
      </c>
      <c r="N766">
        <f t="shared" ca="1" si="110"/>
        <v>0.78846379078198436</v>
      </c>
    </row>
    <row r="767" spans="6:14" x14ac:dyDescent="0.35">
      <c r="F767">
        <f t="shared" si="118"/>
        <v>11</v>
      </c>
      <c r="G767">
        <f t="shared" si="114"/>
        <v>6</v>
      </c>
      <c r="H767">
        <f t="shared" si="115"/>
        <v>1</v>
      </c>
      <c r="K767" t="str">
        <f t="shared" ca="1" si="111"/>
        <v>PPP</v>
      </c>
      <c r="L767" t="str">
        <f t="shared" ca="1" si="112"/>
        <v>imp</v>
      </c>
      <c r="M767" t="str">
        <f t="shared" ca="1" si="109"/>
        <v>METAL</v>
      </c>
      <c r="N767">
        <f t="shared" ca="1" si="110"/>
        <v>11.353799028526282</v>
      </c>
    </row>
    <row r="768" spans="6:14" x14ac:dyDescent="0.35">
      <c r="F768">
        <f t="shared" si="118"/>
        <v>11</v>
      </c>
      <c r="G768">
        <f t="shared" si="114"/>
        <v>7</v>
      </c>
      <c r="H768">
        <f t="shared" si="115"/>
        <v>1</v>
      </c>
      <c r="K768" t="str">
        <f t="shared" ca="1" si="111"/>
        <v>PC</v>
      </c>
      <c r="L768" t="str">
        <f t="shared" ca="1" si="112"/>
        <v>imp</v>
      </c>
      <c r="M768" t="str">
        <f t="shared" ca="1" si="109"/>
        <v>METAL</v>
      </c>
      <c r="N768">
        <f t="shared" ca="1" si="110"/>
        <v>2.8590201036079081</v>
      </c>
    </row>
    <row r="769" spans="6:14" x14ac:dyDescent="0.35">
      <c r="F769">
        <f t="shared" si="118"/>
        <v>11</v>
      </c>
      <c r="G769">
        <f t="shared" si="114"/>
        <v>8</v>
      </c>
      <c r="H769">
        <f t="shared" si="115"/>
        <v>1</v>
      </c>
      <c r="K769" t="str">
        <f t="shared" ca="1" si="111"/>
        <v>CHM</v>
      </c>
      <c r="L769" t="str">
        <f t="shared" ca="1" si="112"/>
        <v>imp</v>
      </c>
      <c r="M769" t="str">
        <f t="shared" ca="1" si="109"/>
        <v>METAL</v>
      </c>
      <c r="N769">
        <f t="shared" ca="1" si="110"/>
        <v>39.192391899043699</v>
      </c>
    </row>
    <row r="770" spans="6:14" x14ac:dyDescent="0.35">
      <c r="F770">
        <f t="shared" si="118"/>
        <v>11</v>
      </c>
      <c r="G770">
        <f t="shared" si="114"/>
        <v>9</v>
      </c>
      <c r="H770">
        <f t="shared" si="115"/>
        <v>1</v>
      </c>
      <c r="K770" t="str">
        <f t="shared" ca="1" si="111"/>
        <v>RUBBER</v>
      </c>
      <c r="L770" t="str">
        <f t="shared" ca="1" si="112"/>
        <v>imp</v>
      </c>
      <c r="M770" t="str">
        <f t="shared" ref="M770:M833" ca="1" si="119">OFFSET(A$2,F770,0)</f>
        <v>METAL</v>
      </c>
      <c r="N770">
        <f t="shared" ref="N770:N833" ca="1" si="120">SUMIFS(C:C,A:A,K770,B:B,L770)*SUMIFS(U:U,S:S,M770)</f>
        <v>30.01616298431221</v>
      </c>
    </row>
    <row r="771" spans="6:14" x14ac:dyDescent="0.35">
      <c r="F771">
        <f t="shared" si="118"/>
        <v>11</v>
      </c>
      <c r="G771">
        <f t="shared" si="114"/>
        <v>10</v>
      </c>
      <c r="H771">
        <f t="shared" si="115"/>
        <v>1</v>
      </c>
      <c r="K771" t="str">
        <f t="shared" ref="K771:K834" ca="1" si="121">OFFSET(A$2,G771,0)</f>
        <v>NMM</v>
      </c>
      <c r="L771" t="str">
        <f t="shared" ref="L771:L834" ca="1" si="122">OFFSET($V$3,H771,0)</f>
        <v>imp</v>
      </c>
      <c r="M771" t="str">
        <f t="shared" ca="1" si="119"/>
        <v>METAL</v>
      </c>
      <c r="N771">
        <f t="shared" ca="1" si="120"/>
        <v>11.330722614943934</v>
      </c>
    </row>
    <row r="772" spans="6:14" x14ac:dyDescent="0.35">
      <c r="F772">
        <f t="shared" si="118"/>
        <v>11</v>
      </c>
      <c r="G772">
        <f t="shared" si="114"/>
        <v>11</v>
      </c>
      <c r="H772">
        <f t="shared" si="115"/>
        <v>1</v>
      </c>
      <c r="K772" t="str">
        <f t="shared" ca="1" si="121"/>
        <v>METAL</v>
      </c>
      <c r="L772" t="str">
        <f t="shared" ca="1" si="122"/>
        <v>imp</v>
      </c>
      <c r="M772" t="str">
        <f t="shared" ca="1" si="119"/>
        <v>METAL</v>
      </c>
      <c r="N772">
        <f t="shared" ca="1" si="120"/>
        <v>141.82821567970547</v>
      </c>
    </row>
    <row r="773" spans="6:14" x14ac:dyDescent="0.35">
      <c r="F773">
        <f t="shared" ref="F773:F788" si="123">F707+1</f>
        <v>11</v>
      </c>
      <c r="G773">
        <f t="shared" ref="G773:G836" si="124">G740</f>
        <v>12</v>
      </c>
      <c r="H773">
        <f t="shared" ref="H773:H836" si="125">H707</f>
        <v>1</v>
      </c>
      <c r="K773" t="str">
        <f t="shared" ca="1" si="121"/>
        <v>MACH</v>
      </c>
      <c r="L773" t="str">
        <f t="shared" ca="1" si="122"/>
        <v>imp</v>
      </c>
      <c r="M773" t="str">
        <f t="shared" ca="1" si="119"/>
        <v>METAL</v>
      </c>
      <c r="N773">
        <f t="shared" ca="1" si="120"/>
        <v>543.31153987584526</v>
      </c>
    </row>
    <row r="774" spans="6:14" x14ac:dyDescent="0.35">
      <c r="F774">
        <f t="shared" si="123"/>
        <v>11</v>
      </c>
      <c r="G774">
        <f t="shared" si="124"/>
        <v>13</v>
      </c>
      <c r="H774">
        <f t="shared" si="125"/>
        <v>1</v>
      </c>
      <c r="K774" t="str">
        <f t="shared" ca="1" si="121"/>
        <v>ELEC</v>
      </c>
      <c r="L774" t="str">
        <f t="shared" ca="1" si="122"/>
        <v>imp</v>
      </c>
      <c r="M774" t="str">
        <f t="shared" ca="1" si="119"/>
        <v>METAL</v>
      </c>
      <c r="N774">
        <f t="shared" ca="1" si="120"/>
        <v>291.30707449528006</v>
      </c>
    </row>
    <row r="775" spans="6:14" x14ac:dyDescent="0.35">
      <c r="F775">
        <f t="shared" si="123"/>
        <v>11</v>
      </c>
      <c r="G775">
        <f t="shared" si="124"/>
        <v>14</v>
      </c>
      <c r="H775">
        <f t="shared" si="125"/>
        <v>1</v>
      </c>
      <c r="K775" t="str">
        <f t="shared" ca="1" si="121"/>
        <v>TRNEQUIP</v>
      </c>
      <c r="L775" t="str">
        <f t="shared" ca="1" si="122"/>
        <v>imp</v>
      </c>
      <c r="M775" t="str">
        <f t="shared" ca="1" si="119"/>
        <v>METAL</v>
      </c>
      <c r="N775">
        <f t="shared" ca="1" si="120"/>
        <v>464.89332490599185</v>
      </c>
    </row>
    <row r="776" spans="6:14" x14ac:dyDescent="0.35">
      <c r="F776">
        <f t="shared" si="123"/>
        <v>11</v>
      </c>
      <c r="G776">
        <f t="shared" si="124"/>
        <v>15</v>
      </c>
      <c r="H776">
        <f t="shared" si="125"/>
        <v>1</v>
      </c>
      <c r="K776" t="str">
        <f t="shared" ca="1" si="121"/>
        <v>ROMAN</v>
      </c>
      <c r="L776" t="str">
        <f t="shared" ca="1" si="122"/>
        <v>imp</v>
      </c>
      <c r="M776" t="str">
        <f t="shared" ca="1" si="119"/>
        <v>METAL</v>
      </c>
      <c r="N776">
        <f t="shared" ca="1" si="120"/>
        <v>176.39664537020454</v>
      </c>
    </row>
    <row r="777" spans="6:14" x14ac:dyDescent="0.35">
      <c r="F777">
        <f t="shared" si="123"/>
        <v>11</v>
      </c>
      <c r="G777">
        <f t="shared" si="124"/>
        <v>16</v>
      </c>
      <c r="H777">
        <f t="shared" si="125"/>
        <v>1</v>
      </c>
      <c r="K777" t="str">
        <f t="shared" ca="1" si="121"/>
        <v>ELYGASWTR</v>
      </c>
      <c r="L777" t="str">
        <f t="shared" ca="1" si="122"/>
        <v>imp</v>
      </c>
      <c r="M777" t="str">
        <f t="shared" ca="1" si="119"/>
        <v>METAL</v>
      </c>
      <c r="N777">
        <f t="shared" ca="1" si="120"/>
        <v>1.1792505444260443E-6</v>
      </c>
    </row>
    <row r="778" spans="6:14" x14ac:dyDescent="0.35">
      <c r="F778">
        <f t="shared" si="123"/>
        <v>11</v>
      </c>
      <c r="G778">
        <f t="shared" si="124"/>
        <v>17</v>
      </c>
      <c r="H778">
        <f t="shared" si="125"/>
        <v>1</v>
      </c>
      <c r="K778" t="str">
        <f t="shared" ca="1" si="121"/>
        <v>CNS</v>
      </c>
      <c r="L778" t="str">
        <f t="shared" ca="1" si="122"/>
        <v>imp</v>
      </c>
      <c r="M778" t="str">
        <f t="shared" ca="1" si="119"/>
        <v>METAL</v>
      </c>
      <c r="N778">
        <f t="shared" ca="1" si="120"/>
        <v>34.530659939054949</v>
      </c>
    </row>
    <row r="779" spans="6:14" x14ac:dyDescent="0.35">
      <c r="F779">
        <f t="shared" si="123"/>
        <v>11</v>
      </c>
      <c r="G779">
        <f t="shared" si="124"/>
        <v>18</v>
      </c>
      <c r="H779">
        <f t="shared" si="125"/>
        <v>1</v>
      </c>
      <c r="K779" t="str">
        <f t="shared" ca="1" si="121"/>
        <v>TRD</v>
      </c>
      <c r="L779" t="str">
        <f t="shared" ca="1" si="122"/>
        <v>imp</v>
      </c>
      <c r="M779" t="str">
        <f t="shared" ca="1" si="119"/>
        <v>METAL</v>
      </c>
      <c r="N779">
        <f t="shared" ca="1" si="120"/>
        <v>3.0211994583169526</v>
      </c>
    </row>
    <row r="780" spans="6:14" x14ac:dyDescent="0.35">
      <c r="F780">
        <f t="shared" si="123"/>
        <v>11</v>
      </c>
      <c r="G780">
        <f t="shared" si="124"/>
        <v>19</v>
      </c>
      <c r="H780">
        <f t="shared" si="125"/>
        <v>1</v>
      </c>
      <c r="K780" t="str">
        <f t="shared" ca="1" si="121"/>
        <v>AFS</v>
      </c>
      <c r="L780" t="str">
        <f t="shared" ca="1" si="122"/>
        <v>imp</v>
      </c>
      <c r="M780" t="str">
        <f t="shared" ca="1" si="119"/>
        <v>METAL</v>
      </c>
      <c r="N780">
        <f t="shared" ca="1" si="120"/>
        <v>1.1792505444260443E-6</v>
      </c>
    </row>
    <row r="781" spans="6:14" x14ac:dyDescent="0.35">
      <c r="F781">
        <f t="shared" si="123"/>
        <v>11</v>
      </c>
      <c r="G781">
        <f t="shared" si="124"/>
        <v>20</v>
      </c>
      <c r="H781">
        <f t="shared" si="125"/>
        <v>1</v>
      </c>
      <c r="K781" t="str">
        <f t="shared" ca="1" si="121"/>
        <v>OTP</v>
      </c>
      <c r="L781" t="str">
        <f t="shared" ca="1" si="122"/>
        <v>imp</v>
      </c>
      <c r="M781" t="str">
        <f t="shared" ca="1" si="119"/>
        <v>METAL</v>
      </c>
      <c r="N781">
        <f t="shared" ca="1" si="120"/>
        <v>1.1792505444260443E-6</v>
      </c>
    </row>
    <row r="782" spans="6:14" x14ac:dyDescent="0.35">
      <c r="F782">
        <f t="shared" si="123"/>
        <v>11</v>
      </c>
      <c r="G782">
        <f t="shared" si="124"/>
        <v>21</v>
      </c>
      <c r="H782">
        <f t="shared" si="125"/>
        <v>1</v>
      </c>
      <c r="K782" t="str">
        <f t="shared" ca="1" si="121"/>
        <v>WTP</v>
      </c>
      <c r="L782" t="str">
        <f t="shared" ca="1" si="122"/>
        <v>imp</v>
      </c>
      <c r="M782" t="str">
        <f t="shared" ca="1" si="119"/>
        <v>METAL</v>
      </c>
      <c r="N782">
        <f t="shared" ca="1" si="120"/>
        <v>1.1792505444260443E-6</v>
      </c>
    </row>
    <row r="783" spans="6:14" x14ac:dyDescent="0.35">
      <c r="F783">
        <f t="shared" si="123"/>
        <v>11</v>
      </c>
      <c r="G783">
        <f t="shared" si="124"/>
        <v>22</v>
      </c>
      <c r="H783">
        <f t="shared" si="125"/>
        <v>1</v>
      </c>
      <c r="K783" t="str">
        <f t="shared" ca="1" si="121"/>
        <v>ATP</v>
      </c>
      <c r="L783" t="str">
        <f t="shared" ca="1" si="122"/>
        <v>imp</v>
      </c>
      <c r="M783" t="str">
        <f t="shared" ca="1" si="119"/>
        <v>METAL</v>
      </c>
      <c r="N783">
        <f t="shared" ca="1" si="120"/>
        <v>1.1792505444260443E-6</v>
      </c>
    </row>
    <row r="784" spans="6:14" x14ac:dyDescent="0.35">
      <c r="F784">
        <f t="shared" si="123"/>
        <v>11</v>
      </c>
      <c r="G784">
        <f t="shared" si="124"/>
        <v>23</v>
      </c>
      <c r="H784">
        <f t="shared" si="125"/>
        <v>1</v>
      </c>
      <c r="K784" t="str">
        <f t="shared" ca="1" si="121"/>
        <v>WHS</v>
      </c>
      <c r="L784" t="str">
        <f t="shared" ca="1" si="122"/>
        <v>imp</v>
      </c>
      <c r="M784" t="str">
        <f t="shared" ca="1" si="119"/>
        <v>METAL</v>
      </c>
      <c r="N784">
        <f t="shared" ca="1" si="120"/>
        <v>1.1792505444260443E-6</v>
      </c>
    </row>
    <row r="785" spans="6:14" x14ac:dyDescent="0.35">
      <c r="F785">
        <f t="shared" si="123"/>
        <v>11</v>
      </c>
      <c r="G785">
        <f t="shared" si="124"/>
        <v>24</v>
      </c>
      <c r="H785">
        <f t="shared" si="125"/>
        <v>1</v>
      </c>
      <c r="K785" t="str">
        <f t="shared" ca="1" si="121"/>
        <v>CMN</v>
      </c>
      <c r="L785" t="str">
        <f t="shared" ca="1" si="122"/>
        <v>imp</v>
      </c>
      <c r="M785" t="str">
        <f t="shared" ca="1" si="119"/>
        <v>METAL</v>
      </c>
      <c r="N785">
        <f t="shared" ca="1" si="120"/>
        <v>1.1792505444260443E-6</v>
      </c>
    </row>
    <row r="786" spans="6:14" x14ac:dyDescent="0.35">
      <c r="F786">
        <f t="shared" si="123"/>
        <v>11</v>
      </c>
      <c r="G786">
        <f t="shared" si="124"/>
        <v>25</v>
      </c>
      <c r="H786">
        <f t="shared" si="125"/>
        <v>1</v>
      </c>
      <c r="K786" t="str">
        <f t="shared" ca="1" si="121"/>
        <v>OFI</v>
      </c>
      <c r="L786" t="str">
        <f t="shared" ca="1" si="122"/>
        <v>imp</v>
      </c>
      <c r="M786" t="str">
        <f t="shared" ca="1" si="119"/>
        <v>METAL</v>
      </c>
      <c r="N786">
        <f t="shared" ca="1" si="120"/>
        <v>1.1792505444260443E-6</v>
      </c>
    </row>
    <row r="787" spans="6:14" x14ac:dyDescent="0.35">
      <c r="F787">
        <f t="shared" si="123"/>
        <v>11</v>
      </c>
      <c r="G787">
        <f t="shared" si="124"/>
        <v>26</v>
      </c>
      <c r="H787">
        <f t="shared" si="125"/>
        <v>1</v>
      </c>
      <c r="K787" t="str">
        <f t="shared" ca="1" si="121"/>
        <v>RSA</v>
      </c>
      <c r="L787" t="str">
        <f t="shared" ca="1" si="122"/>
        <v>imp</v>
      </c>
      <c r="M787" t="str">
        <f t="shared" ca="1" si="119"/>
        <v>METAL</v>
      </c>
      <c r="N787">
        <f t="shared" ca="1" si="120"/>
        <v>1.1792505444260443E-6</v>
      </c>
    </row>
    <row r="788" spans="6:14" x14ac:dyDescent="0.35">
      <c r="F788">
        <f t="shared" si="123"/>
        <v>11</v>
      </c>
      <c r="G788">
        <f t="shared" si="124"/>
        <v>27</v>
      </c>
      <c r="H788">
        <f t="shared" si="125"/>
        <v>1</v>
      </c>
      <c r="K788" t="str">
        <f t="shared" ca="1" si="121"/>
        <v>OBS</v>
      </c>
      <c r="L788" t="str">
        <f t="shared" ca="1" si="122"/>
        <v>imp</v>
      </c>
      <c r="M788" t="str">
        <f t="shared" ca="1" si="119"/>
        <v>METAL</v>
      </c>
      <c r="N788">
        <f t="shared" ca="1" si="120"/>
        <v>1.1792505444260443E-6</v>
      </c>
    </row>
    <row r="789" spans="6:14" x14ac:dyDescent="0.35">
      <c r="F789">
        <f t="shared" ref="F789:F804" si="126">F723+1</f>
        <v>11</v>
      </c>
      <c r="G789">
        <f t="shared" si="124"/>
        <v>28</v>
      </c>
      <c r="H789">
        <f t="shared" si="125"/>
        <v>1</v>
      </c>
      <c r="K789" t="str">
        <f t="shared" ca="1" si="121"/>
        <v>GOV</v>
      </c>
      <c r="L789" t="str">
        <f t="shared" ca="1" si="122"/>
        <v>imp</v>
      </c>
      <c r="M789" t="str">
        <f t="shared" ca="1" si="119"/>
        <v>METAL</v>
      </c>
      <c r="N789">
        <f t="shared" ca="1" si="120"/>
        <v>1.1792505444260443E-6</v>
      </c>
    </row>
    <row r="790" spans="6:14" x14ac:dyDescent="0.35">
      <c r="F790">
        <f t="shared" si="126"/>
        <v>11</v>
      </c>
      <c r="G790">
        <f t="shared" si="124"/>
        <v>29</v>
      </c>
      <c r="H790">
        <f t="shared" si="125"/>
        <v>1</v>
      </c>
      <c r="K790" t="str">
        <f t="shared" ca="1" si="121"/>
        <v>EDU</v>
      </c>
      <c r="L790" t="str">
        <f t="shared" ca="1" si="122"/>
        <v>imp</v>
      </c>
      <c r="M790" t="str">
        <f t="shared" ca="1" si="119"/>
        <v>METAL</v>
      </c>
      <c r="N790">
        <f t="shared" ca="1" si="120"/>
        <v>1.1792505444260443E-6</v>
      </c>
    </row>
    <row r="791" spans="6:14" x14ac:dyDescent="0.35">
      <c r="F791">
        <f t="shared" si="126"/>
        <v>11</v>
      </c>
      <c r="G791">
        <f t="shared" si="124"/>
        <v>30</v>
      </c>
      <c r="H791">
        <f t="shared" si="125"/>
        <v>1</v>
      </c>
      <c r="K791" t="str">
        <f t="shared" ca="1" si="121"/>
        <v>HHT</v>
      </c>
      <c r="L791" t="str">
        <f t="shared" ca="1" si="122"/>
        <v>imp</v>
      </c>
      <c r="M791" t="str">
        <f t="shared" ca="1" si="119"/>
        <v>METAL</v>
      </c>
      <c r="N791">
        <f t="shared" ca="1" si="120"/>
        <v>1.1792505444260443E-6</v>
      </c>
    </row>
    <row r="792" spans="6:14" x14ac:dyDescent="0.35">
      <c r="F792">
        <f t="shared" si="126"/>
        <v>11</v>
      </c>
      <c r="G792">
        <f t="shared" si="124"/>
        <v>31</v>
      </c>
      <c r="H792">
        <f t="shared" si="125"/>
        <v>1</v>
      </c>
      <c r="K792" t="str">
        <f t="shared" ca="1" si="121"/>
        <v>REC</v>
      </c>
      <c r="L792" t="str">
        <f t="shared" ca="1" si="122"/>
        <v>imp</v>
      </c>
      <c r="M792" t="str">
        <f t="shared" ca="1" si="119"/>
        <v>METAL</v>
      </c>
      <c r="N792">
        <f t="shared" ca="1" si="120"/>
        <v>1.1792505444260443E-6</v>
      </c>
    </row>
    <row r="793" spans="6:14" x14ac:dyDescent="0.35">
      <c r="F793">
        <f t="shared" si="126"/>
        <v>11</v>
      </c>
      <c r="G793">
        <f t="shared" si="124"/>
        <v>32</v>
      </c>
      <c r="H793">
        <f t="shared" si="125"/>
        <v>1</v>
      </c>
      <c r="K793" t="str">
        <f t="shared" ca="1" si="121"/>
        <v>DWE</v>
      </c>
      <c r="L793" t="str">
        <f t="shared" ca="1" si="122"/>
        <v>imp</v>
      </c>
      <c r="M793" t="str">
        <f t="shared" ca="1" si="119"/>
        <v>METAL</v>
      </c>
      <c r="N793">
        <f t="shared" ca="1" si="120"/>
        <v>1.1792505444260443E-6</v>
      </c>
    </row>
    <row r="794" spans="6:14" x14ac:dyDescent="0.35">
      <c r="F794">
        <f t="shared" si="126"/>
        <v>12</v>
      </c>
      <c r="G794">
        <f t="shared" si="124"/>
        <v>0</v>
      </c>
      <c r="H794">
        <f t="shared" si="125"/>
        <v>0</v>
      </c>
      <c r="K794" t="str">
        <f t="shared" ca="1" si="121"/>
        <v>AG</v>
      </c>
      <c r="L794" t="str">
        <f t="shared" ca="1" si="122"/>
        <v>dom</v>
      </c>
      <c r="M794" t="str">
        <f t="shared" ca="1" si="119"/>
        <v>MACH</v>
      </c>
      <c r="N794">
        <f t="shared" ca="1" si="120"/>
        <v>0.10868270804356116</v>
      </c>
    </row>
    <row r="795" spans="6:14" x14ac:dyDescent="0.35">
      <c r="F795">
        <f t="shared" si="126"/>
        <v>12</v>
      </c>
      <c r="G795">
        <f t="shared" si="124"/>
        <v>1</v>
      </c>
      <c r="H795">
        <f t="shared" si="125"/>
        <v>0</v>
      </c>
      <c r="K795" t="str">
        <f t="shared" ca="1" si="121"/>
        <v>MIN</v>
      </c>
      <c r="L795" t="str">
        <f t="shared" ca="1" si="122"/>
        <v>dom</v>
      </c>
      <c r="M795" t="str">
        <f t="shared" ca="1" si="119"/>
        <v>MACH</v>
      </c>
      <c r="N795">
        <f t="shared" ca="1" si="120"/>
        <v>0.18958797841425634</v>
      </c>
    </row>
    <row r="796" spans="6:14" x14ac:dyDescent="0.35">
      <c r="F796">
        <f t="shared" si="126"/>
        <v>12</v>
      </c>
      <c r="G796">
        <f t="shared" si="124"/>
        <v>2</v>
      </c>
      <c r="H796">
        <f t="shared" si="125"/>
        <v>0</v>
      </c>
      <c r="K796" t="str">
        <f t="shared" ca="1" si="121"/>
        <v>FBT</v>
      </c>
      <c r="L796" t="str">
        <f t="shared" ca="1" si="122"/>
        <v>dom</v>
      </c>
      <c r="M796" t="str">
        <f t="shared" ca="1" si="119"/>
        <v>MACH</v>
      </c>
      <c r="N796">
        <f t="shared" ca="1" si="120"/>
        <v>0.31922612648574072</v>
      </c>
    </row>
    <row r="797" spans="6:14" x14ac:dyDescent="0.35">
      <c r="F797">
        <f t="shared" si="126"/>
        <v>12</v>
      </c>
      <c r="G797">
        <f t="shared" si="124"/>
        <v>3</v>
      </c>
      <c r="H797">
        <f t="shared" si="125"/>
        <v>0</v>
      </c>
      <c r="K797" t="str">
        <f t="shared" ca="1" si="121"/>
        <v>TEX</v>
      </c>
      <c r="L797" t="str">
        <f t="shared" ca="1" si="122"/>
        <v>dom</v>
      </c>
      <c r="M797" t="str">
        <f t="shared" ca="1" si="119"/>
        <v>MACH</v>
      </c>
      <c r="N797">
        <f t="shared" ca="1" si="120"/>
        <v>1.6628019766066771</v>
      </c>
    </row>
    <row r="798" spans="6:14" x14ac:dyDescent="0.35">
      <c r="F798">
        <f t="shared" si="126"/>
        <v>12</v>
      </c>
      <c r="G798">
        <f t="shared" si="124"/>
        <v>4</v>
      </c>
      <c r="H798">
        <f t="shared" si="125"/>
        <v>0</v>
      </c>
      <c r="K798" t="str">
        <f t="shared" ca="1" si="121"/>
        <v>LEATHER</v>
      </c>
      <c r="L798" t="str">
        <f t="shared" ca="1" si="122"/>
        <v>dom</v>
      </c>
      <c r="M798" t="str">
        <f t="shared" ca="1" si="119"/>
        <v>MACH</v>
      </c>
      <c r="N798">
        <f t="shared" ca="1" si="120"/>
        <v>1.1798940431612741E-2</v>
      </c>
    </row>
    <row r="799" spans="6:14" x14ac:dyDescent="0.35">
      <c r="F799">
        <f t="shared" si="126"/>
        <v>12</v>
      </c>
      <c r="G799">
        <f t="shared" si="124"/>
        <v>5</v>
      </c>
      <c r="H799">
        <f t="shared" si="125"/>
        <v>0</v>
      </c>
      <c r="K799" t="str">
        <f t="shared" ca="1" si="121"/>
        <v>WOOD</v>
      </c>
      <c r="L799" t="str">
        <f t="shared" ca="1" si="122"/>
        <v>dom</v>
      </c>
      <c r="M799" t="str">
        <f t="shared" ca="1" si="119"/>
        <v>MACH</v>
      </c>
      <c r="N799">
        <f t="shared" ca="1" si="120"/>
        <v>7.263331035264084E-2</v>
      </c>
    </row>
    <row r="800" spans="6:14" x14ac:dyDescent="0.35">
      <c r="F800">
        <f t="shared" si="126"/>
        <v>12</v>
      </c>
      <c r="G800">
        <f t="shared" si="124"/>
        <v>6</v>
      </c>
      <c r="H800">
        <f t="shared" si="125"/>
        <v>0</v>
      </c>
      <c r="K800" t="str">
        <f t="shared" ca="1" si="121"/>
        <v>PPP</v>
      </c>
      <c r="L800" t="str">
        <f t="shared" ca="1" si="122"/>
        <v>dom</v>
      </c>
      <c r="M800" t="str">
        <f t="shared" ca="1" si="119"/>
        <v>MACH</v>
      </c>
      <c r="N800">
        <f t="shared" ca="1" si="120"/>
        <v>1.4537978163603991</v>
      </c>
    </row>
    <row r="801" spans="6:14" x14ac:dyDescent="0.35">
      <c r="F801">
        <f t="shared" si="126"/>
        <v>12</v>
      </c>
      <c r="G801">
        <f t="shared" si="124"/>
        <v>7</v>
      </c>
      <c r="H801">
        <f t="shared" si="125"/>
        <v>0</v>
      </c>
      <c r="K801" t="str">
        <f t="shared" ca="1" si="121"/>
        <v>PC</v>
      </c>
      <c r="L801" t="str">
        <f t="shared" ca="1" si="122"/>
        <v>dom</v>
      </c>
      <c r="M801" t="str">
        <f t="shared" ca="1" si="119"/>
        <v>MACH</v>
      </c>
      <c r="N801">
        <f t="shared" ca="1" si="120"/>
        <v>0.22153078675582571</v>
      </c>
    </row>
    <row r="802" spans="6:14" x14ac:dyDescent="0.35">
      <c r="F802">
        <f t="shared" si="126"/>
        <v>12</v>
      </c>
      <c r="G802">
        <f t="shared" si="124"/>
        <v>8</v>
      </c>
      <c r="H802">
        <f t="shared" si="125"/>
        <v>0</v>
      </c>
      <c r="K802" t="str">
        <f t="shared" ca="1" si="121"/>
        <v>CHM</v>
      </c>
      <c r="L802" t="str">
        <f t="shared" ca="1" si="122"/>
        <v>dom</v>
      </c>
      <c r="M802" t="str">
        <f t="shared" ca="1" si="119"/>
        <v>MACH</v>
      </c>
      <c r="N802">
        <f t="shared" ca="1" si="120"/>
        <v>1.3795166512415349</v>
      </c>
    </row>
    <row r="803" spans="6:14" x14ac:dyDescent="0.35">
      <c r="F803">
        <f t="shared" si="126"/>
        <v>12</v>
      </c>
      <c r="G803">
        <f t="shared" si="124"/>
        <v>9</v>
      </c>
      <c r="H803">
        <f t="shared" si="125"/>
        <v>0</v>
      </c>
      <c r="K803" t="str">
        <f t="shared" ca="1" si="121"/>
        <v>RUBBER</v>
      </c>
      <c r="L803" t="str">
        <f t="shared" ca="1" si="122"/>
        <v>dom</v>
      </c>
      <c r="M803" t="str">
        <f t="shared" ca="1" si="119"/>
        <v>MACH</v>
      </c>
      <c r="N803">
        <f t="shared" ca="1" si="120"/>
        <v>2.1595002021816199</v>
      </c>
    </row>
    <row r="804" spans="6:14" x14ac:dyDescent="0.35">
      <c r="F804">
        <f t="shared" si="126"/>
        <v>12</v>
      </c>
      <c r="G804">
        <f t="shared" si="124"/>
        <v>10</v>
      </c>
      <c r="H804">
        <f t="shared" si="125"/>
        <v>0</v>
      </c>
      <c r="K804" t="str">
        <f t="shared" ca="1" si="121"/>
        <v>NMM</v>
      </c>
      <c r="L804" t="str">
        <f t="shared" ca="1" si="122"/>
        <v>dom</v>
      </c>
      <c r="M804" t="str">
        <f t="shared" ca="1" si="119"/>
        <v>MACH</v>
      </c>
      <c r="N804">
        <f t="shared" ca="1" si="120"/>
        <v>2.0005085286796622</v>
      </c>
    </row>
    <row r="805" spans="6:14" x14ac:dyDescent="0.35">
      <c r="F805">
        <f t="shared" ref="F805:F820" si="127">F739+1</f>
        <v>12</v>
      </c>
      <c r="G805">
        <f t="shared" si="124"/>
        <v>11</v>
      </c>
      <c r="H805">
        <f t="shared" si="125"/>
        <v>0</v>
      </c>
      <c r="K805" t="str">
        <f t="shared" ca="1" si="121"/>
        <v>METAL</v>
      </c>
      <c r="L805" t="str">
        <f t="shared" ca="1" si="122"/>
        <v>dom</v>
      </c>
      <c r="M805" t="str">
        <f t="shared" ca="1" si="119"/>
        <v>MACH</v>
      </c>
      <c r="N805">
        <f t="shared" ca="1" si="120"/>
        <v>5.8511412678136754</v>
      </c>
    </row>
    <row r="806" spans="6:14" x14ac:dyDescent="0.35">
      <c r="F806">
        <f t="shared" si="127"/>
        <v>12</v>
      </c>
      <c r="G806">
        <f t="shared" si="124"/>
        <v>12</v>
      </c>
      <c r="H806">
        <f t="shared" si="125"/>
        <v>0</v>
      </c>
      <c r="K806" t="str">
        <f t="shared" ca="1" si="121"/>
        <v>MACH</v>
      </c>
      <c r="L806" t="str">
        <f t="shared" ca="1" si="122"/>
        <v>dom</v>
      </c>
      <c r="M806" t="str">
        <f t="shared" ca="1" si="119"/>
        <v>MACH</v>
      </c>
      <c r="N806">
        <f t="shared" ca="1" si="120"/>
        <v>8.4690657167279912</v>
      </c>
    </row>
    <row r="807" spans="6:14" x14ac:dyDescent="0.35">
      <c r="F807">
        <f t="shared" si="127"/>
        <v>12</v>
      </c>
      <c r="G807">
        <f t="shared" si="124"/>
        <v>13</v>
      </c>
      <c r="H807">
        <f t="shared" si="125"/>
        <v>0</v>
      </c>
      <c r="K807" t="str">
        <f t="shared" ca="1" si="121"/>
        <v>ELEC</v>
      </c>
      <c r="L807" t="str">
        <f t="shared" ca="1" si="122"/>
        <v>dom</v>
      </c>
      <c r="M807" t="str">
        <f t="shared" ca="1" si="119"/>
        <v>MACH</v>
      </c>
      <c r="N807">
        <f t="shared" ca="1" si="120"/>
        <v>1.7617495483632926</v>
      </c>
    </row>
    <row r="808" spans="6:14" x14ac:dyDescent="0.35">
      <c r="F808">
        <f t="shared" si="127"/>
        <v>12</v>
      </c>
      <c r="G808">
        <f t="shared" si="124"/>
        <v>14</v>
      </c>
      <c r="H808">
        <f t="shared" si="125"/>
        <v>0</v>
      </c>
      <c r="K808" t="str">
        <f t="shared" ca="1" si="121"/>
        <v>TRNEQUIP</v>
      </c>
      <c r="L808" t="str">
        <f t="shared" ca="1" si="122"/>
        <v>dom</v>
      </c>
      <c r="M808" t="str">
        <f t="shared" ca="1" si="119"/>
        <v>MACH</v>
      </c>
      <c r="N808">
        <f t="shared" ca="1" si="120"/>
        <v>2.5448611815202229</v>
      </c>
    </row>
    <row r="809" spans="6:14" x14ac:dyDescent="0.35">
      <c r="F809">
        <f t="shared" si="127"/>
        <v>12</v>
      </c>
      <c r="G809">
        <f t="shared" si="124"/>
        <v>15</v>
      </c>
      <c r="H809">
        <f t="shared" si="125"/>
        <v>0</v>
      </c>
      <c r="K809" t="str">
        <f t="shared" ca="1" si="121"/>
        <v>ROMAN</v>
      </c>
      <c r="L809" t="str">
        <f t="shared" ca="1" si="122"/>
        <v>dom</v>
      </c>
      <c r="M809" t="str">
        <f t="shared" ca="1" si="119"/>
        <v>MACH</v>
      </c>
      <c r="N809">
        <f t="shared" ca="1" si="120"/>
        <v>6.9294917598311807</v>
      </c>
    </row>
    <row r="810" spans="6:14" x14ac:dyDescent="0.35">
      <c r="F810">
        <f t="shared" si="127"/>
        <v>12</v>
      </c>
      <c r="G810">
        <f t="shared" si="124"/>
        <v>16</v>
      </c>
      <c r="H810">
        <f t="shared" si="125"/>
        <v>0</v>
      </c>
      <c r="K810" t="str">
        <f t="shared" ca="1" si="121"/>
        <v>ELYGASWTR</v>
      </c>
      <c r="L810" t="str">
        <f t="shared" ca="1" si="122"/>
        <v>dom</v>
      </c>
      <c r="M810" t="str">
        <f t="shared" ca="1" si="119"/>
        <v>MACH</v>
      </c>
      <c r="N810">
        <f t="shared" ca="1" si="120"/>
        <v>1.5812640716657016E-7</v>
      </c>
    </row>
    <row r="811" spans="6:14" x14ac:dyDescent="0.35">
      <c r="F811">
        <f t="shared" si="127"/>
        <v>12</v>
      </c>
      <c r="G811">
        <f t="shared" si="124"/>
        <v>17</v>
      </c>
      <c r="H811">
        <f t="shared" si="125"/>
        <v>0</v>
      </c>
      <c r="K811" t="str">
        <f t="shared" ca="1" si="121"/>
        <v>CNS</v>
      </c>
      <c r="L811" t="str">
        <f t="shared" ca="1" si="122"/>
        <v>dom</v>
      </c>
      <c r="M811" t="str">
        <f t="shared" ca="1" si="119"/>
        <v>MACH</v>
      </c>
      <c r="N811">
        <f t="shared" ca="1" si="120"/>
        <v>230.18690438866369</v>
      </c>
    </row>
    <row r="812" spans="6:14" x14ac:dyDescent="0.35">
      <c r="F812">
        <f t="shared" si="127"/>
        <v>12</v>
      </c>
      <c r="G812">
        <f t="shared" si="124"/>
        <v>18</v>
      </c>
      <c r="H812">
        <f t="shared" si="125"/>
        <v>0</v>
      </c>
      <c r="K812" t="str">
        <f t="shared" ca="1" si="121"/>
        <v>TRD</v>
      </c>
      <c r="L812" t="str">
        <f t="shared" ca="1" si="122"/>
        <v>dom</v>
      </c>
      <c r="M812" t="str">
        <f t="shared" ca="1" si="119"/>
        <v>MACH</v>
      </c>
      <c r="N812">
        <f t="shared" ca="1" si="120"/>
        <v>36.805351342182306</v>
      </c>
    </row>
    <row r="813" spans="6:14" x14ac:dyDescent="0.35">
      <c r="F813">
        <f t="shared" si="127"/>
        <v>12</v>
      </c>
      <c r="G813">
        <f t="shared" si="124"/>
        <v>19</v>
      </c>
      <c r="H813">
        <f t="shared" si="125"/>
        <v>0</v>
      </c>
      <c r="K813" t="str">
        <f t="shared" ca="1" si="121"/>
        <v>AFS</v>
      </c>
      <c r="L813" t="str">
        <f t="shared" ca="1" si="122"/>
        <v>dom</v>
      </c>
      <c r="M813" t="str">
        <f t="shared" ca="1" si="119"/>
        <v>MACH</v>
      </c>
      <c r="N813">
        <f t="shared" ca="1" si="120"/>
        <v>1.5812640716657016E-7</v>
      </c>
    </row>
    <row r="814" spans="6:14" x14ac:dyDescent="0.35">
      <c r="F814">
        <f t="shared" si="127"/>
        <v>12</v>
      </c>
      <c r="G814">
        <f t="shared" si="124"/>
        <v>20</v>
      </c>
      <c r="H814">
        <f t="shared" si="125"/>
        <v>0</v>
      </c>
      <c r="K814" t="str">
        <f t="shared" ca="1" si="121"/>
        <v>OTP</v>
      </c>
      <c r="L814" t="str">
        <f t="shared" ca="1" si="122"/>
        <v>dom</v>
      </c>
      <c r="M814" t="str">
        <f t="shared" ca="1" si="119"/>
        <v>MACH</v>
      </c>
      <c r="N814">
        <f t="shared" ca="1" si="120"/>
        <v>1.5812640716657016E-7</v>
      </c>
    </row>
    <row r="815" spans="6:14" x14ac:dyDescent="0.35">
      <c r="F815">
        <f t="shared" si="127"/>
        <v>12</v>
      </c>
      <c r="G815">
        <f t="shared" si="124"/>
        <v>21</v>
      </c>
      <c r="H815">
        <f t="shared" si="125"/>
        <v>0</v>
      </c>
      <c r="K815" t="str">
        <f t="shared" ca="1" si="121"/>
        <v>WTP</v>
      </c>
      <c r="L815" t="str">
        <f t="shared" ca="1" si="122"/>
        <v>dom</v>
      </c>
      <c r="M815" t="str">
        <f t="shared" ca="1" si="119"/>
        <v>MACH</v>
      </c>
      <c r="N815">
        <f t="shared" ca="1" si="120"/>
        <v>1.5812640716657016E-7</v>
      </c>
    </row>
    <row r="816" spans="6:14" x14ac:dyDescent="0.35">
      <c r="F816">
        <f t="shared" si="127"/>
        <v>12</v>
      </c>
      <c r="G816">
        <f t="shared" si="124"/>
        <v>22</v>
      </c>
      <c r="H816">
        <f t="shared" si="125"/>
        <v>0</v>
      </c>
      <c r="K816" t="str">
        <f t="shared" ca="1" si="121"/>
        <v>ATP</v>
      </c>
      <c r="L816" t="str">
        <f t="shared" ca="1" si="122"/>
        <v>dom</v>
      </c>
      <c r="M816" t="str">
        <f t="shared" ca="1" si="119"/>
        <v>MACH</v>
      </c>
      <c r="N816">
        <f t="shared" ca="1" si="120"/>
        <v>1.5812640716657016E-7</v>
      </c>
    </row>
    <row r="817" spans="6:14" x14ac:dyDescent="0.35">
      <c r="F817">
        <f t="shared" si="127"/>
        <v>12</v>
      </c>
      <c r="G817">
        <f t="shared" si="124"/>
        <v>23</v>
      </c>
      <c r="H817">
        <f t="shared" si="125"/>
        <v>0</v>
      </c>
      <c r="K817" t="str">
        <f t="shared" ca="1" si="121"/>
        <v>WHS</v>
      </c>
      <c r="L817" t="str">
        <f t="shared" ca="1" si="122"/>
        <v>dom</v>
      </c>
      <c r="M817" t="str">
        <f t="shared" ca="1" si="119"/>
        <v>MACH</v>
      </c>
      <c r="N817">
        <f t="shared" ca="1" si="120"/>
        <v>1.5812640716657016E-7</v>
      </c>
    </row>
    <row r="818" spans="6:14" x14ac:dyDescent="0.35">
      <c r="F818">
        <f t="shared" si="127"/>
        <v>12</v>
      </c>
      <c r="G818">
        <f t="shared" si="124"/>
        <v>24</v>
      </c>
      <c r="H818">
        <f t="shared" si="125"/>
        <v>0</v>
      </c>
      <c r="K818" t="str">
        <f t="shared" ca="1" si="121"/>
        <v>CMN</v>
      </c>
      <c r="L818" t="str">
        <f t="shared" ca="1" si="122"/>
        <v>dom</v>
      </c>
      <c r="M818" t="str">
        <f t="shared" ca="1" si="119"/>
        <v>MACH</v>
      </c>
      <c r="N818">
        <f t="shared" ca="1" si="120"/>
        <v>1.5812640716657016E-7</v>
      </c>
    </row>
    <row r="819" spans="6:14" x14ac:dyDescent="0.35">
      <c r="F819">
        <f t="shared" si="127"/>
        <v>12</v>
      </c>
      <c r="G819">
        <f t="shared" si="124"/>
        <v>25</v>
      </c>
      <c r="H819">
        <f t="shared" si="125"/>
        <v>0</v>
      </c>
      <c r="K819" t="str">
        <f t="shared" ca="1" si="121"/>
        <v>OFI</v>
      </c>
      <c r="L819" t="str">
        <f t="shared" ca="1" si="122"/>
        <v>dom</v>
      </c>
      <c r="M819" t="str">
        <f t="shared" ca="1" si="119"/>
        <v>MACH</v>
      </c>
      <c r="N819">
        <f t="shared" ca="1" si="120"/>
        <v>1.5812640716657016E-7</v>
      </c>
    </row>
    <row r="820" spans="6:14" x14ac:dyDescent="0.35">
      <c r="F820">
        <f t="shared" si="127"/>
        <v>12</v>
      </c>
      <c r="G820">
        <f t="shared" si="124"/>
        <v>26</v>
      </c>
      <c r="H820">
        <f t="shared" si="125"/>
        <v>0</v>
      </c>
      <c r="K820" t="str">
        <f t="shared" ca="1" si="121"/>
        <v>RSA</v>
      </c>
      <c r="L820" t="str">
        <f t="shared" ca="1" si="122"/>
        <v>dom</v>
      </c>
      <c r="M820" t="str">
        <f t="shared" ca="1" si="119"/>
        <v>MACH</v>
      </c>
      <c r="N820">
        <f t="shared" ca="1" si="120"/>
        <v>1.5812640716657016E-7</v>
      </c>
    </row>
    <row r="821" spans="6:14" x14ac:dyDescent="0.35">
      <c r="F821">
        <f t="shared" ref="F821:F836" si="128">F755+1</f>
        <v>12</v>
      </c>
      <c r="G821">
        <f t="shared" si="124"/>
        <v>27</v>
      </c>
      <c r="H821">
        <f t="shared" si="125"/>
        <v>0</v>
      </c>
      <c r="K821" t="str">
        <f t="shared" ca="1" si="121"/>
        <v>OBS</v>
      </c>
      <c r="L821" t="str">
        <f t="shared" ca="1" si="122"/>
        <v>dom</v>
      </c>
      <c r="M821" t="str">
        <f t="shared" ca="1" si="119"/>
        <v>MACH</v>
      </c>
      <c r="N821">
        <f t="shared" ca="1" si="120"/>
        <v>1.5812640716657016E-7</v>
      </c>
    </row>
    <row r="822" spans="6:14" x14ac:dyDescent="0.35">
      <c r="F822">
        <f t="shared" si="128"/>
        <v>12</v>
      </c>
      <c r="G822">
        <f t="shared" si="124"/>
        <v>28</v>
      </c>
      <c r="H822">
        <f t="shared" si="125"/>
        <v>0</v>
      </c>
      <c r="K822" t="str">
        <f t="shared" ca="1" si="121"/>
        <v>GOV</v>
      </c>
      <c r="L822" t="str">
        <f t="shared" ca="1" si="122"/>
        <v>dom</v>
      </c>
      <c r="M822" t="str">
        <f t="shared" ca="1" si="119"/>
        <v>MACH</v>
      </c>
      <c r="N822">
        <f t="shared" ca="1" si="120"/>
        <v>1.5812640716657016E-7</v>
      </c>
    </row>
    <row r="823" spans="6:14" x14ac:dyDescent="0.35">
      <c r="F823">
        <f t="shared" si="128"/>
        <v>12</v>
      </c>
      <c r="G823">
        <f t="shared" si="124"/>
        <v>29</v>
      </c>
      <c r="H823">
        <f t="shared" si="125"/>
        <v>0</v>
      </c>
      <c r="K823" t="str">
        <f t="shared" ca="1" si="121"/>
        <v>EDU</v>
      </c>
      <c r="L823" t="str">
        <f t="shared" ca="1" si="122"/>
        <v>dom</v>
      </c>
      <c r="M823" t="str">
        <f t="shared" ca="1" si="119"/>
        <v>MACH</v>
      </c>
      <c r="N823">
        <f t="shared" ca="1" si="120"/>
        <v>1.5812640716657016E-7</v>
      </c>
    </row>
    <row r="824" spans="6:14" x14ac:dyDescent="0.35">
      <c r="F824">
        <f t="shared" si="128"/>
        <v>12</v>
      </c>
      <c r="G824">
        <f t="shared" si="124"/>
        <v>30</v>
      </c>
      <c r="H824">
        <f t="shared" si="125"/>
        <v>0</v>
      </c>
      <c r="K824" t="str">
        <f t="shared" ca="1" si="121"/>
        <v>HHT</v>
      </c>
      <c r="L824" t="str">
        <f t="shared" ca="1" si="122"/>
        <v>dom</v>
      </c>
      <c r="M824" t="str">
        <f t="shared" ca="1" si="119"/>
        <v>MACH</v>
      </c>
      <c r="N824">
        <f t="shared" ca="1" si="120"/>
        <v>1.5812640716657016E-7</v>
      </c>
    </row>
    <row r="825" spans="6:14" x14ac:dyDescent="0.35">
      <c r="F825">
        <f t="shared" si="128"/>
        <v>12</v>
      </c>
      <c r="G825">
        <f t="shared" si="124"/>
        <v>31</v>
      </c>
      <c r="H825">
        <f t="shared" si="125"/>
        <v>0</v>
      </c>
      <c r="K825" t="str">
        <f t="shared" ca="1" si="121"/>
        <v>REC</v>
      </c>
      <c r="L825" t="str">
        <f t="shared" ca="1" si="122"/>
        <v>dom</v>
      </c>
      <c r="M825" t="str">
        <f t="shared" ca="1" si="119"/>
        <v>MACH</v>
      </c>
      <c r="N825">
        <f t="shared" ca="1" si="120"/>
        <v>1.5812640716657016E-7</v>
      </c>
    </row>
    <row r="826" spans="6:14" x14ac:dyDescent="0.35">
      <c r="F826">
        <f t="shared" si="128"/>
        <v>12</v>
      </c>
      <c r="G826">
        <f t="shared" si="124"/>
        <v>32</v>
      </c>
      <c r="H826">
        <f t="shared" si="125"/>
        <v>0</v>
      </c>
      <c r="K826" t="str">
        <f t="shared" ca="1" si="121"/>
        <v>DWE</v>
      </c>
      <c r="L826" t="str">
        <f t="shared" ca="1" si="122"/>
        <v>dom</v>
      </c>
      <c r="M826" t="str">
        <f t="shared" ca="1" si="119"/>
        <v>MACH</v>
      </c>
      <c r="N826">
        <f t="shared" ca="1" si="120"/>
        <v>1.5812640716657016E-7</v>
      </c>
    </row>
    <row r="827" spans="6:14" x14ac:dyDescent="0.35">
      <c r="F827">
        <f t="shared" si="128"/>
        <v>12</v>
      </c>
      <c r="G827">
        <f t="shared" si="124"/>
        <v>0</v>
      </c>
      <c r="H827">
        <f t="shared" si="125"/>
        <v>1</v>
      </c>
      <c r="K827" t="str">
        <f t="shared" ca="1" si="121"/>
        <v>AG</v>
      </c>
      <c r="L827" t="str">
        <f t="shared" ca="1" si="122"/>
        <v>imp</v>
      </c>
      <c r="M827" t="str">
        <f t="shared" ca="1" si="119"/>
        <v>MACH</v>
      </c>
      <c r="N827">
        <f t="shared" ca="1" si="120"/>
        <v>1.4629576954608396</v>
      </c>
    </row>
    <row r="828" spans="6:14" x14ac:dyDescent="0.35">
      <c r="F828">
        <f t="shared" si="128"/>
        <v>12</v>
      </c>
      <c r="G828">
        <f t="shared" si="124"/>
        <v>1</v>
      </c>
      <c r="H828">
        <f t="shared" si="125"/>
        <v>1</v>
      </c>
      <c r="K828" t="str">
        <f t="shared" ca="1" si="121"/>
        <v>MIN</v>
      </c>
      <c r="L828" t="str">
        <f t="shared" ca="1" si="122"/>
        <v>imp</v>
      </c>
      <c r="M828" t="str">
        <f t="shared" ca="1" si="119"/>
        <v>MACH</v>
      </c>
      <c r="N828">
        <f t="shared" ca="1" si="120"/>
        <v>2.308008421765892</v>
      </c>
    </row>
    <row r="829" spans="6:14" x14ac:dyDescent="0.35">
      <c r="F829">
        <f t="shared" si="128"/>
        <v>12</v>
      </c>
      <c r="G829">
        <f t="shared" si="124"/>
        <v>2</v>
      </c>
      <c r="H829">
        <f t="shared" si="125"/>
        <v>1</v>
      </c>
      <c r="K829" t="str">
        <f t="shared" ca="1" si="121"/>
        <v>FBT</v>
      </c>
      <c r="L829" t="str">
        <f t="shared" ca="1" si="122"/>
        <v>imp</v>
      </c>
      <c r="M829" t="str">
        <f t="shared" ca="1" si="119"/>
        <v>MACH</v>
      </c>
      <c r="N829">
        <f t="shared" ca="1" si="120"/>
        <v>0.5775345012605525</v>
      </c>
    </row>
    <row r="830" spans="6:14" x14ac:dyDescent="0.35">
      <c r="F830">
        <f t="shared" si="128"/>
        <v>12</v>
      </c>
      <c r="G830">
        <f t="shared" si="124"/>
        <v>3</v>
      </c>
      <c r="H830">
        <f t="shared" si="125"/>
        <v>1</v>
      </c>
      <c r="K830" t="str">
        <f t="shared" ca="1" si="121"/>
        <v>TEX</v>
      </c>
      <c r="L830" t="str">
        <f t="shared" ca="1" si="122"/>
        <v>imp</v>
      </c>
      <c r="M830" t="str">
        <f t="shared" ca="1" si="119"/>
        <v>MACH</v>
      </c>
      <c r="N830">
        <f t="shared" ca="1" si="120"/>
        <v>11.333546247245778</v>
      </c>
    </row>
    <row r="831" spans="6:14" x14ac:dyDescent="0.35">
      <c r="F831">
        <f t="shared" si="128"/>
        <v>12</v>
      </c>
      <c r="G831">
        <f t="shared" si="124"/>
        <v>4</v>
      </c>
      <c r="H831">
        <f t="shared" si="125"/>
        <v>1</v>
      </c>
      <c r="K831" t="str">
        <f t="shared" ca="1" si="121"/>
        <v>LEATHER</v>
      </c>
      <c r="L831" t="str">
        <f t="shared" ca="1" si="122"/>
        <v>imp</v>
      </c>
      <c r="M831" t="str">
        <f t="shared" ca="1" si="119"/>
        <v>MACH</v>
      </c>
      <c r="N831">
        <f t="shared" ca="1" si="120"/>
        <v>5.906698381772773</v>
      </c>
    </row>
    <row r="832" spans="6:14" x14ac:dyDescent="0.35">
      <c r="F832">
        <f t="shared" si="128"/>
        <v>12</v>
      </c>
      <c r="G832">
        <f t="shared" si="124"/>
        <v>5</v>
      </c>
      <c r="H832">
        <f t="shared" si="125"/>
        <v>1</v>
      </c>
      <c r="K832" t="str">
        <f t="shared" ca="1" si="121"/>
        <v>WOOD</v>
      </c>
      <c r="L832" t="str">
        <f t="shared" ca="1" si="122"/>
        <v>imp</v>
      </c>
      <c r="M832" t="str">
        <f t="shared" ca="1" si="119"/>
        <v>MACH</v>
      </c>
      <c r="N832">
        <f t="shared" ca="1" si="120"/>
        <v>0.10572557884887071</v>
      </c>
    </row>
    <row r="833" spans="6:14" x14ac:dyDescent="0.35">
      <c r="F833">
        <f t="shared" si="128"/>
        <v>12</v>
      </c>
      <c r="G833">
        <f t="shared" si="124"/>
        <v>6</v>
      </c>
      <c r="H833">
        <f t="shared" si="125"/>
        <v>1</v>
      </c>
      <c r="K833" t="str">
        <f t="shared" ca="1" si="121"/>
        <v>PPP</v>
      </c>
      <c r="L833" t="str">
        <f t="shared" ca="1" si="122"/>
        <v>imp</v>
      </c>
      <c r="M833" t="str">
        <f t="shared" ca="1" si="119"/>
        <v>MACH</v>
      </c>
      <c r="N833">
        <f t="shared" ca="1" si="120"/>
        <v>1.5224376673457187</v>
      </c>
    </row>
    <row r="834" spans="6:14" x14ac:dyDescent="0.35">
      <c r="F834">
        <f t="shared" si="128"/>
        <v>12</v>
      </c>
      <c r="G834">
        <f t="shared" si="124"/>
        <v>7</v>
      </c>
      <c r="H834">
        <f t="shared" si="125"/>
        <v>1</v>
      </c>
      <c r="K834" t="str">
        <f t="shared" ca="1" si="121"/>
        <v>PC</v>
      </c>
      <c r="L834" t="str">
        <f t="shared" ca="1" si="122"/>
        <v>imp</v>
      </c>
      <c r="M834" t="str">
        <f t="shared" ref="M834:M897" ca="1" si="129">OFFSET(A$2,F834,0)</f>
        <v>MACH</v>
      </c>
      <c r="N834">
        <f t="shared" ref="N834:N897" ca="1" si="130">SUMIFS(C:C,A:A,K834,B:B,L834)*SUMIFS(U:U,S:S,M834)</f>
        <v>0.3833677068349795</v>
      </c>
    </row>
    <row r="835" spans="6:14" x14ac:dyDescent="0.35">
      <c r="F835">
        <f t="shared" si="128"/>
        <v>12</v>
      </c>
      <c r="G835">
        <f t="shared" si="124"/>
        <v>8</v>
      </c>
      <c r="H835">
        <f t="shared" si="125"/>
        <v>1</v>
      </c>
      <c r="K835" t="str">
        <f t="shared" ref="K835:K898" ca="1" si="131">OFFSET(A$2,G835,0)</f>
        <v>CHM</v>
      </c>
      <c r="L835" t="str">
        <f t="shared" ref="L835:L898" ca="1" si="132">OFFSET($V$3,H835,0)</f>
        <v>imp</v>
      </c>
      <c r="M835" t="str">
        <f t="shared" ca="1" si="129"/>
        <v>MACH</v>
      </c>
      <c r="N835">
        <f t="shared" ca="1" si="130"/>
        <v>5.255331149561858</v>
      </c>
    </row>
    <row r="836" spans="6:14" x14ac:dyDescent="0.35">
      <c r="F836">
        <f t="shared" si="128"/>
        <v>12</v>
      </c>
      <c r="G836">
        <f t="shared" si="124"/>
        <v>9</v>
      </c>
      <c r="H836">
        <f t="shared" si="125"/>
        <v>1</v>
      </c>
      <c r="K836" t="str">
        <f t="shared" ca="1" si="131"/>
        <v>RUBBER</v>
      </c>
      <c r="L836" t="str">
        <f t="shared" ca="1" si="132"/>
        <v>imp</v>
      </c>
      <c r="M836" t="str">
        <f t="shared" ca="1" si="129"/>
        <v>MACH</v>
      </c>
      <c r="N836">
        <f t="shared" ca="1" si="130"/>
        <v>4.0248851544483202</v>
      </c>
    </row>
    <row r="837" spans="6:14" x14ac:dyDescent="0.35">
      <c r="F837">
        <f t="shared" ref="F837:F852" si="133">F771+1</f>
        <v>12</v>
      </c>
      <c r="G837">
        <f t="shared" ref="G837:G900" si="134">G804</f>
        <v>10</v>
      </c>
      <c r="H837">
        <f t="shared" ref="H837:H900" si="135">H771</f>
        <v>1</v>
      </c>
      <c r="K837" t="str">
        <f t="shared" ca="1" si="131"/>
        <v>NMM</v>
      </c>
      <c r="L837" t="str">
        <f t="shared" ca="1" si="132"/>
        <v>imp</v>
      </c>
      <c r="M837" t="str">
        <f t="shared" ca="1" si="129"/>
        <v>MACH</v>
      </c>
      <c r="N837">
        <f t="shared" ca="1" si="130"/>
        <v>1.519343337317792</v>
      </c>
    </row>
    <row r="838" spans="6:14" x14ac:dyDescent="0.35">
      <c r="F838">
        <f t="shared" si="133"/>
        <v>12</v>
      </c>
      <c r="G838">
        <f t="shared" si="134"/>
        <v>11</v>
      </c>
      <c r="H838">
        <f t="shared" si="135"/>
        <v>1</v>
      </c>
      <c r="K838" t="str">
        <f t="shared" ca="1" si="131"/>
        <v>METAL</v>
      </c>
      <c r="L838" t="str">
        <f t="shared" ca="1" si="132"/>
        <v>imp</v>
      </c>
      <c r="M838" t="str">
        <f t="shared" ca="1" si="129"/>
        <v>MACH</v>
      </c>
      <c r="N838">
        <f t="shared" ca="1" si="130"/>
        <v>19.017829829531799</v>
      </c>
    </row>
    <row r="839" spans="6:14" x14ac:dyDescent="0.35">
      <c r="F839">
        <f t="shared" si="133"/>
        <v>12</v>
      </c>
      <c r="G839">
        <f t="shared" si="134"/>
        <v>12</v>
      </c>
      <c r="H839">
        <f t="shared" si="135"/>
        <v>1</v>
      </c>
      <c r="K839" t="str">
        <f t="shared" ca="1" si="131"/>
        <v>MACH</v>
      </c>
      <c r="L839" t="str">
        <f t="shared" ca="1" si="132"/>
        <v>imp</v>
      </c>
      <c r="M839" t="str">
        <f t="shared" ca="1" si="129"/>
        <v>MACH</v>
      </c>
      <c r="N839">
        <f t="shared" ca="1" si="130"/>
        <v>72.852967657113538</v>
      </c>
    </row>
    <row r="840" spans="6:14" x14ac:dyDescent="0.35">
      <c r="F840">
        <f t="shared" si="133"/>
        <v>12</v>
      </c>
      <c r="G840">
        <f t="shared" si="134"/>
        <v>13</v>
      </c>
      <c r="H840">
        <f t="shared" si="135"/>
        <v>1</v>
      </c>
      <c r="K840" t="str">
        <f t="shared" ca="1" si="131"/>
        <v>ELEC</v>
      </c>
      <c r="L840" t="str">
        <f t="shared" ca="1" si="132"/>
        <v>imp</v>
      </c>
      <c r="M840" t="str">
        <f t="shared" ca="1" si="129"/>
        <v>MACH</v>
      </c>
      <c r="N840">
        <f t="shared" ca="1" si="130"/>
        <v>39.061538949352482</v>
      </c>
    </row>
    <row r="841" spans="6:14" x14ac:dyDescent="0.35">
      <c r="F841">
        <f t="shared" si="133"/>
        <v>12</v>
      </c>
      <c r="G841">
        <f t="shared" si="134"/>
        <v>14</v>
      </c>
      <c r="H841">
        <f t="shared" si="135"/>
        <v>1</v>
      </c>
      <c r="K841" t="str">
        <f t="shared" ca="1" si="131"/>
        <v>TRNEQUIP</v>
      </c>
      <c r="L841" t="str">
        <f t="shared" ca="1" si="132"/>
        <v>imp</v>
      </c>
      <c r="M841" t="str">
        <f t="shared" ca="1" si="129"/>
        <v>MACH</v>
      </c>
      <c r="N841">
        <f t="shared" ca="1" si="130"/>
        <v>62.337822552275874</v>
      </c>
    </row>
    <row r="842" spans="6:14" x14ac:dyDescent="0.35">
      <c r="F842">
        <f t="shared" si="133"/>
        <v>12</v>
      </c>
      <c r="G842">
        <f t="shared" si="134"/>
        <v>15</v>
      </c>
      <c r="H842">
        <f t="shared" si="135"/>
        <v>1</v>
      </c>
      <c r="K842" t="str">
        <f t="shared" ca="1" si="131"/>
        <v>ROMAN</v>
      </c>
      <c r="L842" t="str">
        <f t="shared" ca="1" si="132"/>
        <v>imp</v>
      </c>
      <c r="M842" t="str">
        <f t="shared" ca="1" si="129"/>
        <v>MACH</v>
      </c>
      <c r="N842">
        <f t="shared" ca="1" si="130"/>
        <v>23.653131135251584</v>
      </c>
    </row>
    <row r="843" spans="6:14" x14ac:dyDescent="0.35">
      <c r="F843">
        <f t="shared" si="133"/>
        <v>12</v>
      </c>
      <c r="G843">
        <f t="shared" si="134"/>
        <v>16</v>
      </c>
      <c r="H843">
        <f t="shared" si="135"/>
        <v>1</v>
      </c>
      <c r="K843" t="str">
        <f t="shared" ca="1" si="131"/>
        <v>ELYGASWTR</v>
      </c>
      <c r="L843" t="str">
        <f t="shared" ca="1" si="132"/>
        <v>imp</v>
      </c>
      <c r="M843" t="str">
        <f t="shared" ca="1" si="129"/>
        <v>MACH</v>
      </c>
      <c r="N843">
        <f t="shared" ca="1" si="130"/>
        <v>1.5812640716657016E-7</v>
      </c>
    </row>
    <row r="844" spans="6:14" x14ac:dyDescent="0.35">
      <c r="F844">
        <f t="shared" si="133"/>
        <v>12</v>
      </c>
      <c r="G844">
        <f t="shared" si="134"/>
        <v>17</v>
      </c>
      <c r="H844">
        <f t="shared" si="135"/>
        <v>1</v>
      </c>
      <c r="K844" t="str">
        <f t="shared" ca="1" si="131"/>
        <v>CNS</v>
      </c>
      <c r="L844" t="str">
        <f t="shared" ca="1" si="132"/>
        <v>imp</v>
      </c>
      <c r="M844" t="str">
        <f t="shared" ca="1" si="129"/>
        <v>MACH</v>
      </c>
      <c r="N844">
        <f t="shared" ca="1" si="130"/>
        <v>4.6302367372753066</v>
      </c>
    </row>
    <row r="845" spans="6:14" x14ac:dyDescent="0.35">
      <c r="F845">
        <f t="shared" si="133"/>
        <v>12</v>
      </c>
      <c r="G845">
        <f t="shared" si="134"/>
        <v>18</v>
      </c>
      <c r="H845">
        <f t="shared" si="135"/>
        <v>1</v>
      </c>
      <c r="K845" t="str">
        <f t="shared" ca="1" si="131"/>
        <v>TRD</v>
      </c>
      <c r="L845" t="str">
        <f t="shared" ca="1" si="132"/>
        <v>imp</v>
      </c>
      <c r="M845" t="str">
        <f t="shared" ca="1" si="129"/>
        <v>MACH</v>
      </c>
      <c r="N845">
        <f t="shared" ca="1" si="130"/>
        <v>0.40511443300606276</v>
      </c>
    </row>
    <row r="846" spans="6:14" x14ac:dyDescent="0.35">
      <c r="F846">
        <f t="shared" si="133"/>
        <v>12</v>
      </c>
      <c r="G846">
        <f t="shared" si="134"/>
        <v>19</v>
      </c>
      <c r="H846">
        <f t="shared" si="135"/>
        <v>1</v>
      </c>
      <c r="K846" t="str">
        <f t="shared" ca="1" si="131"/>
        <v>AFS</v>
      </c>
      <c r="L846" t="str">
        <f t="shared" ca="1" si="132"/>
        <v>imp</v>
      </c>
      <c r="M846" t="str">
        <f t="shared" ca="1" si="129"/>
        <v>MACH</v>
      </c>
      <c r="N846">
        <f t="shared" ca="1" si="130"/>
        <v>1.5812640716657016E-7</v>
      </c>
    </row>
    <row r="847" spans="6:14" x14ac:dyDescent="0.35">
      <c r="F847">
        <f t="shared" si="133"/>
        <v>12</v>
      </c>
      <c r="G847">
        <f t="shared" si="134"/>
        <v>20</v>
      </c>
      <c r="H847">
        <f t="shared" si="135"/>
        <v>1</v>
      </c>
      <c r="K847" t="str">
        <f t="shared" ca="1" si="131"/>
        <v>OTP</v>
      </c>
      <c r="L847" t="str">
        <f t="shared" ca="1" si="132"/>
        <v>imp</v>
      </c>
      <c r="M847" t="str">
        <f t="shared" ca="1" si="129"/>
        <v>MACH</v>
      </c>
      <c r="N847">
        <f t="shared" ca="1" si="130"/>
        <v>1.5812640716657016E-7</v>
      </c>
    </row>
    <row r="848" spans="6:14" x14ac:dyDescent="0.35">
      <c r="F848">
        <f t="shared" si="133"/>
        <v>12</v>
      </c>
      <c r="G848">
        <f t="shared" si="134"/>
        <v>21</v>
      </c>
      <c r="H848">
        <f t="shared" si="135"/>
        <v>1</v>
      </c>
      <c r="K848" t="str">
        <f t="shared" ca="1" si="131"/>
        <v>WTP</v>
      </c>
      <c r="L848" t="str">
        <f t="shared" ca="1" si="132"/>
        <v>imp</v>
      </c>
      <c r="M848" t="str">
        <f t="shared" ca="1" si="129"/>
        <v>MACH</v>
      </c>
      <c r="N848">
        <f t="shared" ca="1" si="130"/>
        <v>1.5812640716657016E-7</v>
      </c>
    </row>
    <row r="849" spans="6:14" x14ac:dyDescent="0.35">
      <c r="F849">
        <f t="shared" si="133"/>
        <v>12</v>
      </c>
      <c r="G849">
        <f t="shared" si="134"/>
        <v>22</v>
      </c>
      <c r="H849">
        <f t="shared" si="135"/>
        <v>1</v>
      </c>
      <c r="K849" t="str">
        <f t="shared" ca="1" si="131"/>
        <v>ATP</v>
      </c>
      <c r="L849" t="str">
        <f t="shared" ca="1" si="132"/>
        <v>imp</v>
      </c>
      <c r="M849" t="str">
        <f t="shared" ca="1" si="129"/>
        <v>MACH</v>
      </c>
      <c r="N849">
        <f t="shared" ca="1" si="130"/>
        <v>1.5812640716657016E-7</v>
      </c>
    </row>
    <row r="850" spans="6:14" x14ac:dyDescent="0.35">
      <c r="F850">
        <f t="shared" si="133"/>
        <v>12</v>
      </c>
      <c r="G850">
        <f t="shared" si="134"/>
        <v>23</v>
      </c>
      <c r="H850">
        <f t="shared" si="135"/>
        <v>1</v>
      </c>
      <c r="K850" t="str">
        <f t="shared" ca="1" si="131"/>
        <v>WHS</v>
      </c>
      <c r="L850" t="str">
        <f t="shared" ca="1" si="132"/>
        <v>imp</v>
      </c>
      <c r="M850" t="str">
        <f t="shared" ca="1" si="129"/>
        <v>MACH</v>
      </c>
      <c r="N850">
        <f t="shared" ca="1" si="130"/>
        <v>1.5812640716657016E-7</v>
      </c>
    </row>
    <row r="851" spans="6:14" x14ac:dyDescent="0.35">
      <c r="F851">
        <f t="shared" si="133"/>
        <v>12</v>
      </c>
      <c r="G851">
        <f t="shared" si="134"/>
        <v>24</v>
      </c>
      <c r="H851">
        <f t="shared" si="135"/>
        <v>1</v>
      </c>
      <c r="K851" t="str">
        <f t="shared" ca="1" si="131"/>
        <v>CMN</v>
      </c>
      <c r="L851" t="str">
        <f t="shared" ca="1" si="132"/>
        <v>imp</v>
      </c>
      <c r="M851" t="str">
        <f t="shared" ca="1" si="129"/>
        <v>MACH</v>
      </c>
      <c r="N851">
        <f t="shared" ca="1" si="130"/>
        <v>1.5812640716657016E-7</v>
      </c>
    </row>
    <row r="852" spans="6:14" x14ac:dyDescent="0.35">
      <c r="F852">
        <f t="shared" si="133"/>
        <v>12</v>
      </c>
      <c r="G852">
        <f t="shared" si="134"/>
        <v>25</v>
      </c>
      <c r="H852">
        <f t="shared" si="135"/>
        <v>1</v>
      </c>
      <c r="K852" t="str">
        <f t="shared" ca="1" si="131"/>
        <v>OFI</v>
      </c>
      <c r="L852" t="str">
        <f t="shared" ca="1" si="132"/>
        <v>imp</v>
      </c>
      <c r="M852" t="str">
        <f t="shared" ca="1" si="129"/>
        <v>MACH</v>
      </c>
      <c r="N852">
        <f t="shared" ca="1" si="130"/>
        <v>1.5812640716657016E-7</v>
      </c>
    </row>
    <row r="853" spans="6:14" x14ac:dyDescent="0.35">
      <c r="F853">
        <f t="shared" ref="F853:F868" si="136">F787+1</f>
        <v>12</v>
      </c>
      <c r="G853">
        <f t="shared" si="134"/>
        <v>26</v>
      </c>
      <c r="H853">
        <f t="shared" si="135"/>
        <v>1</v>
      </c>
      <c r="K853" t="str">
        <f t="shared" ca="1" si="131"/>
        <v>RSA</v>
      </c>
      <c r="L853" t="str">
        <f t="shared" ca="1" si="132"/>
        <v>imp</v>
      </c>
      <c r="M853" t="str">
        <f t="shared" ca="1" si="129"/>
        <v>MACH</v>
      </c>
      <c r="N853">
        <f t="shared" ca="1" si="130"/>
        <v>1.5812640716657016E-7</v>
      </c>
    </row>
    <row r="854" spans="6:14" x14ac:dyDescent="0.35">
      <c r="F854">
        <f t="shared" si="136"/>
        <v>12</v>
      </c>
      <c r="G854">
        <f t="shared" si="134"/>
        <v>27</v>
      </c>
      <c r="H854">
        <f t="shared" si="135"/>
        <v>1</v>
      </c>
      <c r="K854" t="str">
        <f t="shared" ca="1" si="131"/>
        <v>OBS</v>
      </c>
      <c r="L854" t="str">
        <f t="shared" ca="1" si="132"/>
        <v>imp</v>
      </c>
      <c r="M854" t="str">
        <f t="shared" ca="1" si="129"/>
        <v>MACH</v>
      </c>
      <c r="N854">
        <f t="shared" ca="1" si="130"/>
        <v>1.5812640716657016E-7</v>
      </c>
    </row>
    <row r="855" spans="6:14" x14ac:dyDescent="0.35">
      <c r="F855">
        <f t="shared" si="136"/>
        <v>12</v>
      </c>
      <c r="G855">
        <f t="shared" si="134"/>
        <v>28</v>
      </c>
      <c r="H855">
        <f t="shared" si="135"/>
        <v>1</v>
      </c>
      <c r="K855" t="str">
        <f t="shared" ca="1" si="131"/>
        <v>GOV</v>
      </c>
      <c r="L855" t="str">
        <f t="shared" ca="1" si="132"/>
        <v>imp</v>
      </c>
      <c r="M855" t="str">
        <f t="shared" ca="1" si="129"/>
        <v>MACH</v>
      </c>
      <c r="N855">
        <f t="shared" ca="1" si="130"/>
        <v>1.5812640716657016E-7</v>
      </c>
    </row>
    <row r="856" spans="6:14" x14ac:dyDescent="0.35">
      <c r="F856">
        <f t="shared" si="136"/>
        <v>12</v>
      </c>
      <c r="G856">
        <f t="shared" si="134"/>
        <v>29</v>
      </c>
      <c r="H856">
        <f t="shared" si="135"/>
        <v>1</v>
      </c>
      <c r="K856" t="str">
        <f t="shared" ca="1" si="131"/>
        <v>EDU</v>
      </c>
      <c r="L856" t="str">
        <f t="shared" ca="1" si="132"/>
        <v>imp</v>
      </c>
      <c r="M856" t="str">
        <f t="shared" ca="1" si="129"/>
        <v>MACH</v>
      </c>
      <c r="N856">
        <f t="shared" ca="1" si="130"/>
        <v>1.5812640716657016E-7</v>
      </c>
    </row>
    <row r="857" spans="6:14" x14ac:dyDescent="0.35">
      <c r="F857">
        <f t="shared" si="136"/>
        <v>12</v>
      </c>
      <c r="G857">
        <f t="shared" si="134"/>
        <v>30</v>
      </c>
      <c r="H857">
        <f t="shared" si="135"/>
        <v>1</v>
      </c>
      <c r="K857" t="str">
        <f t="shared" ca="1" si="131"/>
        <v>HHT</v>
      </c>
      <c r="L857" t="str">
        <f t="shared" ca="1" si="132"/>
        <v>imp</v>
      </c>
      <c r="M857" t="str">
        <f t="shared" ca="1" si="129"/>
        <v>MACH</v>
      </c>
      <c r="N857">
        <f t="shared" ca="1" si="130"/>
        <v>1.5812640716657016E-7</v>
      </c>
    </row>
    <row r="858" spans="6:14" x14ac:dyDescent="0.35">
      <c r="F858">
        <f t="shared" si="136"/>
        <v>12</v>
      </c>
      <c r="G858">
        <f t="shared" si="134"/>
        <v>31</v>
      </c>
      <c r="H858">
        <f t="shared" si="135"/>
        <v>1</v>
      </c>
      <c r="K858" t="str">
        <f t="shared" ca="1" si="131"/>
        <v>REC</v>
      </c>
      <c r="L858" t="str">
        <f t="shared" ca="1" si="132"/>
        <v>imp</v>
      </c>
      <c r="M858" t="str">
        <f t="shared" ca="1" si="129"/>
        <v>MACH</v>
      </c>
      <c r="N858">
        <f t="shared" ca="1" si="130"/>
        <v>1.5812640716657016E-7</v>
      </c>
    </row>
    <row r="859" spans="6:14" x14ac:dyDescent="0.35">
      <c r="F859">
        <f t="shared" si="136"/>
        <v>12</v>
      </c>
      <c r="G859">
        <f t="shared" si="134"/>
        <v>32</v>
      </c>
      <c r="H859">
        <f t="shared" si="135"/>
        <v>1</v>
      </c>
      <c r="K859" t="str">
        <f t="shared" ca="1" si="131"/>
        <v>DWE</v>
      </c>
      <c r="L859" t="str">
        <f t="shared" ca="1" si="132"/>
        <v>imp</v>
      </c>
      <c r="M859" t="str">
        <f t="shared" ca="1" si="129"/>
        <v>MACH</v>
      </c>
      <c r="N859">
        <f t="shared" ca="1" si="130"/>
        <v>1.5812640716657016E-7</v>
      </c>
    </row>
    <row r="860" spans="6:14" x14ac:dyDescent="0.35">
      <c r="F860">
        <f t="shared" si="136"/>
        <v>13</v>
      </c>
      <c r="G860">
        <f t="shared" si="134"/>
        <v>0</v>
      </c>
      <c r="H860">
        <f t="shared" si="135"/>
        <v>0</v>
      </c>
      <c r="K860" t="str">
        <f t="shared" ca="1" si="131"/>
        <v>AG</v>
      </c>
      <c r="L860" t="str">
        <f t="shared" ca="1" si="132"/>
        <v>dom</v>
      </c>
      <c r="M860" t="str">
        <f t="shared" ca="1" si="129"/>
        <v>ELEC</v>
      </c>
      <c r="N860">
        <f t="shared" ca="1" si="130"/>
        <v>7.5837052427370807E-2</v>
      </c>
    </row>
    <row r="861" spans="6:14" x14ac:dyDescent="0.35">
      <c r="F861">
        <f t="shared" si="136"/>
        <v>13</v>
      </c>
      <c r="G861">
        <f t="shared" si="134"/>
        <v>1</v>
      </c>
      <c r="H861">
        <f t="shared" si="135"/>
        <v>0</v>
      </c>
      <c r="K861" t="str">
        <f t="shared" ca="1" si="131"/>
        <v>MIN</v>
      </c>
      <c r="L861" t="str">
        <f t="shared" ca="1" si="132"/>
        <v>dom</v>
      </c>
      <c r="M861" t="str">
        <f t="shared" ca="1" si="129"/>
        <v>ELEC</v>
      </c>
      <c r="N861">
        <f t="shared" ca="1" si="130"/>
        <v>0.13229145387910682</v>
      </c>
    </row>
    <row r="862" spans="6:14" x14ac:dyDescent="0.35">
      <c r="F862">
        <f t="shared" si="136"/>
        <v>13</v>
      </c>
      <c r="G862">
        <f t="shared" si="134"/>
        <v>2</v>
      </c>
      <c r="H862">
        <f t="shared" si="135"/>
        <v>0</v>
      </c>
      <c r="K862" t="str">
        <f t="shared" ca="1" si="131"/>
        <v>FBT</v>
      </c>
      <c r="L862" t="str">
        <f t="shared" ca="1" si="132"/>
        <v>dom</v>
      </c>
      <c r="M862" t="str">
        <f t="shared" ca="1" si="129"/>
        <v>ELEC</v>
      </c>
      <c r="N862">
        <f t="shared" ca="1" si="130"/>
        <v>0.22275087662319143</v>
      </c>
    </row>
    <row r="863" spans="6:14" x14ac:dyDescent="0.35">
      <c r="F863">
        <f t="shared" si="136"/>
        <v>13</v>
      </c>
      <c r="G863">
        <f t="shared" si="134"/>
        <v>3</v>
      </c>
      <c r="H863">
        <f t="shared" si="135"/>
        <v>0</v>
      </c>
      <c r="K863" t="str">
        <f t="shared" ca="1" si="131"/>
        <v>TEX</v>
      </c>
      <c r="L863" t="str">
        <f t="shared" ca="1" si="132"/>
        <v>dom</v>
      </c>
      <c r="M863" t="str">
        <f t="shared" ca="1" si="129"/>
        <v>ELEC</v>
      </c>
      <c r="N863">
        <f t="shared" ca="1" si="130"/>
        <v>1.1602765789173508</v>
      </c>
    </row>
    <row r="864" spans="6:14" x14ac:dyDescent="0.35">
      <c r="F864">
        <f t="shared" si="136"/>
        <v>13</v>
      </c>
      <c r="G864">
        <f t="shared" si="134"/>
        <v>4</v>
      </c>
      <c r="H864">
        <f t="shared" si="135"/>
        <v>0</v>
      </c>
      <c r="K864" t="str">
        <f t="shared" ca="1" si="131"/>
        <v>LEATHER</v>
      </c>
      <c r="L864" t="str">
        <f t="shared" ca="1" si="132"/>
        <v>dom</v>
      </c>
      <c r="M864" t="str">
        <f t="shared" ca="1" si="129"/>
        <v>ELEC</v>
      </c>
      <c r="N864">
        <f t="shared" ca="1" si="130"/>
        <v>8.2331115980381776E-3</v>
      </c>
    </row>
    <row r="865" spans="6:14" x14ac:dyDescent="0.35">
      <c r="F865">
        <f t="shared" si="136"/>
        <v>13</v>
      </c>
      <c r="G865">
        <f t="shared" si="134"/>
        <v>5</v>
      </c>
      <c r="H865">
        <f t="shared" si="135"/>
        <v>0</v>
      </c>
      <c r="K865" t="str">
        <f t="shared" ca="1" si="131"/>
        <v>WOOD</v>
      </c>
      <c r="L865" t="str">
        <f t="shared" ca="1" si="132"/>
        <v>dom</v>
      </c>
      <c r="M865" t="str">
        <f t="shared" ca="1" si="129"/>
        <v>ELEC</v>
      </c>
      <c r="N865">
        <f t="shared" ca="1" si="130"/>
        <v>5.0682360279235374E-2</v>
      </c>
    </row>
    <row r="866" spans="6:14" x14ac:dyDescent="0.35">
      <c r="F866">
        <f t="shared" si="136"/>
        <v>13</v>
      </c>
      <c r="G866">
        <f t="shared" si="134"/>
        <v>6</v>
      </c>
      <c r="H866">
        <f t="shared" si="135"/>
        <v>0</v>
      </c>
      <c r="K866" t="str">
        <f t="shared" ca="1" si="131"/>
        <v>PPP</v>
      </c>
      <c r="L866" t="str">
        <f t="shared" ca="1" si="132"/>
        <v>dom</v>
      </c>
      <c r="M866" t="str">
        <f t="shared" ca="1" si="129"/>
        <v>ELEC</v>
      </c>
      <c r="N866">
        <f t="shared" ca="1" si="130"/>
        <v>1.0144368244296116</v>
      </c>
    </row>
    <row r="867" spans="6:14" x14ac:dyDescent="0.35">
      <c r="F867">
        <f t="shared" si="136"/>
        <v>13</v>
      </c>
      <c r="G867">
        <f t="shared" si="134"/>
        <v>7</v>
      </c>
      <c r="H867">
        <f t="shared" si="135"/>
        <v>0</v>
      </c>
      <c r="K867" t="str">
        <f t="shared" ca="1" si="131"/>
        <v>PC</v>
      </c>
      <c r="L867" t="str">
        <f t="shared" ca="1" si="132"/>
        <v>dom</v>
      </c>
      <c r="M867" t="str">
        <f t="shared" ca="1" si="129"/>
        <v>ELEC</v>
      </c>
      <c r="N867">
        <f t="shared" ca="1" si="130"/>
        <v>0.1545806337724355</v>
      </c>
    </row>
    <row r="868" spans="6:14" x14ac:dyDescent="0.35">
      <c r="F868">
        <f t="shared" si="136"/>
        <v>13</v>
      </c>
      <c r="G868">
        <f t="shared" si="134"/>
        <v>8</v>
      </c>
      <c r="H868">
        <f t="shared" si="135"/>
        <v>0</v>
      </c>
      <c r="K868" t="str">
        <f t="shared" ca="1" si="131"/>
        <v>CHM</v>
      </c>
      <c r="L868" t="str">
        <f t="shared" ca="1" si="132"/>
        <v>dom</v>
      </c>
      <c r="M868" t="str">
        <f t="shared" ca="1" si="129"/>
        <v>ELEC</v>
      </c>
      <c r="N868">
        <f t="shared" ca="1" si="130"/>
        <v>0.96260461749538972</v>
      </c>
    </row>
    <row r="869" spans="6:14" x14ac:dyDescent="0.35">
      <c r="F869">
        <f t="shared" ref="F869:F884" si="137">F803+1</f>
        <v>13</v>
      </c>
      <c r="G869">
        <f t="shared" si="134"/>
        <v>9</v>
      </c>
      <c r="H869">
        <f t="shared" si="135"/>
        <v>0</v>
      </c>
      <c r="K869" t="str">
        <f t="shared" ca="1" si="131"/>
        <v>RUBBER</v>
      </c>
      <c r="L869" t="str">
        <f t="shared" ca="1" si="132"/>
        <v>dom</v>
      </c>
      <c r="M869" t="str">
        <f t="shared" ca="1" si="129"/>
        <v>ELEC</v>
      </c>
      <c r="N869">
        <f t="shared" ca="1" si="130"/>
        <v>1.5068646429395613</v>
      </c>
    </row>
    <row r="870" spans="6:14" x14ac:dyDescent="0.35">
      <c r="F870">
        <f t="shared" si="137"/>
        <v>13</v>
      </c>
      <c r="G870">
        <f t="shared" si="134"/>
        <v>10</v>
      </c>
      <c r="H870">
        <f t="shared" si="135"/>
        <v>0</v>
      </c>
      <c r="K870" t="str">
        <f t="shared" ca="1" si="131"/>
        <v>NMM</v>
      </c>
      <c r="L870" t="str">
        <f t="shared" ca="1" si="132"/>
        <v>dom</v>
      </c>
      <c r="M870" t="str">
        <f t="shared" ca="1" si="129"/>
        <v>ELEC</v>
      </c>
      <c r="N870">
        <f t="shared" ca="1" si="130"/>
        <v>1.3959228004336621</v>
      </c>
    </row>
    <row r="871" spans="6:14" x14ac:dyDescent="0.35">
      <c r="F871">
        <f t="shared" si="137"/>
        <v>13</v>
      </c>
      <c r="G871">
        <f t="shared" si="134"/>
        <v>11</v>
      </c>
      <c r="H871">
        <f t="shared" si="135"/>
        <v>0</v>
      </c>
      <c r="K871" t="str">
        <f t="shared" ca="1" si="131"/>
        <v>METAL</v>
      </c>
      <c r="L871" t="str">
        <f t="shared" ca="1" si="132"/>
        <v>dom</v>
      </c>
      <c r="M871" t="str">
        <f t="shared" ca="1" si="129"/>
        <v>ELEC</v>
      </c>
      <c r="N871">
        <f t="shared" ca="1" si="130"/>
        <v>4.0828326334055429</v>
      </c>
    </row>
    <row r="872" spans="6:14" x14ac:dyDescent="0.35">
      <c r="F872">
        <f t="shared" si="137"/>
        <v>13</v>
      </c>
      <c r="G872">
        <f t="shared" si="134"/>
        <v>12</v>
      </c>
      <c r="H872">
        <f t="shared" si="135"/>
        <v>0</v>
      </c>
      <c r="K872" t="str">
        <f t="shared" ca="1" si="131"/>
        <v>MACH</v>
      </c>
      <c r="L872" t="str">
        <f t="shared" ca="1" si="132"/>
        <v>dom</v>
      </c>
      <c r="M872" t="str">
        <f t="shared" ca="1" si="129"/>
        <v>ELEC</v>
      </c>
      <c r="N872">
        <f t="shared" ca="1" si="130"/>
        <v>5.9095783711326124</v>
      </c>
    </row>
    <row r="873" spans="6:14" x14ac:dyDescent="0.35">
      <c r="F873">
        <f t="shared" si="137"/>
        <v>13</v>
      </c>
      <c r="G873">
        <f t="shared" si="134"/>
        <v>13</v>
      </c>
      <c r="H873">
        <f t="shared" si="135"/>
        <v>0</v>
      </c>
      <c r="K873" t="str">
        <f t="shared" ca="1" si="131"/>
        <v>ELEC</v>
      </c>
      <c r="L873" t="str">
        <f t="shared" ca="1" si="132"/>
        <v>dom</v>
      </c>
      <c r="M873" t="str">
        <f t="shared" ca="1" si="129"/>
        <v>ELEC</v>
      </c>
      <c r="N873">
        <f t="shared" ca="1" si="130"/>
        <v>1.2293206092138709</v>
      </c>
    </row>
    <row r="874" spans="6:14" x14ac:dyDescent="0.35">
      <c r="F874">
        <f t="shared" si="137"/>
        <v>13</v>
      </c>
      <c r="G874">
        <f t="shared" si="134"/>
        <v>14</v>
      </c>
      <c r="H874">
        <f t="shared" si="135"/>
        <v>0</v>
      </c>
      <c r="K874" t="str">
        <f t="shared" ca="1" si="131"/>
        <v>TRNEQUIP</v>
      </c>
      <c r="L874" t="str">
        <f t="shared" ca="1" si="132"/>
        <v>dom</v>
      </c>
      <c r="M874" t="str">
        <f t="shared" ca="1" si="129"/>
        <v>ELEC</v>
      </c>
      <c r="N874">
        <f t="shared" ca="1" si="130"/>
        <v>1.7757633603128076</v>
      </c>
    </row>
    <row r="875" spans="6:14" x14ac:dyDescent="0.35">
      <c r="F875">
        <f t="shared" si="137"/>
        <v>13</v>
      </c>
      <c r="G875">
        <f t="shared" si="134"/>
        <v>15</v>
      </c>
      <c r="H875">
        <f t="shared" si="135"/>
        <v>0</v>
      </c>
      <c r="K875" t="str">
        <f t="shared" ca="1" si="131"/>
        <v>ROMAN</v>
      </c>
      <c r="L875" t="str">
        <f t="shared" ca="1" si="132"/>
        <v>dom</v>
      </c>
      <c r="M875" t="str">
        <f t="shared" ca="1" si="129"/>
        <v>ELEC</v>
      </c>
      <c r="N875">
        <f t="shared" ca="1" si="130"/>
        <v>4.8352883300876206</v>
      </c>
    </row>
    <row r="876" spans="6:14" x14ac:dyDescent="0.35">
      <c r="F876">
        <f t="shared" si="137"/>
        <v>13</v>
      </c>
      <c r="G876">
        <f t="shared" si="134"/>
        <v>16</v>
      </c>
      <c r="H876">
        <f t="shared" si="135"/>
        <v>0</v>
      </c>
      <c r="K876" t="str">
        <f t="shared" ca="1" si="131"/>
        <v>ELYGASWTR</v>
      </c>
      <c r="L876" t="str">
        <f t="shared" ca="1" si="132"/>
        <v>dom</v>
      </c>
      <c r="M876" t="str">
        <f t="shared" ca="1" si="129"/>
        <v>ELEC</v>
      </c>
      <c r="N876">
        <f t="shared" ca="1" si="130"/>
        <v>1.103380735198143E-7</v>
      </c>
    </row>
    <row r="877" spans="6:14" x14ac:dyDescent="0.35">
      <c r="F877">
        <f t="shared" si="137"/>
        <v>13</v>
      </c>
      <c r="G877">
        <f t="shared" si="134"/>
        <v>17</v>
      </c>
      <c r="H877">
        <f t="shared" si="135"/>
        <v>0</v>
      </c>
      <c r="K877" t="str">
        <f t="shared" ca="1" si="131"/>
        <v>CNS</v>
      </c>
      <c r="L877" t="str">
        <f t="shared" ca="1" si="132"/>
        <v>dom</v>
      </c>
      <c r="M877" t="str">
        <f t="shared" ca="1" si="129"/>
        <v>ELEC</v>
      </c>
      <c r="N877">
        <f t="shared" ca="1" si="130"/>
        <v>160.62073397380249</v>
      </c>
    </row>
    <row r="878" spans="6:14" x14ac:dyDescent="0.35">
      <c r="F878">
        <f t="shared" si="137"/>
        <v>13</v>
      </c>
      <c r="G878">
        <f t="shared" si="134"/>
        <v>18</v>
      </c>
      <c r="H878">
        <f t="shared" si="135"/>
        <v>0</v>
      </c>
      <c r="K878" t="str">
        <f t="shared" ca="1" si="131"/>
        <v>TRD</v>
      </c>
      <c r="L878" t="str">
        <f t="shared" ca="1" si="132"/>
        <v>dom</v>
      </c>
      <c r="M878" t="str">
        <f t="shared" ca="1" si="129"/>
        <v>ELEC</v>
      </c>
      <c r="N878">
        <f t="shared" ca="1" si="130"/>
        <v>25.682184494576049</v>
      </c>
    </row>
    <row r="879" spans="6:14" x14ac:dyDescent="0.35">
      <c r="F879">
        <f t="shared" si="137"/>
        <v>13</v>
      </c>
      <c r="G879">
        <f t="shared" si="134"/>
        <v>19</v>
      </c>
      <c r="H879">
        <f t="shared" si="135"/>
        <v>0</v>
      </c>
      <c r="K879" t="str">
        <f t="shared" ca="1" si="131"/>
        <v>AFS</v>
      </c>
      <c r="L879" t="str">
        <f t="shared" ca="1" si="132"/>
        <v>dom</v>
      </c>
      <c r="M879" t="str">
        <f t="shared" ca="1" si="129"/>
        <v>ELEC</v>
      </c>
      <c r="N879">
        <f t="shared" ca="1" si="130"/>
        <v>1.103380735198143E-7</v>
      </c>
    </row>
    <row r="880" spans="6:14" x14ac:dyDescent="0.35">
      <c r="F880">
        <f t="shared" si="137"/>
        <v>13</v>
      </c>
      <c r="G880">
        <f t="shared" si="134"/>
        <v>20</v>
      </c>
      <c r="H880">
        <f t="shared" si="135"/>
        <v>0</v>
      </c>
      <c r="K880" t="str">
        <f t="shared" ca="1" si="131"/>
        <v>OTP</v>
      </c>
      <c r="L880" t="str">
        <f t="shared" ca="1" si="132"/>
        <v>dom</v>
      </c>
      <c r="M880" t="str">
        <f t="shared" ca="1" si="129"/>
        <v>ELEC</v>
      </c>
      <c r="N880">
        <f t="shared" ca="1" si="130"/>
        <v>1.103380735198143E-7</v>
      </c>
    </row>
    <row r="881" spans="6:14" x14ac:dyDescent="0.35">
      <c r="F881">
        <f t="shared" si="137"/>
        <v>13</v>
      </c>
      <c r="G881">
        <f t="shared" si="134"/>
        <v>21</v>
      </c>
      <c r="H881">
        <f t="shared" si="135"/>
        <v>0</v>
      </c>
      <c r="K881" t="str">
        <f t="shared" ca="1" si="131"/>
        <v>WTP</v>
      </c>
      <c r="L881" t="str">
        <f t="shared" ca="1" si="132"/>
        <v>dom</v>
      </c>
      <c r="M881" t="str">
        <f t="shared" ca="1" si="129"/>
        <v>ELEC</v>
      </c>
      <c r="N881">
        <f t="shared" ca="1" si="130"/>
        <v>1.103380735198143E-7</v>
      </c>
    </row>
    <row r="882" spans="6:14" x14ac:dyDescent="0.35">
      <c r="F882">
        <f t="shared" si="137"/>
        <v>13</v>
      </c>
      <c r="G882">
        <f t="shared" si="134"/>
        <v>22</v>
      </c>
      <c r="H882">
        <f t="shared" si="135"/>
        <v>0</v>
      </c>
      <c r="K882" t="str">
        <f t="shared" ca="1" si="131"/>
        <v>ATP</v>
      </c>
      <c r="L882" t="str">
        <f t="shared" ca="1" si="132"/>
        <v>dom</v>
      </c>
      <c r="M882" t="str">
        <f t="shared" ca="1" si="129"/>
        <v>ELEC</v>
      </c>
      <c r="N882">
        <f t="shared" ca="1" si="130"/>
        <v>1.103380735198143E-7</v>
      </c>
    </row>
    <row r="883" spans="6:14" x14ac:dyDescent="0.35">
      <c r="F883">
        <f t="shared" si="137"/>
        <v>13</v>
      </c>
      <c r="G883">
        <f t="shared" si="134"/>
        <v>23</v>
      </c>
      <c r="H883">
        <f t="shared" si="135"/>
        <v>0</v>
      </c>
      <c r="K883" t="str">
        <f t="shared" ca="1" si="131"/>
        <v>WHS</v>
      </c>
      <c r="L883" t="str">
        <f t="shared" ca="1" si="132"/>
        <v>dom</v>
      </c>
      <c r="M883" t="str">
        <f t="shared" ca="1" si="129"/>
        <v>ELEC</v>
      </c>
      <c r="N883">
        <f t="shared" ca="1" si="130"/>
        <v>1.103380735198143E-7</v>
      </c>
    </row>
    <row r="884" spans="6:14" x14ac:dyDescent="0.35">
      <c r="F884">
        <f t="shared" si="137"/>
        <v>13</v>
      </c>
      <c r="G884">
        <f t="shared" si="134"/>
        <v>24</v>
      </c>
      <c r="H884">
        <f t="shared" si="135"/>
        <v>0</v>
      </c>
      <c r="K884" t="str">
        <f t="shared" ca="1" si="131"/>
        <v>CMN</v>
      </c>
      <c r="L884" t="str">
        <f t="shared" ca="1" si="132"/>
        <v>dom</v>
      </c>
      <c r="M884" t="str">
        <f t="shared" ca="1" si="129"/>
        <v>ELEC</v>
      </c>
      <c r="N884">
        <f t="shared" ca="1" si="130"/>
        <v>1.103380735198143E-7</v>
      </c>
    </row>
    <row r="885" spans="6:14" x14ac:dyDescent="0.35">
      <c r="F885">
        <f t="shared" ref="F885:F900" si="138">F819+1</f>
        <v>13</v>
      </c>
      <c r="G885">
        <f t="shared" si="134"/>
        <v>25</v>
      </c>
      <c r="H885">
        <f t="shared" si="135"/>
        <v>0</v>
      </c>
      <c r="K885" t="str">
        <f t="shared" ca="1" si="131"/>
        <v>OFI</v>
      </c>
      <c r="L885" t="str">
        <f t="shared" ca="1" si="132"/>
        <v>dom</v>
      </c>
      <c r="M885" t="str">
        <f t="shared" ca="1" si="129"/>
        <v>ELEC</v>
      </c>
      <c r="N885">
        <f t="shared" ca="1" si="130"/>
        <v>1.103380735198143E-7</v>
      </c>
    </row>
    <row r="886" spans="6:14" x14ac:dyDescent="0.35">
      <c r="F886">
        <f t="shared" si="138"/>
        <v>13</v>
      </c>
      <c r="G886">
        <f t="shared" si="134"/>
        <v>26</v>
      </c>
      <c r="H886">
        <f t="shared" si="135"/>
        <v>0</v>
      </c>
      <c r="K886" t="str">
        <f t="shared" ca="1" si="131"/>
        <v>RSA</v>
      </c>
      <c r="L886" t="str">
        <f t="shared" ca="1" si="132"/>
        <v>dom</v>
      </c>
      <c r="M886" t="str">
        <f t="shared" ca="1" si="129"/>
        <v>ELEC</v>
      </c>
      <c r="N886">
        <f t="shared" ca="1" si="130"/>
        <v>1.103380735198143E-7</v>
      </c>
    </row>
    <row r="887" spans="6:14" x14ac:dyDescent="0.35">
      <c r="F887">
        <f t="shared" si="138"/>
        <v>13</v>
      </c>
      <c r="G887">
        <f t="shared" si="134"/>
        <v>27</v>
      </c>
      <c r="H887">
        <f t="shared" si="135"/>
        <v>0</v>
      </c>
      <c r="K887" t="str">
        <f t="shared" ca="1" si="131"/>
        <v>OBS</v>
      </c>
      <c r="L887" t="str">
        <f t="shared" ca="1" si="132"/>
        <v>dom</v>
      </c>
      <c r="M887" t="str">
        <f t="shared" ca="1" si="129"/>
        <v>ELEC</v>
      </c>
      <c r="N887">
        <f t="shared" ca="1" si="130"/>
        <v>1.103380735198143E-7</v>
      </c>
    </row>
    <row r="888" spans="6:14" x14ac:dyDescent="0.35">
      <c r="F888">
        <f t="shared" si="138"/>
        <v>13</v>
      </c>
      <c r="G888">
        <f t="shared" si="134"/>
        <v>28</v>
      </c>
      <c r="H888">
        <f t="shared" si="135"/>
        <v>0</v>
      </c>
      <c r="K888" t="str">
        <f t="shared" ca="1" si="131"/>
        <v>GOV</v>
      </c>
      <c r="L888" t="str">
        <f t="shared" ca="1" si="132"/>
        <v>dom</v>
      </c>
      <c r="M888" t="str">
        <f t="shared" ca="1" si="129"/>
        <v>ELEC</v>
      </c>
      <c r="N888">
        <f t="shared" ca="1" si="130"/>
        <v>1.103380735198143E-7</v>
      </c>
    </row>
    <row r="889" spans="6:14" x14ac:dyDescent="0.35">
      <c r="F889">
        <f t="shared" si="138"/>
        <v>13</v>
      </c>
      <c r="G889">
        <f t="shared" si="134"/>
        <v>29</v>
      </c>
      <c r="H889">
        <f t="shared" si="135"/>
        <v>0</v>
      </c>
      <c r="K889" t="str">
        <f t="shared" ca="1" si="131"/>
        <v>EDU</v>
      </c>
      <c r="L889" t="str">
        <f t="shared" ca="1" si="132"/>
        <v>dom</v>
      </c>
      <c r="M889" t="str">
        <f t="shared" ca="1" si="129"/>
        <v>ELEC</v>
      </c>
      <c r="N889">
        <f t="shared" ca="1" si="130"/>
        <v>1.103380735198143E-7</v>
      </c>
    </row>
    <row r="890" spans="6:14" x14ac:dyDescent="0.35">
      <c r="F890">
        <f t="shared" si="138"/>
        <v>13</v>
      </c>
      <c r="G890">
        <f t="shared" si="134"/>
        <v>30</v>
      </c>
      <c r="H890">
        <f t="shared" si="135"/>
        <v>0</v>
      </c>
      <c r="K890" t="str">
        <f t="shared" ca="1" si="131"/>
        <v>HHT</v>
      </c>
      <c r="L890" t="str">
        <f t="shared" ca="1" si="132"/>
        <v>dom</v>
      </c>
      <c r="M890" t="str">
        <f t="shared" ca="1" si="129"/>
        <v>ELEC</v>
      </c>
      <c r="N890">
        <f t="shared" ca="1" si="130"/>
        <v>1.103380735198143E-7</v>
      </c>
    </row>
    <row r="891" spans="6:14" x14ac:dyDescent="0.35">
      <c r="F891">
        <f t="shared" si="138"/>
        <v>13</v>
      </c>
      <c r="G891">
        <f t="shared" si="134"/>
        <v>31</v>
      </c>
      <c r="H891">
        <f t="shared" si="135"/>
        <v>0</v>
      </c>
      <c r="K891" t="str">
        <f t="shared" ca="1" si="131"/>
        <v>REC</v>
      </c>
      <c r="L891" t="str">
        <f t="shared" ca="1" si="132"/>
        <v>dom</v>
      </c>
      <c r="M891" t="str">
        <f t="shared" ca="1" si="129"/>
        <v>ELEC</v>
      </c>
      <c r="N891">
        <f t="shared" ca="1" si="130"/>
        <v>1.103380735198143E-7</v>
      </c>
    </row>
    <row r="892" spans="6:14" x14ac:dyDescent="0.35">
      <c r="F892">
        <f t="shared" si="138"/>
        <v>13</v>
      </c>
      <c r="G892">
        <f t="shared" si="134"/>
        <v>32</v>
      </c>
      <c r="H892">
        <f t="shared" si="135"/>
        <v>0</v>
      </c>
      <c r="K892" t="str">
        <f t="shared" ca="1" si="131"/>
        <v>DWE</v>
      </c>
      <c r="L892" t="str">
        <f t="shared" ca="1" si="132"/>
        <v>dom</v>
      </c>
      <c r="M892" t="str">
        <f t="shared" ca="1" si="129"/>
        <v>ELEC</v>
      </c>
      <c r="N892">
        <f t="shared" ca="1" si="130"/>
        <v>1.103380735198143E-7</v>
      </c>
    </row>
    <row r="893" spans="6:14" x14ac:dyDescent="0.35">
      <c r="F893">
        <f t="shared" si="138"/>
        <v>13</v>
      </c>
      <c r="G893">
        <f t="shared" si="134"/>
        <v>0</v>
      </c>
      <c r="H893">
        <f t="shared" si="135"/>
        <v>1</v>
      </c>
      <c r="K893" t="str">
        <f t="shared" ca="1" si="131"/>
        <v>AG</v>
      </c>
      <c r="L893" t="str">
        <f t="shared" ca="1" si="132"/>
        <v>imp</v>
      </c>
      <c r="M893" t="str">
        <f t="shared" ca="1" si="129"/>
        <v>ELEC</v>
      </c>
      <c r="N893">
        <f t="shared" ca="1" si="130"/>
        <v>1.0208284413121249</v>
      </c>
    </row>
    <row r="894" spans="6:14" x14ac:dyDescent="0.35">
      <c r="F894">
        <f t="shared" si="138"/>
        <v>13</v>
      </c>
      <c r="G894">
        <f t="shared" si="134"/>
        <v>1</v>
      </c>
      <c r="H894">
        <f t="shared" si="135"/>
        <v>1</v>
      </c>
      <c r="K894" t="str">
        <f t="shared" ca="1" si="131"/>
        <v>MIN</v>
      </c>
      <c r="L894" t="str">
        <f t="shared" ca="1" si="132"/>
        <v>imp</v>
      </c>
      <c r="M894" t="str">
        <f t="shared" ca="1" si="129"/>
        <v>ELEC</v>
      </c>
      <c r="N894">
        <f t="shared" ca="1" si="130"/>
        <v>1.6104912992609501</v>
      </c>
    </row>
    <row r="895" spans="6:14" x14ac:dyDescent="0.35">
      <c r="F895">
        <f t="shared" si="138"/>
        <v>13</v>
      </c>
      <c r="G895">
        <f t="shared" si="134"/>
        <v>2</v>
      </c>
      <c r="H895">
        <f t="shared" si="135"/>
        <v>1</v>
      </c>
      <c r="K895" t="str">
        <f t="shared" ca="1" si="131"/>
        <v>FBT</v>
      </c>
      <c r="L895" t="str">
        <f t="shared" ca="1" si="132"/>
        <v>imp</v>
      </c>
      <c r="M895" t="str">
        <f t="shared" ca="1" si="129"/>
        <v>ELEC</v>
      </c>
      <c r="N895">
        <f t="shared" ca="1" si="130"/>
        <v>0.40299432208808295</v>
      </c>
    </row>
    <row r="896" spans="6:14" x14ac:dyDescent="0.35">
      <c r="F896">
        <f t="shared" si="138"/>
        <v>13</v>
      </c>
      <c r="G896">
        <f t="shared" si="134"/>
        <v>3</v>
      </c>
      <c r="H896">
        <f t="shared" si="135"/>
        <v>1</v>
      </c>
      <c r="K896" t="str">
        <f t="shared" ca="1" si="131"/>
        <v>TEX</v>
      </c>
      <c r="L896" t="str">
        <f t="shared" ca="1" si="132"/>
        <v>imp</v>
      </c>
      <c r="M896" t="str">
        <f t="shared" ca="1" si="129"/>
        <v>ELEC</v>
      </c>
      <c r="N896">
        <f t="shared" ca="1" si="130"/>
        <v>7.9083669924373998</v>
      </c>
    </row>
    <row r="897" spans="6:14" x14ac:dyDescent="0.35">
      <c r="F897">
        <f t="shared" si="138"/>
        <v>13</v>
      </c>
      <c r="G897">
        <f t="shared" si="134"/>
        <v>4</v>
      </c>
      <c r="H897">
        <f t="shared" si="135"/>
        <v>1</v>
      </c>
      <c r="K897" t="str">
        <f t="shared" ca="1" si="131"/>
        <v>LEATHER</v>
      </c>
      <c r="L897" t="str">
        <f t="shared" ca="1" si="132"/>
        <v>imp</v>
      </c>
      <c r="M897" t="str">
        <f t="shared" ca="1" si="129"/>
        <v>ELEC</v>
      </c>
      <c r="N897">
        <f t="shared" ca="1" si="130"/>
        <v>4.1215994974253531</v>
      </c>
    </row>
    <row r="898" spans="6:14" x14ac:dyDescent="0.35">
      <c r="F898">
        <f t="shared" si="138"/>
        <v>13</v>
      </c>
      <c r="G898">
        <f t="shared" si="134"/>
        <v>5</v>
      </c>
      <c r="H898">
        <f t="shared" si="135"/>
        <v>1</v>
      </c>
      <c r="K898" t="str">
        <f t="shared" ca="1" si="131"/>
        <v>WOOD</v>
      </c>
      <c r="L898" t="str">
        <f t="shared" ca="1" si="132"/>
        <v>imp</v>
      </c>
      <c r="M898" t="str">
        <f t="shared" ref="M898:M961" ca="1" si="139">OFFSET(A$2,F898,0)</f>
        <v>ELEC</v>
      </c>
      <c r="N898">
        <f t="shared" ref="N898:N961" ca="1" si="140">SUMIFS(C:C,A:A,K898,B:B,L898)*SUMIFS(U:U,S:S,M898)</f>
        <v>7.3773615052564481E-2</v>
      </c>
    </row>
    <row r="899" spans="6:14" x14ac:dyDescent="0.35">
      <c r="F899">
        <f t="shared" si="138"/>
        <v>13</v>
      </c>
      <c r="G899">
        <f t="shared" si="134"/>
        <v>6</v>
      </c>
      <c r="H899">
        <f t="shared" si="135"/>
        <v>1</v>
      </c>
      <c r="K899" t="str">
        <f t="shared" ref="K899:K962" ca="1" si="141">OFFSET(A$2,G899,0)</f>
        <v>PPP</v>
      </c>
      <c r="L899" t="str">
        <f t="shared" ref="L899:L962" ca="1" si="142">OFFSET($V$3,H899,0)</f>
        <v>imp</v>
      </c>
      <c r="M899" t="str">
        <f t="shared" ca="1" si="139"/>
        <v>ELEC</v>
      </c>
      <c r="N899">
        <f t="shared" ca="1" si="140"/>
        <v>1.0623326127430037</v>
      </c>
    </row>
    <row r="900" spans="6:14" x14ac:dyDescent="0.35">
      <c r="F900">
        <f t="shared" si="138"/>
        <v>13</v>
      </c>
      <c r="G900">
        <f t="shared" si="134"/>
        <v>7</v>
      </c>
      <c r="H900">
        <f t="shared" si="135"/>
        <v>1</v>
      </c>
      <c r="K900" t="str">
        <f t="shared" ca="1" si="141"/>
        <v>PC</v>
      </c>
      <c r="L900" t="str">
        <f t="shared" ca="1" si="142"/>
        <v>imp</v>
      </c>
      <c r="M900" t="str">
        <f t="shared" ca="1" si="139"/>
        <v>ELEC</v>
      </c>
      <c r="N900">
        <f t="shared" ca="1" si="140"/>
        <v>0.26750784375516584</v>
      </c>
    </row>
    <row r="901" spans="6:14" x14ac:dyDescent="0.35">
      <c r="F901">
        <f t="shared" ref="F901:F916" si="143">F835+1</f>
        <v>13</v>
      </c>
      <c r="G901">
        <f t="shared" ref="G901:G964" si="144">G868</f>
        <v>8</v>
      </c>
      <c r="H901">
        <f t="shared" ref="H901:H964" si="145">H835</f>
        <v>1</v>
      </c>
      <c r="K901" t="str">
        <f t="shared" ca="1" si="141"/>
        <v>CHM</v>
      </c>
      <c r="L901" t="str">
        <f t="shared" ca="1" si="142"/>
        <v>imp</v>
      </c>
      <c r="M901" t="str">
        <f t="shared" ca="1" si="139"/>
        <v>ELEC</v>
      </c>
      <c r="N901">
        <f t="shared" ca="1" si="140"/>
        <v>3.6670858785813012</v>
      </c>
    </row>
    <row r="902" spans="6:14" x14ac:dyDescent="0.35">
      <c r="F902">
        <f t="shared" si="143"/>
        <v>13</v>
      </c>
      <c r="G902">
        <f t="shared" si="144"/>
        <v>9</v>
      </c>
      <c r="H902">
        <f t="shared" si="145"/>
        <v>1</v>
      </c>
      <c r="K902" t="str">
        <f t="shared" ca="1" si="141"/>
        <v>RUBBER</v>
      </c>
      <c r="L902" t="str">
        <f t="shared" ca="1" si="142"/>
        <v>imp</v>
      </c>
      <c r="M902" t="str">
        <f t="shared" ca="1" si="139"/>
        <v>ELEC</v>
      </c>
      <c r="N902">
        <f t="shared" ca="1" si="140"/>
        <v>2.80850037661651</v>
      </c>
    </row>
    <row r="903" spans="6:14" x14ac:dyDescent="0.35">
      <c r="F903">
        <f t="shared" si="143"/>
        <v>13</v>
      </c>
      <c r="G903">
        <f t="shared" si="144"/>
        <v>10</v>
      </c>
      <c r="H903">
        <f t="shared" si="145"/>
        <v>1</v>
      </c>
      <c r="K903" t="str">
        <f t="shared" ca="1" si="141"/>
        <v>NMM</v>
      </c>
      <c r="L903" t="str">
        <f t="shared" ca="1" si="142"/>
        <v>imp</v>
      </c>
      <c r="M903" t="str">
        <f t="shared" ca="1" si="139"/>
        <v>ELEC</v>
      </c>
      <c r="N903">
        <f t="shared" ca="1" si="140"/>
        <v>1.0601734388249098</v>
      </c>
    </row>
    <row r="904" spans="6:14" x14ac:dyDescent="0.35">
      <c r="F904">
        <f t="shared" si="143"/>
        <v>13</v>
      </c>
      <c r="G904">
        <f t="shared" si="144"/>
        <v>11</v>
      </c>
      <c r="H904">
        <f t="shared" si="145"/>
        <v>1</v>
      </c>
      <c r="K904" t="str">
        <f t="shared" ca="1" si="141"/>
        <v>METAL</v>
      </c>
      <c r="L904" t="str">
        <f t="shared" ca="1" si="142"/>
        <v>imp</v>
      </c>
      <c r="M904" t="str">
        <f t="shared" ca="1" si="139"/>
        <v>ELEC</v>
      </c>
      <c r="N904">
        <f t="shared" ca="1" si="140"/>
        <v>13.270336963438087</v>
      </c>
    </row>
    <row r="905" spans="6:14" x14ac:dyDescent="0.35">
      <c r="F905">
        <f t="shared" si="143"/>
        <v>13</v>
      </c>
      <c r="G905">
        <f t="shared" si="144"/>
        <v>12</v>
      </c>
      <c r="H905">
        <f t="shared" si="145"/>
        <v>1</v>
      </c>
      <c r="K905" t="str">
        <f t="shared" ca="1" si="141"/>
        <v>MACH</v>
      </c>
      <c r="L905" t="str">
        <f t="shared" ca="1" si="142"/>
        <v>imp</v>
      </c>
      <c r="M905" t="str">
        <f t="shared" ca="1" si="139"/>
        <v>ELEC</v>
      </c>
      <c r="N905">
        <f t="shared" ca="1" si="140"/>
        <v>50.835633627086388</v>
      </c>
    </row>
    <row r="906" spans="6:14" x14ac:dyDescent="0.35">
      <c r="F906">
        <f t="shared" si="143"/>
        <v>13</v>
      </c>
      <c r="G906">
        <f t="shared" si="144"/>
        <v>13</v>
      </c>
      <c r="H906">
        <f t="shared" si="145"/>
        <v>1</v>
      </c>
      <c r="K906" t="str">
        <f t="shared" ca="1" si="141"/>
        <v>ELEC</v>
      </c>
      <c r="L906" t="str">
        <f t="shared" ca="1" si="142"/>
        <v>imp</v>
      </c>
      <c r="M906" t="str">
        <f t="shared" ca="1" si="139"/>
        <v>ELEC</v>
      </c>
      <c r="N906">
        <f t="shared" ca="1" si="140"/>
        <v>27.256516059652338</v>
      </c>
    </row>
    <row r="907" spans="6:14" x14ac:dyDescent="0.35">
      <c r="F907">
        <f t="shared" si="143"/>
        <v>13</v>
      </c>
      <c r="G907">
        <f t="shared" si="144"/>
        <v>14</v>
      </c>
      <c r="H907">
        <f t="shared" si="145"/>
        <v>1</v>
      </c>
      <c r="K907" t="str">
        <f t="shared" ca="1" si="141"/>
        <v>TRNEQUIP</v>
      </c>
      <c r="L907" t="str">
        <f t="shared" ca="1" si="142"/>
        <v>imp</v>
      </c>
      <c r="M907" t="str">
        <f t="shared" ca="1" si="139"/>
        <v>ELEC</v>
      </c>
      <c r="N907">
        <f t="shared" ca="1" si="140"/>
        <v>43.498333839917258</v>
      </c>
    </row>
    <row r="908" spans="6:14" x14ac:dyDescent="0.35">
      <c r="F908">
        <f t="shared" si="143"/>
        <v>13</v>
      </c>
      <c r="G908">
        <f t="shared" si="144"/>
        <v>15</v>
      </c>
      <c r="H908">
        <f t="shared" si="145"/>
        <v>1</v>
      </c>
      <c r="K908" t="str">
        <f t="shared" ca="1" si="141"/>
        <v>ROMAN</v>
      </c>
      <c r="L908" t="str">
        <f t="shared" ca="1" si="142"/>
        <v>imp</v>
      </c>
      <c r="M908" t="str">
        <f t="shared" ca="1" si="139"/>
        <v>ELEC</v>
      </c>
      <c r="N908">
        <f t="shared" ca="1" si="140"/>
        <v>16.504775950711352</v>
      </c>
    </row>
    <row r="909" spans="6:14" x14ac:dyDescent="0.35">
      <c r="F909">
        <f t="shared" si="143"/>
        <v>13</v>
      </c>
      <c r="G909">
        <f t="shared" si="144"/>
        <v>16</v>
      </c>
      <c r="H909">
        <f t="shared" si="145"/>
        <v>1</v>
      </c>
      <c r="K909" t="str">
        <f t="shared" ca="1" si="141"/>
        <v>ELYGASWTR</v>
      </c>
      <c r="L909" t="str">
        <f t="shared" ca="1" si="142"/>
        <v>imp</v>
      </c>
      <c r="M909" t="str">
        <f t="shared" ca="1" si="139"/>
        <v>ELEC</v>
      </c>
      <c r="N909">
        <f t="shared" ca="1" si="140"/>
        <v>1.103380735198143E-7</v>
      </c>
    </row>
    <row r="910" spans="6:14" x14ac:dyDescent="0.35">
      <c r="F910">
        <f t="shared" si="143"/>
        <v>13</v>
      </c>
      <c r="G910">
        <f t="shared" si="144"/>
        <v>17</v>
      </c>
      <c r="H910">
        <f t="shared" si="145"/>
        <v>1</v>
      </c>
      <c r="K910" t="str">
        <f t="shared" ca="1" si="141"/>
        <v>CNS</v>
      </c>
      <c r="L910" t="str">
        <f t="shared" ca="1" si="142"/>
        <v>imp</v>
      </c>
      <c r="M910" t="str">
        <f t="shared" ca="1" si="139"/>
        <v>ELEC</v>
      </c>
      <c r="N910">
        <f t="shared" ca="1" si="140"/>
        <v>3.2309050125540097</v>
      </c>
    </row>
    <row r="911" spans="6:14" x14ac:dyDescent="0.35">
      <c r="F911">
        <f t="shared" si="143"/>
        <v>13</v>
      </c>
      <c r="G911">
        <f t="shared" si="144"/>
        <v>18</v>
      </c>
      <c r="H911">
        <f t="shared" si="145"/>
        <v>1</v>
      </c>
      <c r="K911" t="str">
        <f t="shared" ca="1" si="141"/>
        <v>TRD</v>
      </c>
      <c r="L911" t="str">
        <f t="shared" ca="1" si="142"/>
        <v>imp</v>
      </c>
      <c r="M911" t="str">
        <f t="shared" ca="1" si="139"/>
        <v>ELEC</v>
      </c>
      <c r="N911">
        <f t="shared" ca="1" si="140"/>
        <v>0.28268236086509191</v>
      </c>
    </row>
    <row r="912" spans="6:14" x14ac:dyDescent="0.35">
      <c r="F912">
        <f t="shared" si="143"/>
        <v>13</v>
      </c>
      <c r="G912">
        <f t="shared" si="144"/>
        <v>19</v>
      </c>
      <c r="H912">
        <f t="shared" si="145"/>
        <v>1</v>
      </c>
      <c r="K912" t="str">
        <f t="shared" ca="1" si="141"/>
        <v>AFS</v>
      </c>
      <c r="L912" t="str">
        <f t="shared" ca="1" si="142"/>
        <v>imp</v>
      </c>
      <c r="M912" t="str">
        <f t="shared" ca="1" si="139"/>
        <v>ELEC</v>
      </c>
      <c r="N912">
        <f t="shared" ca="1" si="140"/>
        <v>1.103380735198143E-7</v>
      </c>
    </row>
    <row r="913" spans="6:14" x14ac:dyDescent="0.35">
      <c r="F913">
        <f t="shared" si="143"/>
        <v>13</v>
      </c>
      <c r="G913">
        <f t="shared" si="144"/>
        <v>20</v>
      </c>
      <c r="H913">
        <f t="shared" si="145"/>
        <v>1</v>
      </c>
      <c r="K913" t="str">
        <f t="shared" ca="1" si="141"/>
        <v>OTP</v>
      </c>
      <c r="L913" t="str">
        <f t="shared" ca="1" si="142"/>
        <v>imp</v>
      </c>
      <c r="M913" t="str">
        <f t="shared" ca="1" si="139"/>
        <v>ELEC</v>
      </c>
      <c r="N913">
        <f t="shared" ca="1" si="140"/>
        <v>1.103380735198143E-7</v>
      </c>
    </row>
    <row r="914" spans="6:14" x14ac:dyDescent="0.35">
      <c r="F914">
        <f t="shared" si="143"/>
        <v>13</v>
      </c>
      <c r="G914">
        <f t="shared" si="144"/>
        <v>21</v>
      </c>
      <c r="H914">
        <f t="shared" si="145"/>
        <v>1</v>
      </c>
      <c r="K914" t="str">
        <f t="shared" ca="1" si="141"/>
        <v>WTP</v>
      </c>
      <c r="L914" t="str">
        <f t="shared" ca="1" si="142"/>
        <v>imp</v>
      </c>
      <c r="M914" t="str">
        <f t="shared" ca="1" si="139"/>
        <v>ELEC</v>
      </c>
      <c r="N914">
        <f t="shared" ca="1" si="140"/>
        <v>1.103380735198143E-7</v>
      </c>
    </row>
    <row r="915" spans="6:14" x14ac:dyDescent="0.35">
      <c r="F915">
        <f t="shared" si="143"/>
        <v>13</v>
      </c>
      <c r="G915">
        <f t="shared" si="144"/>
        <v>22</v>
      </c>
      <c r="H915">
        <f t="shared" si="145"/>
        <v>1</v>
      </c>
      <c r="K915" t="str">
        <f t="shared" ca="1" si="141"/>
        <v>ATP</v>
      </c>
      <c r="L915" t="str">
        <f t="shared" ca="1" si="142"/>
        <v>imp</v>
      </c>
      <c r="M915" t="str">
        <f t="shared" ca="1" si="139"/>
        <v>ELEC</v>
      </c>
      <c r="N915">
        <f t="shared" ca="1" si="140"/>
        <v>1.103380735198143E-7</v>
      </c>
    </row>
    <row r="916" spans="6:14" x14ac:dyDescent="0.35">
      <c r="F916">
        <f t="shared" si="143"/>
        <v>13</v>
      </c>
      <c r="G916">
        <f t="shared" si="144"/>
        <v>23</v>
      </c>
      <c r="H916">
        <f t="shared" si="145"/>
        <v>1</v>
      </c>
      <c r="K916" t="str">
        <f t="shared" ca="1" si="141"/>
        <v>WHS</v>
      </c>
      <c r="L916" t="str">
        <f t="shared" ca="1" si="142"/>
        <v>imp</v>
      </c>
      <c r="M916" t="str">
        <f t="shared" ca="1" si="139"/>
        <v>ELEC</v>
      </c>
      <c r="N916">
        <f t="shared" ca="1" si="140"/>
        <v>1.103380735198143E-7</v>
      </c>
    </row>
    <row r="917" spans="6:14" x14ac:dyDescent="0.35">
      <c r="F917">
        <f t="shared" ref="F917:F932" si="146">F851+1</f>
        <v>13</v>
      </c>
      <c r="G917">
        <f t="shared" si="144"/>
        <v>24</v>
      </c>
      <c r="H917">
        <f t="shared" si="145"/>
        <v>1</v>
      </c>
      <c r="K917" t="str">
        <f t="shared" ca="1" si="141"/>
        <v>CMN</v>
      </c>
      <c r="L917" t="str">
        <f t="shared" ca="1" si="142"/>
        <v>imp</v>
      </c>
      <c r="M917" t="str">
        <f t="shared" ca="1" si="139"/>
        <v>ELEC</v>
      </c>
      <c r="N917">
        <f t="shared" ca="1" si="140"/>
        <v>1.103380735198143E-7</v>
      </c>
    </row>
    <row r="918" spans="6:14" x14ac:dyDescent="0.35">
      <c r="F918">
        <f t="shared" si="146"/>
        <v>13</v>
      </c>
      <c r="G918">
        <f t="shared" si="144"/>
        <v>25</v>
      </c>
      <c r="H918">
        <f t="shared" si="145"/>
        <v>1</v>
      </c>
      <c r="K918" t="str">
        <f t="shared" ca="1" si="141"/>
        <v>OFI</v>
      </c>
      <c r="L918" t="str">
        <f t="shared" ca="1" si="142"/>
        <v>imp</v>
      </c>
      <c r="M918" t="str">
        <f t="shared" ca="1" si="139"/>
        <v>ELEC</v>
      </c>
      <c r="N918">
        <f t="shared" ca="1" si="140"/>
        <v>1.103380735198143E-7</v>
      </c>
    </row>
    <row r="919" spans="6:14" x14ac:dyDescent="0.35">
      <c r="F919">
        <f t="shared" si="146"/>
        <v>13</v>
      </c>
      <c r="G919">
        <f t="shared" si="144"/>
        <v>26</v>
      </c>
      <c r="H919">
        <f t="shared" si="145"/>
        <v>1</v>
      </c>
      <c r="K919" t="str">
        <f t="shared" ca="1" si="141"/>
        <v>RSA</v>
      </c>
      <c r="L919" t="str">
        <f t="shared" ca="1" si="142"/>
        <v>imp</v>
      </c>
      <c r="M919" t="str">
        <f t="shared" ca="1" si="139"/>
        <v>ELEC</v>
      </c>
      <c r="N919">
        <f t="shared" ca="1" si="140"/>
        <v>1.103380735198143E-7</v>
      </c>
    </row>
    <row r="920" spans="6:14" x14ac:dyDescent="0.35">
      <c r="F920">
        <f t="shared" si="146"/>
        <v>13</v>
      </c>
      <c r="G920">
        <f t="shared" si="144"/>
        <v>27</v>
      </c>
      <c r="H920">
        <f t="shared" si="145"/>
        <v>1</v>
      </c>
      <c r="K920" t="str">
        <f t="shared" ca="1" si="141"/>
        <v>OBS</v>
      </c>
      <c r="L920" t="str">
        <f t="shared" ca="1" si="142"/>
        <v>imp</v>
      </c>
      <c r="M920" t="str">
        <f t="shared" ca="1" si="139"/>
        <v>ELEC</v>
      </c>
      <c r="N920">
        <f t="shared" ca="1" si="140"/>
        <v>1.103380735198143E-7</v>
      </c>
    </row>
    <row r="921" spans="6:14" x14ac:dyDescent="0.35">
      <c r="F921">
        <f t="shared" si="146"/>
        <v>13</v>
      </c>
      <c r="G921">
        <f t="shared" si="144"/>
        <v>28</v>
      </c>
      <c r="H921">
        <f t="shared" si="145"/>
        <v>1</v>
      </c>
      <c r="K921" t="str">
        <f t="shared" ca="1" si="141"/>
        <v>GOV</v>
      </c>
      <c r="L921" t="str">
        <f t="shared" ca="1" si="142"/>
        <v>imp</v>
      </c>
      <c r="M921" t="str">
        <f t="shared" ca="1" si="139"/>
        <v>ELEC</v>
      </c>
      <c r="N921">
        <f t="shared" ca="1" si="140"/>
        <v>1.103380735198143E-7</v>
      </c>
    </row>
    <row r="922" spans="6:14" x14ac:dyDescent="0.35">
      <c r="F922">
        <f t="shared" si="146"/>
        <v>13</v>
      </c>
      <c r="G922">
        <f t="shared" si="144"/>
        <v>29</v>
      </c>
      <c r="H922">
        <f t="shared" si="145"/>
        <v>1</v>
      </c>
      <c r="K922" t="str">
        <f t="shared" ca="1" si="141"/>
        <v>EDU</v>
      </c>
      <c r="L922" t="str">
        <f t="shared" ca="1" si="142"/>
        <v>imp</v>
      </c>
      <c r="M922" t="str">
        <f t="shared" ca="1" si="139"/>
        <v>ELEC</v>
      </c>
      <c r="N922">
        <f t="shared" ca="1" si="140"/>
        <v>1.103380735198143E-7</v>
      </c>
    </row>
    <row r="923" spans="6:14" x14ac:dyDescent="0.35">
      <c r="F923">
        <f t="shared" si="146"/>
        <v>13</v>
      </c>
      <c r="G923">
        <f t="shared" si="144"/>
        <v>30</v>
      </c>
      <c r="H923">
        <f t="shared" si="145"/>
        <v>1</v>
      </c>
      <c r="K923" t="str">
        <f t="shared" ca="1" si="141"/>
        <v>HHT</v>
      </c>
      <c r="L923" t="str">
        <f t="shared" ca="1" si="142"/>
        <v>imp</v>
      </c>
      <c r="M923" t="str">
        <f t="shared" ca="1" si="139"/>
        <v>ELEC</v>
      </c>
      <c r="N923">
        <f t="shared" ca="1" si="140"/>
        <v>1.103380735198143E-7</v>
      </c>
    </row>
    <row r="924" spans="6:14" x14ac:dyDescent="0.35">
      <c r="F924">
        <f t="shared" si="146"/>
        <v>13</v>
      </c>
      <c r="G924">
        <f t="shared" si="144"/>
        <v>31</v>
      </c>
      <c r="H924">
        <f t="shared" si="145"/>
        <v>1</v>
      </c>
      <c r="K924" t="str">
        <f t="shared" ca="1" si="141"/>
        <v>REC</v>
      </c>
      <c r="L924" t="str">
        <f t="shared" ca="1" si="142"/>
        <v>imp</v>
      </c>
      <c r="M924" t="str">
        <f t="shared" ca="1" si="139"/>
        <v>ELEC</v>
      </c>
      <c r="N924">
        <f t="shared" ca="1" si="140"/>
        <v>1.103380735198143E-7</v>
      </c>
    </row>
    <row r="925" spans="6:14" x14ac:dyDescent="0.35">
      <c r="F925">
        <f t="shared" si="146"/>
        <v>13</v>
      </c>
      <c r="G925">
        <f t="shared" si="144"/>
        <v>32</v>
      </c>
      <c r="H925">
        <f t="shared" si="145"/>
        <v>1</v>
      </c>
      <c r="K925" t="str">
        <f t="shared" ca="1" si="141"/>
        <v>DWE</v>
      </c>
      <c r="L925" t="str">
        <f t="shared" ca="1" si="142"/>
        <v>imp</v>
      </c>
      <c r="M925" t="str">
        <f t="shared" ca="1" si="139"/>
        <v>ELEC</v>
      </c>
      <c r="N925">
        <f t="shared" ca="1" si="140"/>
        <v>1.103380735198143E-7</v>
      </c>
    </row>
    <row r="926" spans="6:14" x14ac:dyDescent="0.35">
      <c r="F926">
        <f t="shared" si="146"/>
        <v>14</v>
      </c>
      <c r="G926">
        <f t="shared" si="144"/>
        <v>0</v>
      </c>
      <c r="H926">
        <f t="shared" si="145"/>
        <v>0</v>
      </c>
      <c r="K926" t="str">
        <f t="shared" ca="1" si="141"/>
        <v>AG</v>
      </c>
      <c r="L926" t="str">
        <f t="shared" ca="1" si="142"/>
        <v>dom</v>
      </c>
      <c r="M926" t="str">
        <f t="shared" ca="1" si="139"/>
        <v>TRNEQUIP</v>
      </c>
      <c r="N926">
        <f t="shared" ca="1" si="140"/>
        <v>6.799040606802112E-2</v>
      </c>
    </row>
    <row r="927" spans="6:14" x14ac:dyDescent="0.35">
      <c r="F927">
        <f t="shared" si="146"/>
        <v>14</v>
      </c>
      <c r="G927">
        <f t="shared" si="144"/>
        <v>1</v>
      </c>
      <c r="H927">
        <f t="shared" si="145"/>
        <v>0</v>
      </c>
      <c r="K927" t="str">
        <f t="shared" ca="1" si="141"/>
        <v>MIN</v>
      </c>
      <c r="L927" t="str">
        <f t="shared" ca="1" si="142"/>
        <v>dom</v>
      </c>
      <c r="M927" t="str">
        <f t="shared" ca="1" si="139"/>
        <v>TRNEQUIP</v>
      </c>
      <c r="N927">
        <f t="shared" ca="1" si="140"/>
        <v>0.11860362950133704</v>
      </c>
    </row>
    <row r="928" spans="6:14" x14ac:dyDescent="0.35">
      <c r="F928">
        <f t="shared" si="146"/>
        <v>14</v>
      </c>
      <c r="G928">
        <f t="shared" si="144"/>
        <v>2</v>
      </c>
      <c r="H928">
        <f t="shared" si="145"/>
        <v>0</v>
      </c>
      <c r="K928" t="str">
        <f t="shared" ca="1" si="141"/>
        <v>FBT</v>
      </c>
      <c r="L928" t="str">
        <f t="shared" ca="1" si="142"/>
        <v>dom</v>
      </c>
      <c r="M928" t="str">
        <f t="shared" ca="1" si="139"/>
        <v>TRNEQUIP</v>
      </c>
      <c r="N928">
        <f t="shared" ca="1" si="140"/>
        <v>0.19970347038636238</v>
      </c>
    </row>
    <row r="929" spans="6:14" x14ac:dyDescent="0.35">
      <c r="F929">
        <f t="shared" si="146"/>
        <v>14</v>
      </c>
      <c r="G929">
        <f t="shared" si="144"/>
        <v>3</v>
      </c>
      <c r="H929">
        <f t="shared" si="145"/>
        <v>0</v>
      </c>
      <c r="K929" t="str">
        <f t="shared" ca="1" si="141"/>
        <v>TEX</v>
      </c>
      <c r="L929" t="str">
        <f t="shared" ca="1" si="142"/>
        <v>dom</v>
      </c>
      <c r="M929" t="str">
        <f t="shared" ca="1" si="139"/>
        <v>TRNEQUIP</v>
      </c>
      <c r="N929">
        <f t="shared" ca="1" si="140"/>
        <v>1.0402260270776715</v>
      </c>
    </row>
    <row r="930" spans="6:14" x14ac:dyDescent="0.35">
      <c r="F930">
        <f t="shared" si="146"/>
        <v>14</v>
      </c>
      <c r="G930">
        <f t="shared" si="144"/>
        <v>4</v>
      </c>
      <c r="H930">
        <f t="shared" si="145"/>
        <v>0</v>
      </c>
      <c r="K930" t="str">
        <f t="shared" ca="1" si="141"/>
        <v>LEATHER</v>
      </c>
      <c r="L930" t="str">
        <f t="shared" ca="1" si="142"/>
        <v>dom</v>
      </c>
      <c r="M930" t="str">
        <f t="shared" ca="1" si="139"/>
        <v>TRNEQUIP</v>
      </c>
      <c r="N930">
        <f t="shared" ca="1" si="140"/>
        <v>7.3812547143765183E-3</v>
      </c>
    </row>
    <row r="931" spans="6:14" x14ac:dyDescent="0.35">
      <c r="F931">
        <f t="shared" si="146"/>
        <v>14</v>
      </c>
      <c r="G931">
        <f t="shared" si="144"/>
        <v>5</v>
      </c>
      <c r="H931">
        <f t="shared" si="145"/>
        <v>0</v>
      </c>
      <c r="K931" t="str">
        <f t="shared" ca="1" si="141"/>
        <v>WOOD</v>
      </c>
      <c r="L931" t="str">
        <f t="shared" ca="1" si="142"/>
        <v>dom</v>
      </c>
      <c r="M931" t="str">
        <f t="shared" ca="1" si="139"/>
        <v>TRNEQUIP</v>
      </c>
      <c r="N931">
        <f t="shared" ca="1" si="140"/>
        <v>4.5438399114616314E-2</v>
      </c>
    </row>
    <row r="932" spans="6:14" x14ac:dyDescent="0.35">
      <c r="F932">
        <f t="shared" si="146"/>
        <v>14</v>
      </c>
      <c r="G932">
        <f t="shared" si="144"/>
        <v>6</v>
      </c>
      <c r="H932">
        <f t="shared" si="145"/>
        <v>0</v>
      </c>
      <c r="K932" t="str">
        <f t="shared" ca="1" si="141"/>
        <v>PPP</v>
      </c>
      <c r="L932" t="str">
        <f t="shared" ca="1" si="142"/>
        <v>dom</v>
      </c>
      <c r="M932" t="str">
        <f t="shared" ca="1" si="139"/>
        <v>TRNEQUIP</v>
      </c>
      <c r="N932">
        <f t="shared" ca="1" si="140"/>
        <v>0.90947590149785462</v>
      </c>
    </row>
    <row r="933" spans="6:14" x14ac:dyDescent="0.35">
      <c r="F933">
        <f t="shared" ref="F933:F948" si="147">F867+1</f>
        <v>14</v>
      </c>
      <c r="G933">
        <f t="shared" si="144"/>
        <v>7</v>
      </c>
      <c r="H933">
        <f t="shared" si="145"/>
        <v>0</v>
      </c>
      <c r="K933" t="str">
        <f t="shared" ca="1" si="141"/>
        <v>PC</v>
      </c>
      <c r="L933" t="str">
        <f t="shared" ca="1" si="142"/>
        <v>dom</v>
      </c>
      <c r="M933" t="str">
        <f t="shared" ca="1" si="139"/>
        <v>TRNEQUIP</v>
      </c>
      <c r="N933">
        <f t="shared" ca="1" si="140"/>
        <v>0.13858661068750505</v>
      </c>
    </row>
    <row r="934" spans="6:14" x14ac:dyDescent="0.35">
      <c r="F934">
        <f t="shared" si="147"/>
        <v>14</v>
      </c>
      <c r="G934">
        <f t="shared" si="144"/>
        <v>8</v>
      </c>
      <c r="H934">
        <f t="shared" si="145"/>
        <v>0</v>
      </c>
      <c r="K934" t="str">
        <f t="shared" ca="1" si="141"/>
        <v>CHM</v>
      </c>
      <c r="L934" t="str">
        <f t="shared" ca="1" si="142"/>
        <v>dom</v>
      </c>
      <c r="M934" t="str">
        <f t="shared" ca="1" si="139"/>
        <v>TRNEQUIP</v>
      </c>
      <c r="N934">
        <f t="shared" ca="1" si="140"/>
        <v>0.86300662712521903</v>
      </c>
    </row>
    <row r="935" spans="6:14" x14ac:dyDescent="0.35">
      <c r="F935">
        <f t="shared" si="147"/>
        <v>14</v>
      </c>
      <c r="G935">
        <f t="shared" si="144"/>
        <v>9</v>
      </c>
      <c r="H935">
        <f t="shared" si="145"/>
        <v>0</v>
      </c>
      <c r="K935" t="str">
        <f t="shared" ca="1" si="141"/>
        <v>RUBBER</v>
      </c>
      <c r="L935" t="str">
        <f t="shared" ca="1" si="142"/>
        <v>dom</v>
      </c>
      <c r="M935" t="str">
        <f t="shared" ca="1" si="139"/>
        <v>TRNEQUIP</v>
      </c>
      <c r="N935">
        <f t="shared" ca="1" si="140"/>
        <v>1.3509535996421154</v>
      </c>
    </row>
    <row r="936" spans="6:14" x14ac:dyDescent="0.35">
      <c r="F936">
        <f t="shared" si="147"/>
        <v>14</v>
      </c>
      <c r="G936">
        <f t="shared" si="144"/>
        <v>10</v>
      </c>
      <c r="H936">
        <f t="shared" si="145"/>
        <v>0</v>
      </c>
      <c r="K936" t="str">
        <f t="shared" ca="1" si="141"/>
        <v>NMM</v>
      </c>
      <c r="L936" t="str">
        <f t="shared" ca="1" si="142"/>
        <v>dom</v>
      </c>
      <c r="M936" t="str">
        <f t="shared" ca="1" si="139"/>
        <v>TRNEQUIP</v>
      </c>
      <c r="N936">
        <f t="shared" ca="1" si="140"/>
        <v>1.2514905973170389</v>
      </c>
    </row>
    <row r="937" spans="6:14" x14ac:dyDescent="0.35">
      <c r="F937">
        <f t="shared" si="147"/>
        <v>14</v>
      </c>
      <c r="G937">
        <f t="shared" si="144"/>
        <v>11</v>
      </c>
      <c r="H937">
        <f t="shared" si="145"/>
        <v>0</v>
      </c>
      <c r="K937" t="str">
        <f t="shared" ca="1" si="141"/>
        <v>METAL</v>
      </c>
      <c r="L937" t="str">
        <f t="shared" ca="1" si="142"/>
        <v>dom</v>
      </c>
      <c r="M937" t="str">
        <f t="shared" ca="1" si="139"/>
        <v>TRNEQUIP</v>
      </c>
      <c r="N937">
        <f t="shared" ca="1" si="140"/>
        <v>3.6603934326015937</v>
      </c>
    </row>
    <row r="938" spans="6:14" x14ac:dyDescent="0.35">
      <c r="F938">
        <f t="shared" si="147"/>
        <v>14</v>
      </c>
      <c r="G938">
        <f t="shared" si="144"/>
        <v>12</v>
      </c>
      <c r="H938">
        <f t="shared" si="145"/>
        <v>0</v>
      </c>
      <c r="K938" t="str">
        <f t="shared" ca="1" si="141"/>
        <v>MACH</v>
      </c>
      <c r="L938" t="str">
        <f t="shared" ca="1" si="142"/>
        <v>dom</v>
      </c>
      <c r="M938" t="str">
        <f t="shared" ca="1" si="139"/>
        <v>TRNEQUIP</v>
      </c>
      <c r="N938">
        <f t="shared" ca="1" si="140"/>
        <v>5.2981309305091999</v>
      </c>
    </row>
    <row r="939" spans="6:14" x14ac:dyDescent="0.35">
      <c r="F939">
        <f t="shared" si="147"/>
        <v>14</v>
      </c>
      <c r="G939">
        <f t="shared" si="144"/>
        <v>13</v>
      </c>
      <c r="H939">
        <f t="shared" si="145"/>
        <v>0</v>
      </c>
      <c r="K939" t="str">
        <f t="shared" ca="1" si="141"/>
        <v>ELEC</v>
      </c>
      <c r="L939" t="str">
        <f t="shared" ca="1" si="142"/>
        <v>dom</v>
      </c>
      <c r="M939" t="str">
        <f t="shared" ca="1" si="139"/>
        <v>TRNEQUIP</v>
      </c>
      <c r="N939">
        <f t="shared" ca="1" si="140"/>
        <v>1.102126265894692</v>
      </c>
    </row>
    <row r="940" spans="6:14" x14ac:dyDescent="0.35">
      <c r="F940">
        <f t="shared" si="147"/>
        <v>14</v>
      </c>
      <c r="G940">
        <f t="shared" si="144"/>
        <v>14</v>
      </c>
      <c r="H940">
        <f t="shared" si="145"/>
        <v>0</v>
      </c>
      <c r="K940" t="str">
        <f t="shared" ca="1" si="141"/>
        <v>TRNEQUIP</v>
      </c>
      <c r="L940" t="str">
        <f t="shared" ca="1" si="142"/>
        <v>dom</v>
      </c>
      <c r="M940" t="str">
        <f t="shared" ca="1" si="139"/>
        <v>TRNEQUIP</v>
      </c>
      <c r="N940">
        <f t="shared" ca="1" si="140"/>
        <v>1.5920301235864796</v>
      </c>
    </row>
    <row r="941" spans="6:14" x14ac:dyDescent="0.35">
      <c r="F941">
        <f t="shared" si="147"/>
        <v>14</v>
      </c>
      <c r="G941">
        <f t="shared" si="144"/>
        <v>15</v>
      </c>
      <c r="H941">
        <f t="shared" si="145"/>
        <v>0</v>
      </c>
      <c r="K941" t="str">
        <f t="shared" ca="1" si="141"/>
        <v>ROMAN</v>
      </c>
      <c r="L941" t="str">
        <f t="shared" ca="1" si="142"/>
        <v>dom</v>
      </c>
      <c r="M941" t="str">
        <f t="shared" ca="1" si="139"/>
        <v>TRNEQUIP</v>
      </c>
      <c r="N941">
        <f t="shared" ca="1" si="140"/>
        <v>4.3349946562528681</v>
      </c>
    </row>
    <row r="942" spans="6:14" x14ac:dyDescent="0.35">
      <c r="F942">
        <f t="shared" si="147"/>
        <v>14</v>
      </c>
      <c r="G942">
        <f t="shared" si="144"/>
        <v>16</v>
      </c>
      <c r="H942">
        <f t="shared" si="145"/>
        <v>0</v>
      </c>
      <c r="K942" t="str">
        <f t="shared" ca="1" si="141"/>
        <v>ELYGASWTR</v>
      </c>
      <c r="L942" t="str">
        <f t="shared" ca="1" si="142"/>
        <v>dom</v>
      </c>
      <c r="M942" t="str">
        <f t="shared" ca="1" si="139"/>
        <v>TRNEQUIP</v>
      </c>
      <c r="N942">
        <f t="shared" ca="1" si="140"/>
        <v>9.8921703616579051E-8</v>
      </c>
    </row>
    <row r="943" spans="6:14" x14ac:dyDescent="0.35">
      <c r="F943">
        <f t="shared" si="147"/>
        <v>14</v>
      </c>
      <c r="G943">
        <f t="shared" si="144"/>
        <v>17</v>
      </c>
      <c r="H943">
        <f t="shared" si="145"/>
        <v>0</v>
      </c>
      <c r="K943" t="str">
        <f t="shared" ca="1" si="141"/>
        <v>CNS</v>
      </c>
      <c r="L943" t="str">
        <f t="shared" ca="1" si="142"/>
        <v>dom</v>
      </c>
      <c r="M943" t="str">
        <f t="shared" ca="1" si="139"/>
        <v>TRNEQUIP</v>
      </c>
      <c r="N943">
        <f t="shared" ca="1" si="140"/>
        <v>144.00175872184849</v>
      </c>
    </row>
    <row r="944" spans="6:14" x14ac:dyDescent="0.35">
      <c r="F944">
        <f t="shared" si="147"/>
        <v>14</v>
      </c>
      <c r="G944">
        <f t="shared" si="144"/>
        <v>18</v>
      </c>
      <c r="H944">
        <f t="shared" si="145"/>
        <v>0</v>
      </c>
      <c r="K944" t="str">
        <f t="shared" ca="1" si="141"/>
        <v>TRD</v>
      </c>
      <c r="L944" t="str">
        <f t="shared" ca="1" si="142"/>
        <v>dom</v>
      </c>
      <c r="M944" t="str">
        <f t="shared" ca="1" si="139"/>
        <v>TRNEQUIP</v>
      </c>
      <c r="N944">
        <f t="shared" ca="1" si="140"/>
        <v>23.024921151469364</v>
      </c>
    </row>
    <row r="945" spans="6:14" x14ac:dyDescent="0.35">
      <c r="F945">
        <f t="shared" si="147"/>
        <v>14</v>
      </c>
      <c r="G945">
        <f t="shared" si="144"/>
        <v>19</v>
      </c>
      <c r="H945">
        <f t="shared" si="145"/>
        <v>0</v>
      </c>
      <c r="K945" t="str">
        <f t="shared" ca="1" si="141"/>
        <v>AFS</v>
      </c>
      <c r="L945" t="str">
        <f t="shared" ca="1" si="142"/>
        <v>dom</v>
      </c>
      <c r="M945" t="str">
        <f t="shared" ca="1" si="139"/>
        <v>TRNEQUIP</v>
      </c>
      <c r="N945">
        <f t="shared" ca="1" si="140"/>
        <v>9.8921703616579051E-8</v>
      </c>
    </row>
    <row r="946" spans="6:14" x14ac:dyDescent="0.35">
      <c r="F946">
        <f t="shared" si="147"/>
        <v>14</v>
      </c>
      <c r="G946">
        <f t="shared" si="144"/>
        <v>20</v>
      </c>
      <c r="H946">
        <f t="shared" si="145"/>
        <v>0</v>
      </c>
      <c r="K946" t="str">
        <f t="shared" ca="1" si="141"/>
        <v>OTP</v>
      </c>
      <c r="L946" t="str">
        <f t="shared" ca="1" si="142"/>
        <v>dom</v>
      </c>
      <c r="M946" t="str">
        <f t="shared" ca="1" si="139"/>
        <v>TRNEQUIP</v>
      </c>
      <c r="N946">
        <f t="shared" ca="1" si="140"/>
        <v>9.8921703616579051E-8</v>
      </c>
    </row>
    <row r="947" spans="6:14" x14ac:dyDescent="0.35">
      <c r="F947">
        <f t="shared" si="147"/>
        <v>14</v>
      </c>
      <c r="G947">
        <f t="shared" si="144"/>
        <v>21</v>
      </c>
      <c r="H947">
        <f t="shared" si="145"/>
        <v>0</v>
      </c>
      <c r="K947" t="str">
        <f t="shared" ca="1" si="141"/>
        <v>WTP</v>
      </c>
      <c r="L947" t="str">
        <f t="shared" ca="1" si="142"/>
        <v>dom</v>
      </c>
      <c r="M947" t="str">
        <f t="shared" ca="1" si="139"/>
        <v>TRNEQUIP</v>
      </c>
      <c r="N947">
        <f t="shared" ca="1" si="140"/>
        <v>9.8921703616579051E-8</v>
      </c>
    </row>
    <row r="948" spans="6:14" x14ac:dyDescent="0.35">
      <c r="F948">
        <f t="shared" si="147"/>
        <v>14</v>
      </c>
      <c r="G948">
        <f t="shared" si="144"/>
        <v>22</v>
      </c>
      <c r="H948">
        <f t="shared" si="145"/>
        <v>0</v>
      </c>
      <c r="K948" t="str">
        <f t="shared" ca="1" si="141"/>
        <v>ATP</v>
      </c>
      <c r="L948" t="str">
        <f t="shared" ca="1" si="142"/>
        <v>dom</v>
      </c>
      <c r="M948" t="str">
        <f t="shared" ca="1" si="139"/>
        <v>TRNEQUIP</v>
      </c>
      <c r="N948">
        <f t="shared" ca="1" si="140"/>
        <v>9.8921703616579051E-8</v>
      </c>
    </row>
    <row r="949" spans="6:14" x14ac:dyDescent="0.35">
      <c r="F949">
        <f t="shared" ref="F949:F964" si="148">F883+1</f>
        <v>14</v>
      </c>
      <c r="G949">
        <f t="shared" si="144"/>
        <v>23</v>
      </c>
      <c r="H949">
        <f t="shared" si="145"/>
        <v>0</v>
      </c>
      <c r="K949" t="str">
        <f t="shared" ca="1" si="141"/>
        <v>WHS</v>
      </c>
      <c r="L949" t="str">
        <f t="shared" ca="1" si="142"/>
        <v>dom</v>
      </c>
      <c r="M949" t="str">
        <f t="shared" ca="1" si="139"/>
        <v>TRNEQUIP</v>
      </c>
      <c r="N949">
        <f t="shared" ca="1" si="140"/>
        <v>9.8921703616579051E-8</v>
      </c>
    </row>
    <row r="950" spans="6:14" x14ac:dyDescent="0.35">
      <c r="F950">
        <f t="shared" si="148"/>
        <v>14</v>
      </c>
      <c r="G950">
        <f t="shared" si="144"/>
        <v>24</v>
      </c>
      <c r="H950">
        <f t="shared" si="145"/>
        <v>0</v>
      </c>
      <c r="K950" t="str">
        <f t="shared" ca="1" si="141"/>
        <v>CMN</v>
      </c>
      <c r="L950" t="str">
        <f t="shared" ca="1" si="142"/>
        <v>dom</v>
      </c>
      <c r="M950" t="str">
        <f t="shared" ca="1" si="139"/>
        <v>TRNEQUIP</v>
      </c>
      <c r="N950">
        <f t="shared" ca="1" si="140"/>
        <v>9.8921703616579051E-8</v>
      </c>
    </row>
    <row r="951" spans="6:14" x14ac:dyDescent="0.35">
      <c r="F951">
        <f t="shared" si="148"/>
        <v>14</v>
      </c>
      <c r="G951">
        <f t="shared" si="144"/>
        <v>25</v>
      </c>
      <c r="H951">
        <f t="shared" si="145"/>
        <v>0</v>
      </c>
      <c r="K951" t="str">
        <f t="shared" ca="1" si="141"/>
        <v>OFI</v>
      </c>
      <c r="L951" t="str">
        <f t="shared" ca="1" si="142"/>
        <v>dom</v>
      </c>
      <c r="M951" t="str">
        <f t="shared" ca="1" si="139"/>
        <v>TRNEQUIP</v>
      </c>
      <c r="N951">
        <f t="shared" ca="1" si="140"/>
        <v>9.8921703616579051E-8</v>
      </c>
    </row>
    <row r="952" spans="6:14" x14ac:dyDescent="0.35">
      <c r="F952">
        <f t="shared" si="148"/>
        <v>14</v>
      </c>
      <c r="G952">
        <f t="shared" si="144"/>
        <v>26</v>
      </c>
      <c r="H952">
        <f t="shared" si="145"/>
        <v>0</v>
      </c>
      <c r="K952" t="str">
        <f t="shared" ca="1" si="141"/>
        <v>RSA</v>
      </c>
      <c r="L952" t="str">
        <f t="shared" ca="1" si="142"/>
        <v>dom</v>
      </c>
      <c r="M952" t="str">
        <f t="shared" ca="1" si="139"/>
        <v>TRNEQUIP</v>
      </c>
      <c r="N952">
        <f t="shared" ca="1" si="140"/>
        <v>9.8921703616579051E-8</v>
      </c>
    </row>
    <row r="953" spans="6:14" x14ac:dyDescent="0.35">
      <c r="F953">
        <f t="shared" si="148"/>
        <v>14</v>
      </c>
      <c r="G953">
        <f t="shared" si="144"/>
        <v>27</v>
      </c>
      <c r="H953">
        <f t="shared" si="145"/>
        <v>0</v>
      </c>
      <c r="K953" t="str">
        <f t="shared" ca="1" si="141"/>
        <v>OBS</v>
      </c>
      <c r="L953" t="str">
        <f t="shared" ca="1" si="142"/>
        <v>dom</v>
      </c>
      <c r="M953" t="str">
        <f t="shared" ca="1" si="139"/>
        <v>TRNEQUIP</v>
      </c>
      <c r="N953">
        <f t="shared" ca="1" si="140"/>
        <v>9.8921703616579051E-8</v>
      </c>
    </row>
    <row r="954" spans="6:14" x14ac:dyDescent="0.35">
      <c r="F954">
        <f t="shared" si="148"/>
        <v>14</v>
      </c>
      <c r="G954">
        <f t="shared" si="144"/>
        <v>28</v>
      </c>
      <c r="H954">
        <f t="shared" si="145"/>
        <v>0</v>
      </c>
      <c r="K954" t="str">
        <f t="shared" ca="1" si="141"/>
        <v>GOV</v>
      </c>
      <c r="L954" t="str">
        <f t="shared" ca="1" si="142"/>
        <v>dom</v>
      </c>
      <c r="M954" t="str">
        <f t="shared" ca="1" si="139"/>
        <v>TRNEQUIP</v>
      </c>
      <c r="N954">
        <f t="shared" ca="1" si="140"/>
        <v>9.8921703616579051E-8</v>
      </c>
    </row>
    <row r="955" spans="6:14" x14ac:dyDescent="0.35">
      <c r="F955">
        <f t="shared" si="148"/>
        <v>14</v>
      </c>
      <c r="G955">
        <f t="shared" si="144"/>
        <v>29</v>
      </c>
      <c r="H955">
        <f t="shared" si="145"/>
        <v>0</v>
      </c>
      <c r="K955" t="str">
        <f t="shared" ca="1" si="141"/>
        <v>EDU</v>
      </c>
      <c r="L955" t="str">
        <f t="shared" ca="1" si="142"/>
        <v>dom</v>
      </c>
      <c r="M955" t="str">
        <f t="shared" ca="1" si="139"/>
        <v>TRNEQUIP</v>
      </c>
      <c r="N955">
        <f t="shared" ca="1" si="140"/>
        <v>9.8921703616579051E-8</v>
      </c>
    </row>
    <row r="956" spans="6:14" x14ac:dyDescent="0.35">
      <c r="F956">
        <f t="shared" si="148"/>
        <v>14</v>
      </c>
      <c r="G956">
        <f t="shared" si="144"/>
        <v>30</v>
      </c>
      <c r="H956">
        <f t="shared" si="145"/>
        <v>0</v>
      </c>
      <c r="K956" t="str">
        <f t="shared" ca="1" si="141"/>
        <v>HHT</v>
      </c>
      <c r="L956" t="str">
        <f t="shared" ca="1" si="142"/>
        <v>dom</v>
      </c>
      <c r="M956" t="str">
        <f t="shared" ca="1" si="139"/>
        <v>TRNEQUIP</v>
      </c>
      <c r="N956">
        <f t="shared" ca="1" si="140"/>
        <v>9.8921703616579051E-8</v>
      </c>
    </row>
    <row r="957" spans="6:14" x14ac:dyDescent="0.35">
      <c r="F957">
        <f t="shared" si="148"/>
        <v>14</v>
      </c>
      <c r="G957">
        <f t="shared" si="144"/>
        <v>31</v>
      </c>
      <c r="H957">
        <f t="shared" si="145"/>
        <v>0</v>
      </c>
      <c r="K957" t="str">
        <f t="shared" ca="1" si="141"/>
        <v>REC</v>
      </c>
      <c r="L957" t="str">
        <f t="shared" ca="1" si="142"/>
        <v>dom</v>
      </c>
      <c r="M957" t="str">
        <f t="shared" ca="1" si="139"/>
        <v>TRNEQUIP</v>
      </c>
      <c r="N957">
        <f t="shared" ca="1" si="140"/>
        <v>9.8921703616579051E-8</v>
      </c>
    </row>
    <row r="958" spans="6:14" x14ac:dyDescent="0.35">
      <c r="F958">
        <f t="shared" si="148"/>
        <v>14</v>
      </c>
      <c r="G958">
        <f t="shared" si="144"/>
        <v>32</v>
      </c>
      <c r="H958">
        <f t="shared" si="145"/>
        <v>0</v>
      </c>
      <c r="K958" t="str">
        <f t="shared" ca="1" si="141"/>
        <v>DWE</v>
      </c>
      <c r="L958" t="str">
        <f t="shared" ca="1" si="142"/>
        <v>dom</v>
      </c>
      <c r="M958" t="str">
        <f t="shared" ca="1" si="139"/>
        <v>TRNEQUIP</v>
      </c>
      <c r="N958">
        <f t="shared" ca="1" si="140"/>
        <v>9.8921703616579051E-8</v>
      </c>
    </row>
    <row r="959" spans="6:14" x14ac:dyDescent="0.35">
      <c r="F959">
        <f t="shared" si="148"/>
        <v>14</v>
      </c>
      <c r="G959">
        <f t="shared" si="144"/>
        <v>0</v>
      </c>
      <c r="H959">
        <f t="shared" si="145"/>
        <v>1</v>
      </c>
      <c r="K959" t="str">
        <f t="shared" ca="1" si="141"/>
        <v>AG</v>
      </c>
      <c r="L959" t="str">
        <f t="shared" ca="1" si="142"/>
        <v>imp</v>
      </c>
      <c r="M959" t="str">
        <f t="shared" ca="1" si="139"/>
        <v>TRNEQUIP</v>
      </c>
      <c r="N959">
        <f t="shared" ca="1" si="140"/>
        <v>0.91520619577174511</v>
      </c>
    </row>
    <row r="960" spans="6:14" x14ac:dyDescent="0.35">
      <c r="F960">
        <f t="shared" si="148"/>
        <v>14</v>
      </c>
      <c r="G960">
        <f t="shared" si="144"/>
        <v>1</v>
      </c>
      <c r="H960">
        <f t="shared" si="145"/>
        <v>1</v>
      </c>
      <c r="K960" t="str">
        <f t="shared" ca="1" si="141"/>
        <v>MIN</v>
      </c>
      <c r="L960" t="str">
        <f t="shared" ca="1" si="142"/>
        <v>imp</v>
      </c>
      <c r="M960" t="str">
        <f t="shared" ca="1" si="139"/>
        <v>TRNEQUIP</v>
      </c>
      <c r="N960">
        <f t="shared" ca="1" si="140"/>
        <v>1.443858297507451</v>
      </c>
    </row>
    <row r="961" spans="6:14" x14ac:dyDescent="0.35">
      <c r="F961">
        <f t="shared" si="148"/>
        <v>14</v>
      </c>
      <c r="G961">
        <f t="shared" si="144"/>
        <v>2</v>
      </c>
      <c r="H961">
        <f t="shared" si="145"/>
        <v>1</v>
      </c>
      <c r="K961" t="str">
        <f t="shared" ca="1" si="141"/>
        <v>FBT</v>
      </c>
      <c r="L961" t="str">
        <f t="shared" ca="1" si="142"/>
        <v>imp</v>
      </c>
      <c r="M961" t="str">
        <f t="shared" ca="1" si="139"/>
        <v>TRNEQUIP</v>
      </c>
      <c r="N961">
        <f t="shared" ca="1" si="140"/>
        <v>0.36129763387252434</v>
      </c>
    </row>
    <row r="962" spans="6:14" x14ac:dyDescent="0.35">
      <c r="F962">
        <f t="shared" si="148"/>
        <v>14</v>
      </c>
      <c r="G962">
        <f t="shared" si="144"/>
        <v>3</v>
      </c>
      <c r="H962">
        <f t="shared" si="145"/>
        <v>1</v>
      </c>
      <c r="K962" t="str">
        <f t="shared" ca="1" si="141"/>
        <v>TEX</v>
      </c>
      <c r="L962" t="str">
        <f t="shared" ca="1" si="142"/>
        <v>imp</v>
      </c>
      <c r="M962" t="str">
        <f t="shared" ref="M962:M1025" ca="1" si="149">OFFSET(A$2,F962,0)</f>
        <v>TRNEQUIP</v>
      </c>
      <c r="N962">
        <f t="shared" ref="N962:N1025" ca="1" si="150">SUMIFS(C:C,A:A,K962,B:B,L962)*SUMIFS(U:U,S:S,M962)</f>
        <v>7.09011051907249</v>
      </c>
    </row>
    <row r="963" spans="6:14" x14ac:dyDescent="0.35">
      <c r="F963">
        <f t="shared" si="148"/>
        <v>14</v>
      </c>
      <c r="G963">
        <f t="shared" si="144"/>
        <v>4</v>
      </c>
      <c r="H963">
        <f t="shared" si="145"/>
        <v>1</v>
      </c>
      <c r="K963" t="str">
        <f t="shared" ref="K963:K1026" ca="1" si="151">OFFSET(A$2,G963,0)</f>
        <v>LEATHER</v>
      </c>
      <c r="L963" t="str">
        <f t="shared" ref="L963:L1026" ca="1" si="152">OFFSET($V$3,H963,0)</f>
        <v>imp</v>
      </c>
      <c r="M963" t="str">
        <f t="shared" ca="1" si="149"/>
        <v>TRNEQUIP</v>
      </c>
      <c r="N963">
        <f t="shared" ca="1" si="150"/>
        <v>3.6951491983167095</v>
      </c>
    </row>
    <row r="964" spans="6:14" x14ac:dyDescent="0.35">
      <c r="F964">
        <f t="shared" si="148"/>
        <v>14</v>
      </c>
      <c r="G964">
        <f t="shared" si="144"/>
        <v>5</v>
      </c>
      <c r="H964">
        <f t="shared" si="145"/>
        <v>1</v>
      </c>
      <c r="K964" t="str">
        <f t="shared" ca="1" si="151"/>
        <v>WOOD</v>
      </c>
      <c r="L964" t="str">
        <f t="shared" ca="1" si="152"/>
        <v>imp</v>
      </c>
      <c r="M964" t="str">
        <f t="shared" ca="1" si="149"/>
        <v>TRNEQUIP</v>
      </c>
      <c r="N964">
        <f t="shared" ca="1" si="150"/>
        <v>6.6140466750517005E-2</v>
      </c>
    </row>
    <row r="965" spans="6:14" x14ac:dyDescent="0.35">
      <c r="F965">
        <f t="shared" ref="F965:F980" si="153">F899+1</f>
        <v>14</v>
      </c>
      <c r="G965">
        <f t="shared" ref="G965:G1028" si="154">G932</f>
        <v>6</v>
      </c>
      <c r="H965">
        <f t="shared" ref="H965:H1028" si="155">H899</f>
        <v>1</v>
      </c>
      <c r="K965" t="str">
        <f t="shared" ca="1" si="151"/>
        <v>PPP</v>
      </c>
      <c r="L965" t="str">
        <f t="shared" ca="1" si="152"/>
        <v>imp</v>
      </c>
      <c r="M965" t="str">
        <f t="shared" ca="1" si="149"/>
        <v>TRNEQUIP</v>
      </c>
      <c r="N965">
        <f t="shared" ca="1" si="150"/>
        <v>0.95241604740468855</v>
      </c>
    </row>
    <row r="966" spans="6:14" x14ac:dyDescent="0.35">
      <c r="F966">
        <f t="shared" si="153"/>
        <v>14</v>
      </c>
      <c r="G966">
        <f t="shared" si="154"/>
        <v>7</v>
      </c>
      <c r="H966">
        <f t="shared" si="155"/>
        <v>1</v>
      </c>
      <c r="K966" t="str">
        <f t="shared" ca="1" si="151"/>
        <v>PC</v>
      </c>
      <c r="L966" t="str">
        <f t="shared" ca="1" si="152"/>
        <v>imp</v>
      </c>
      <c r="M966" t="str">
        <f t="shared" ca="1" si="149"/>
        <v>TRNEQUIP</v>
      </c>
      <c r="N966">
        <f t="shared" ca="1" si="150"/>
        <v>0.23982956010471396</v>
      </c>
    </row>
    <row r="967" spans="6:14" x14ac:dyDescent="0.35">
      <c r="F967">
        <f t="shared" si="153"/>
        <v>14</v>
      </c>
      <c r="G967">
        <f t="shared" si="154"/>
        <v>8</v>
      </c>
      <c r="H967">
        <f t="shared" si="155"/>
        <v>1</v>
      </c>
      <c r="K967" t="str">
        <f t="shared" ca="1" si="151"/>
        <v>CHM</v>
      </c>
      <c r="L967" t="str">
        <f t="shared" ca="1" si="152"/>
        <v>imp</v>
      </c>
      <c r="M967" t="str">
        <f t="shared" ca="1" si="149"/>
        <v>TRNEQUIP</v>
      </c>
      <c r="N967">
        <f t="shared" ca="1" si="150"/>
        <v>3.2876628243143937</v>
      </c>
    </row>
    <row r="968" spans="6:14" x14ac:dyDescent="0.35">
      <c r="F968">
        <f t="shared" si="153"/>
        <v>14</v>
      </c>
      <c r="G968">
        <f t="shared" si="154"/>
        <v>9</v>
      </c>
      <c r="H968">
        <f t="shared" si="155"/>
        <v>1</v>
      </c>
      <c r="K968" t="str">
        <f t="shared" ca="1" si="151"/>
        <v>RUBBER</v>
      </c>
      <c r="L968" t="str">
        <f t="shared" ca="1" si="152"/>
        <v>imp</v>
      </c>
      <c r="M968" t="str">
        <f t="shared" ca="1" si="149"/>
        <v>TRNEQUIP</v>
      </c>
      <c r="N968">
        <f t="shared" ca="1" si="150"/>
        <v>2.5179127476139809</v>
      </c>
    </row>
    <row r="969" spans="6:14" x14ac:dyDescent="0.35">
      <c r="F969">
        <f t="shared" si="153"/>
        <v>14</v>
      </c>
      <c r="G969">
        <f t="shared" si="154"/>
        <v>10</v>
      </c>
      <c r="H969">
        <f t="shared" si="155"/>
        <v>1</v>
      </c>
      <c r="K969" t="str">
        <f t="shared" ca="1" si="151"/>
        <v>NMM</v>
      </c>
      <c r="L969" t="str">
        <f t="shared" ca="1" si="152"/>
        <v>imp</v>
      </c>
      <c r="M969" t="str">
        <f t="shared" ca="1" si="149"/>
        <v>TRNEQUIP</v>
      </c>
      <c r="N969">
        <f t="shared" ca="1" si="150"/>
        <v>0.95048027713456529</v>
      </c>
    </row>
    <row r="970" spans="6:14" x14ac:dyDescent="0.35">
      <c r="F970">
        <f t="shared" si="153"/>
        <v>14</v>
      </c>
      <c r="G970">
        <f t="shared" si="154"/>
        <v>11</v>
      </c>
      <c r="H970">
        <f t="shared" si="155"/>
        <v>1</v>
      </c>
      <c r="K970" t="str">
        <f t="shared" ca="1" si="151"/>
        <v>METAL</v>
      </c>
      <c r="L970" t="str">
        <f t="shared" ca="1" si="152"/>
        <v>imp</v>
      </c>
      <c r="M970" t="str">
        <f t="shared" ca="1" si="149"/>
        <v>TRNEQUIP</v>
      </c>
      <c r="N970">
        <f t="shared" ca="1" si="150"/>
        <v>11.897292549281454</v>
      </c>
    </row>
    <row r="971" spans="6:14" x14ac:dyDescent="0.35">
      <c r="F971">
        <f t="shared" si="153"/>
        <v>14</v>
      </c>
      <c r="G971">
        <f t="shared" si="154"/>
        <v>12</v>
      </c>
      <c r="H971">
        <f t="shared" si="155"/>
        <v>1</v>
      </c>
      <c r="K971" t="str">
        <f t="shared" ca="1" si="151"/>
        <v>MACH</v>
      </c>
      <c r="L971" t="str">
        <f t="shared" ca="1" si="152"/>
        <v>imp</v>
      </c>
      <c r="M971" t="str">
        <f t="shared" ca="1" si="149"/>
        <v>TRNEQUIP</v>
      </c>
      <c r="N971">
        <f t="shared" ca="1" si="150"/>
        <v>45.575813700577129</v>
      </c>
    </row>
    <row r="972" spans="6:14" x14ac:dyDescent="0.35">
      <c r="F972">
        <f t="shared" si="153"/>
        <v>14</v>
      </c>
      <c r="G972">
        <f t="shared" si="154"/>
        <v>13</v>
      </c>
      <c r="H972">
        <f t="shared" si="155"/>
        <v>1</v>
      </c>
      <c r="K972" t="str">
        <f t="shared" ca="1" si="151"/>
        <v>ELEC</v>
      </c>
      <c r="L972" t="str">
        <f t="shared" ca="1" si="152"/>
        <v>imp</v>
      </c>
      <c r="M972" t="str">
        <f t="shared" ca="1" si="149"/>
        <v>TRNEQUIP</v>
      </c>
      <c r="N972">
        <f t="shared" ca="1" si="150"/>
        <v>24.436361060710979</v>
      </c>
    </row>
    <row r="973" spans="6:14" x14ac:dyDescent="0.35">
      <c r="F973">
        <f t="shared" si="153"/>
        <v>14</v>
      </c>
      <c r="G973">
        <f t="shared" si="154"/>
        <v>14</v>
      </c>
      <c r="H973">
        <f t="shared" si="155"/>
        <v>1</v>
      </c>
      <c r="K973" t="str">
        <f t="shared" ca="1" si="151"/>
        <v>TRNEQUIP</v>
      </c>
      <c r="L973" t="str">
        <f t="shared" ca="1" si="152"/>
        <v>imp</v>
      </c>
      <c r="M973" t="str">
        <f t="shared" ca="1" si="149"/>
        <v>TRNEQUIP</v>
      </c>
      <c r="N973">
        <f t="shared" ca="1" si="150"/>
        <v>38.99768367040226</v>
      </c>
    </row>
    <row r="974" spans="6:14" x14ac:dyDescent="0.35">
      <c r="F974">
        <f t="shared" si="153"/>
        <v>14</v>
      </c>
      <c r="G974">
        <f t="shared" si="154"/>
        <v>15</v>
      </c>
      <c r="H974">
        <f t="shared" si="155"/>
        <v>1</v>
      </c>
      <c r="K974" t="str">
        <f t="shared" ca="1" si="151"/>
        <v>ROMAN</v>
      </c>
      <c r="L974" t="str">
        <f t="shared" ca="1" si="152"/>
        <v>imp</v>
      </c>
      <c r="M974" t="str">
        <f t="shared" ca="1" si="149"/>
        <v>TRNEQUIP</v>
      </c>
      <c r="N974">
        <f t="shared" ca="1" si="150"/>
        <v>14.797073238378738</v>
      </c>
    </row>
    <row r="975" spans="6:14" x14ac:dyDescent="0.35">
      <c r="F975">
        <f t="shared" si="153"/>
        <v>14</v>
      </c>
      <c r="G975">
        <f t="shared" si="154"/>
        <v>16</v>
      </c>
      <c r="H975">
        <f t="shared" si="155"/>
        <v>1</v>
      </c>
      <c r="K975" t="str">
        <f t="shared" ca="1" si="151"/>
        <v>ELYGASWTR</v>
      </c>
      <c r="L975" t="str">
        <f t="shared" ca="1" si="152"/>
        <v>imp</v>
      </c>
      <c r="M975" t="str">
        <f t="shared" ca="1" si="149"/>
        <v>TRNEQUIP</v>
      </c>
      <c r="N975">
        <f t="shared" ca="1" si="150"/>
        <v>9.8921703616579051E-8</v>
      </c>
    </row>
    <row r="976" spans="6:14" x14ac:dyDescent="0.35">
      <c r="F976">
        <f t="shared" si="153"/>
        <v>14</v>
      </c>
      <c r="G976">
        <f t="shared" si="154"/>
        <v>17</v>
      </c>
      <c r="H976">
        <f t="shared" si="155"/>
        <v>1</v>
      </c>
      <c r="K976" t="str">
        <f t="shared" ca="1" si="151"/>
        <v>CNS</v>
      </c>
      <c r="L976" t="str">
        <f t="shared" ca="1" si="152"/>
        <v>imp</v>
      </c>
      <c r="M976" t="str">
        <f t="shared" ca="1" si="149"/>
        <v>TRNEQUIP</v>
      </c>
      <c r="N976">
        <f t="shared" ca="1" si="150"/>
        <v>2.8966123647953039</v>
      </c>
    </row>
    <row r="977" spans="6:14" x14ac:dyDescent="0.35">
      <c r="F977">
        <f t="shared" si="153"/>
        <v>14</v>
      </c>
      <c r="G977">
        <f t="shared" si="154"/>
        <v>18</v>
      </c>
      <c r="H977">
        <f t="shared" si="155"/>
        <v>1</v>
      </c>
      <c r="K977" t="str">
        <f t="shared" ca="1" si="151"/>
        <v>TRD</v>
      </c>
      <c r="L977" t="str">
        <f t="shared" ca="1" si="152"/>
        <v>imp</v>
      </c>
      <c r="M977" t="str">
        <f t="shared" ca="1" si="149"/>
        <v>TRNEQUIP</v>
      </c>
      <c r="N977">
        <f t="shared" ca="1" si="150"/>
        <v>0.25343401264034077</v>
      </c>
    </row>
    <row r="978" spans="6:14" x14ac:dyDescent="0.35">
      <c r="F978">
        <f t="shared" si="153"/>
        <v>14</v>
      </c>
      <c r="G978">
        <f t="shared" si="154"/>
        <v>19</v>
      </c>
      <c r="H978">
        <f t="shared" si="155"/>
        <v>1</v>
      </c>
      <c r="K978" t="str">
        <f t="shared" ca="1" si="151"/>
        <v>AFS</v>
      </c>
      <c r="L978" t="str">
        <f t="shared" ca="1" si="152"/>
        <v>imp</v>
      </c>
      <c r="M978" t="str">
        <f t="shared" ca="1" si="149"/>
        <v>TRNEQUIP</v>
      </c>
      <c r="N978">
        <f t="shared" ca="1" si="150"/>
        <v>9.8921703616579051E-8</v>
      </c>
    </row>
    <row r="979" spans="6:14" x14ac:dyDescent="0.35">
      <c r="F979">
        <f t="shared" si="153"/>
        <v>14</v>
      </c>
      <c r="G979">
        <f t="shared" si="154"/>
        <v>20</v>
      </c>
      <c r="H979">
        <f t="shared" si="155"/>
        <v>1</v>
      </c>
      <c r="K979" t="str">
        <f t="shared" ca="1" si="151"/>
        <v>OTP</v>
      </c>
      <c r="L979" t="str">
        <f t="shared" ca="1" si="152"/>
        <v>imp</v>
      </c>
      <c r="M979" t="str">
        <f t="shared" ca="1" si="149"/>
        <v>TRNEQUIP</v>
      </c>
      <c r="N979">
        <f t="shared" ca="1" si="150"/>
        <v>9.8921703616579051E-8</v>
      </c>
    </row>
    <row r="980" spans="6:14" x14ac:dyDescent="0.35">
      <c r="F980">
        <f t="shared" si="153"/>
        <v>14</v>
      </c>
      <c r="G980">
        <f t="shared" si="154"/>
        <v>21</v>
      </c>
      <c r="H980">
        <f t="shared" si="155"/>
        <v>1</v>
      </c>
      <c r="K980" t="str">
        <f t="shared" ca="1" si="151"/>
        <v>WTP</v>
      </c>
      <c r="L980" t="str">
        <f t="shared" ca="1" si="152"/>
        <v>imp</v>
      </c>
      <c r="M980" t="str">
        <f t="shared" ca="1" si="149"/>
        <v>TRNEQUIP</v>
      </c>
      <c r="N980">
        <f t="shared" ca="1" si="150"/>
        <v>9.8921703616579051E-8</v>
      </c>
    </row>
    <row r="981" spans="6:14" x14ac:dyDescent="0.35">
      <c r="F981">
        <f t="shared" ref="F981:F996" si="156">F915+1</f>
        <v>14</v>
      </c>
      <c r="G981">
        <f t="shared" si="154"/>
        <v>22</v>
      </c>
      <c r="H981">
        <f t="shared" si="155"/>
        <v>1</v>
      </c>
      <c r="K981" t="str">
        <f t="shared" ca="1" si="151"/>
        <v>ATP</v>
      </c>
      <c r="L981" t="str">
        <f t="shared" ca="1" si="152"/>
        <v>imp</v>
      </c>
      <c r="M981" t="str">
        <f t="shared" ca="1" si="149"/>
        <v>TRNEQUIP</v>
      </c>
      <c r="N981">
        <f t="shared" ca="1" si="150"/>
        <v>9.8921703616579051E-8</v>
      </c>
    </row>
    <row r="982" spans="6:14" x14ac:dyDescent="0.35">
      <c r="F982">
        <f t="shared" si="156"/>
        <v>14</v>
      </c>
      <c r="G982">
        <f t="shared" si="154"/>
        <v>23</v>
      </c>
      <c r="H982">
        <f t="shared" si="155"/>
        <v>1</v>
      </c>
      <c r="K982" t="str">
        <f t="shared" ca="1" si="151"/>
        <v>WHS</v>
      </c>
      <c r="L982" t="str">
        <f t="shared" ca="1" si="152"/>
        <v>imp</v>
      </c>
      <c r="M982" t="str">
        <f t="shared" ca="1" si="149"/>
        <v>TRNEQUIP</v>
      </c>
      <c r="N982">
        <f t="shared" ca="1" si="150"/>
        <v>9.8921703616579051E-8</v>
      </c>
    </row>
    <row r="983" spans="6:14" x14ac:dyDescent="0.35">
      <c r="F983">
        <f t="shared" si="156"/>
        <v>14</v>
      </c>
      <c r="G983">
        <f t="shared" si="154"/>
        <v>24</v>
      </c>
      <c r="H983">
        <f t="shared" si="155"/>
        <v>1</v>
      </c>
      <c r="K983" t="str">
        <f t="shared" ca="1" si="151"/>
        <v>CMN</v>
      </c>
      <c r="L983" t="str">
        <f t="shared" ca="1" si="152"/>
        <v>imp</v>
      </c>
      <c r="M983" t="str">
        <f t="shared" ca="1" si="149"/>
        <v>TRNEQUIP</v>
      </c>
      <c r="N983">
        <f t="shared" ca="1" si="150"/>
        <v>9.8921703616579051E-8</v>
      </c>
    </row>
    <row r="984" spans="6:14" x14ac:dyDescent="0.35">
      <c r="F984">
        <f t="shared" si="156"/>
        <v>14</v>
      </c>
      <c r="G984">
        <f t="shared" si="154"/>
        <v>25</v>
      </c>
      <c r="H984">
        <f t="shared" si="155"/>
        <v>1</v>
      </c>
      <c r="K984" t="str">
        <f t="shared" ca="1" si="151"/>
        <v>OFI</v>
      </c>
      <c r="L984" t="str">
        <f t="shared" ca="1" si="152"/>
        <v>imp</v>
      </c>
      <c r="M984" t="str">
        <f t="shared" ca="1" si="149"/>
        <v>TRNEQUIP</v>
      </c>
      <c r="N984">
        <f t="shared" ca="1" si="150"/>
        <v>9.8921703616579051E-8</v>
      </c>
    </row>
    <row r="985" spans="6:14" x14ac:dyDescent="0.35">
      <c r="F985">
        <f t="shared" si="156"/>
        <v>14</v>
      </c>
      <c r="G985">
        <f t="shared" si="154"/>
        <v>26</v>
      </c>
      <c r="H985">
        <f t="shared" si="155"/>
        <v>1</v>
      </c>
      <c r="K985" t="str">
        <f t="shared" ca="1" si="151"/>
        <v>RSA</v>
      </c>
      <c r="L985" t="str">
        <f t="shared" ca="1" si="152"/>
        <v>imp</v>
      </c>
      <c r="M985" t="str">
        <f t="shared" ca="1" si="149"/>
        <v>TRNEQUIP</v>
      </c>
      <c r="N985">
        <f t="shared" ca="1" si="150"/>
        <v>9.8921703616579051E-8</v>
      </c>
    </row>
    <row r="986" spans="6:14" x14ac:dyDescent="0.35">
      <c r="F986">
        <f t="shared" si="156"/>
        <v>14</v>
      </c>
      <c r="G986">
        <f t="shared" si="154"/>
        <v>27</v>
      </c>
      <c r="H986">
        <f t="shared" si="155"/>
        <v>1</v>
      </c>
      <c r="K986" t="str">
        <f t="shared" ca="1" si="151"/>
        <v>OBS</v>
      </c>
      <c r="L986" t="str">
        <f t="shared" ca="1" si="152"/>
        <v>imp</v>
      </c>
      <c r="M986" t="str">
        <f t="shared" ca="1" si="149"/>
        <v>TRNEQUIP</v>
      </c>
      <c r="N986">
        <f t="shared" ca="1" si="150"/>
        <v>9.8921703616579051E-8</v>
      </c>
    </row>
    <row r="987" spans="6:14" x14ac:dyDescent="0.35">
      <c r="F987">
        <f t="shared" si="156"/>
        <v>14</v>
      </c>
      <c r="G987">
        <f t="shared" si="154"/>
        <v>28</v>
      </c>
      <c r="H987">
        <f t="shared" si="155"/>
        <v>1</v>
      </c>
      <c r="K987" t="str">
        <f t="shared" ca="1" si="151"/>
        <v>GOV</v>
      </c>
      <c r="L987" t="str">
        <f t="shared" ca="1" si="152"/>
        <v>imp</v>
      </c>
      <c r="M987" t="str">
        <f t="shared" ca="1" si="149"/>
        <v>TRNEQUIP</v>
      </c>
      <c r="N987">
        <f t="shared" ca="1" si="150"/>
        <v>9.8921703616579051E-8</v>
      </c>
    </row>
    <row r="988" spans="6:14" x14ac:dyDescent="0.35">
      <c r="F988">
        <f t="shared" si="156"/>
        <v>14</v>
      </c>
      <c r="G988">
        <f t="shared" si="154"/>
        <v>29</v>
      </c>
      <c r="H988">
        <f t="shared" si="155"/>
        <v>1</v>
      </c>
      <c r="K988" t="str">
        <f t="shared" ca="1" si="151"/>
        <v>EDU</v>
      </c>
      <c r="L988" t="str">
        <f t="shared" ca="1" si="152"/>
        <v>imp</v>
      </c>
      <c r="M988" t="str">
        <f t="shared" ca="1" si="149"/>
        <v>TRNEQUIP</v>
      </c>
      <c r="N988">
        <f t="shared" ca="1" si="150"/>
        <v>9.8921703616579051E-8</v>
      </c>
    </row>
    <row r="989" spans="6:14" x14ac:dyDescent="0.35">
      <c r="F989">
        <f t="shared" si="156"/>
        <v>14</v>
      </c>
      <c r="G989">
        <f t="shared" si="154"/>
        <v>30</v>
      </c>
      <c r="H989">
        <f t="shared" si="155"/>
        <v>1</v>
      </c>
      <c r="K989" t="str">
        <f t="shared" ca="1" si="151"/>
        <v>HHT</v>
      </c>
      <c r="L989" t="str">
        <f t="shared" ca="1" si="152"/>
        <v>imp</v>
      </c>
      <c r="M989" t="str">
        <f t="shared" ca="1" si="149"/>
        <v>TRNEQUIP</v>
      </c>
      <c r="N989">
        <f t="shared" ca="1" si="150"/>
        <v>9.8921703616579051E-8</v>
      </c>
    </row>
    <row r="990" spans="6:14" x14ac:dyDescent="0.35">
      <c r="F990">
        <f t="shared" si="156"/>
        <v>14</v>
      </c>
      <c r="G990">
        <f t="shared" si="154"/>
        <v>31</v>
      </c>
      <c r="H990">
        <f t="shared" si="155"/>
        <v>1</v>
      </c>
      <c r="K990" t="str">
        <f t="shared" ca="1" si="151"/>
        <v>REC</v>
      </c>
      <c r="L990" t="str">
        <f t="shared" ca="1" si="152"/>
        <v>imp</v>
      </c>
      <c r="M990" t="str">
        <f t="shared" ca="1" si="149"/>
        <v>TRNEQUIP</v>
      </c>
      <c r="N990">
        <f t="shared" ca="1" si="150"/>
        <v>9.8921703616579051E-8</v>
      </c>
    </row>
    <row r="991" spans="6:14" x14ac:dyDescent="0.35">
      <c r="F991">
        <f t="shared" si="156"/>
        <v>14</v>
      </c>
      <c r="G991">
        <f t="shared" si="154"/>
        <v>32</v>
      </c>
      <c r="H991">
        <f t="shared" si="155"/>
        <v>1</v>
      </c>
      <c r="K991" t="str">
        <f t="shared" ca="1" si="151"/>
        <v>DWE</v>
      </c>
      <c r="L991" t="str">
        <f t="shared" ca="1" si="152"/>
        <v>imp</v>
      </c>
      <c r="M991" t="str">
        <f t="shared" ca="1" si="149"/>
        <v>TRNEQUIP</v>
      </c>
      <c r="N991">
        <f t="shared" ca="1" si="150"/>
        <v>9.8921703616579051E-8</v>
      </c>
    </row>
    <row r="992" spans="6:14" x14ac:dyDescent="0.35">
      <c r="F992">
        <f t="shared" si="156"/>
        <v>15</v>
      </c>
      <c r="G992">
        <f t="shared" si="154"/>
        <v>0</v>
      </c>
      <c r="H992">
        <f t="shared" si="155"/>
        <v>0</v>
      </c>
      <c r="K992" t="str">
        <f t="shared" ca="1" si="151"/>
        <v>AG</v>
      </c>
      <c r="L992" t="str">
        <f t="shared" ca="1" si="152"/>
        <v>dom</v>
      </c>
      <c r="M992" t="str">
        <f t="shared" ca="1" si="149"/>
        <v>ROMAN</v>
      </c>
      <c r="N992">
        <f t="shared" ca="1" si="150"/>
        <v>0.2217080121186249</v>
      </c>
    </row>
    <row r="993" spans="6:14" x14ac:dyDescent="0.35">
      <c r="F993">
        <f t="shared" si="156"/>
        <v>15</v>
      </c>
      <c r="G993">
        <f t="shared" si="154"/>
        <v>1</v>
      </c>
      <c r="H993">
        <f t="shared" si="155"/>
        <v>0</v>
      </c>
      <c r="K993" t="str">
        <f t="shared" ca="1" si="151"/>
        <v>MIN</v>
      </c>
      <c r="L993" t="str">
        <f t="shared" ca="1" si="152"/>
        <v>dom</v>
      </c>
      <c r="M993" t="str">
        <f t="shared" ca="1" si="149"/>
        <v>ROMAN</v>
      </c>
      <c r="N993">
        <f t="shared" ca="1" si="150"/>
        <v>0.38675125576523367</v>
      </c>
    </row>
    <row r="994" spans="6:14" x14ac:dyDescent="0.35">
      <c r="F994">
        <f t="shared" si="156"/>
        <v>15</v>
      </c>
      <c r="G994">
        <f t="shared" si="154"/>
        <v>2</v>
      </c>
      <c r="H994">
        <f t="shared" si="155"/>
        <v>0</v>
      </c>
      <c r="K994" t="str">
        <f t="shared" ca="1" si="151"/>
        <v>FBT</v>
      </c>
      <c r="L994" t="str">
        <f t="shared" ca="1" si="152"/>
        <v>dom</v>
      </c>
      <c r="M994" t="str">
        <f t="shared" ca="1" si="149"/>
        <v>ROMAN</v>
      </c>
      <c r="N994">
        <f t="shared" ca="1" si="150"/>
        <v>0.65120745694995874</v>
      </c>
    </row>
    <row r="995" spans="6:14" x14ac:dyDescent="0.35">
      <c r="F995">
        <f t="shared" si="156"/>
        <v>15</v>
      </c>
      <c r="G995">
        <f t="shared" si="154"/>
        <v>3</v>
      </c>
      <c r="H995">
        <f t="shared" si="155"/>
        <v>0</v>
      </c>
      <c r="K995" t="str">
        <f t="shared" ca="1" si="151"/>
        <v>TEX</v>
      </c>
      <c r="L995" t="str">
        <f t="shared" ca="1" si="152"/>
        <v>dom</v>
      </c>
      <c r="M995" t="str">
        <f t="shared" ca="1" si="149"/>
        <v>ROMAN</v>
      </c>
      <c r="N995">
        <f t="shared" ca="1" si="150"/>
        <v>3.392043936121147</v>
      </c>
    </row>
    <row r="996" spans="6:14" x14ac:dyDescent="0.35">
      <c r="F996">
        <f t="shared" si="156"/>
        <v>15</v>
      </c>
      <c r="G996">
        <f t="shared" si="154"/>
        <v>4</v>
      </c>
      <c r="H996">
        <f t="shared" si="155"/>
        <v>0</v>
      </c>
      <c r="K996" t="str">
        <f t="shared" ca="1" si="151"/>
        <v>LEATHER</v>
      </c>
      <c r="L996" t="str">
        <f t="shared" ca="1" si="152"/>
        <v>dom</v>
      </c>
      <c r="M996" t="str">
        <f t="shared" ca="1" si="149"/>
        <v>ROMAN</v>
      </c>
      <c r="N996">
        <f t="shared" ca="1" si="150"/>
        <v>2.4069326899274934E-2</v>
      </c>
    </row>
    <row r="997" spans="6:14" x14ac:dyDescent="0.35">
      <c r="F997">
        <f t="shared" ref="F997:F1012" si="157">F931+1</f>
        <v>15</v>
      </c>
      <c r="G997">
        <f t="shared" si="154"/>
        <v>5</v>
      </c>
      <c r="H997">
        <f t="shared" si="155"/>
        <v>0</v>
      </c>
      <c r="K997" t="str">
        <f t="shared" ca="1" si="151"/>
        <v>WOOD</v>
      </c>
      <c r="L997" t="str">
        <f t="shared" ca="1" si="152"/>
        <v>dom</v>
      </c>
      <c r="M997" t="str">
        <f t="shared" ca="1" si="149"/>
        <v>ROMAN</v>
      </c>
      <c r="N997">
        <f t="shared" ca="1" si="150"/>
        <v>0.14816880386735243</v>
      </c>
    </row>
    <row r="998" spans="6:14" x14ac:dyDescent="0.35">
      <c r="F998">
        <f t="shared" si="157"/>
        <v>15</v>
      </c>
      <c r="G998">
        <f t="shared" si="154"/>
        <v>6</v>
      </c>
      <c r="H998">
        <f t="shared" si="155"/>
        <v>0</v>
      </c>
      <c r="K998" t="str">
        <f t="shared" ca="1" si="151"/>
        <v>PPP</v>
      </c>
      <c r="L998" t="str">
        <f t="shared" ca="1" si="152"/>
        <v>dom</v>
      </c>
      <c r="M998" t="str">
        <f t="shared" ca="1" si="149"/>
        <v>ROMAN</v>
      </c>
      <c r="N998">
        <f t="shared" ca="1" si="150"/>
        <v>2.9656845112699357</v>
      </c>
    </row>
    <row r="999" spans="6:14" x14ac:dyDescent="0.35">
      <c r="F999">
        <f t="shared" si="157"/>
        <v>15</v>
      </c>
      <c r="G999">
        <f t="shared" si="154"/>
        <v>7</v>
      </c>
      <c r="H999">
        <f t="shared" si="155"/>
        <v>0</v>
      </c>
      <c r="K999" t="str">
        <f t="shared" ca="1" si="151"/>
        <v>PC</v>
      </c>
      <c r="L999" t="str">
        <f t="shared" ca="1" si="152"/>
        <v>dom</v>
      </c>
      <c r="M999" t="str">
        <f t="shared" ca="1" si="149"/>
        <v>ROMAN</v>
      </c>
      <c r="N999">
        <f t="shared" ca="1" si="150"/>
        <v>0.45191319979829037</v>
      </c>
    </row>
    <row r="1000" spans="6:14" x14ac:dyDescent="0.35">
      <c r="F1000">
        <f t="shared" si="157"/>
        <v>15</v>
      </c>
      <c r="G1000">
        <f t="shared" si="154"/>
        <v>8</v>
      </c>
      <c r="H1000">
        <f t="shared" si="155"/>
        <v>0</v>
      </c>
      <c r="K1000" t="str">
        <f t="shared" ca="1" si="151"/>
        <v>CHM</v>
      </c>
      <c r="L1000" t="str">
        <f t="shared" ca="1" si="152"/>
        <v>dom</v>
      </c>
      <c r="M1000" t="str">
        <f t="shared" ca="1" si="149"/>
        <v>ROMAN</v>
      </c>
      <c r="N1000">
        <f t="shared" ca="1" si="150"/>
        <v>2.8141541551275595</v>
      </c>
    </row>
    <row r="1001" spans="6:14" x14ac:dyDescent="0.35">
      <c r="F1001">
        <f t="shared" si="157"/>
        <v>15</v>
      </c>
      <c r="G1001">
        <f t="shared" si="154"/>
        <v>9</v>
      </c>
      <c r="H1001">
        <f t="shared" si="155"/>
        <v>0</v>
      </c>
      <c r="K1001" t="str">
        <f t="shared" ca="1" si="151"/>
        <v>RUBBER</v>
      </c>
      <c r="L1001" t="str">
        <f t="shared" ca="1" si="152"/>
        <v>dom</v>
      </c>
      <c r="M1001" t="str">
        <f t="shared" ca="1" si="149"/>
        <v>ROMAN</v>
      </c>
      <c r="N1001">
        <f t="shared" ca="1" si="150"/>
        <v>4.405286780336354</v>
      </c>
    </row>
    <row r="1002" spans="6:14" x14ac:dyDescent="0.35">
      <c r="F1002">
        <f t="shared" si="157"/>
        <v>15</v>
      </c>
      <c r="G1002">
        <f t="shared" si="154"/>
        <v>10</v>
      </c>
      <c r="H1002">
        <f t="shared" si="155"/>
        <v>0</v>
      </c>
      <c r="K1002" t="str">
        <f t="shared" ca="1" si="151"/>
        <v>NMM</v>
      </c>
      <c r="L1002" t="str">
        <f t="shared" ca="1" si="152"/>
        <v>dom</v>
      </c>
      <c r="M1002" t="str">
        <f t="shared" ca="1" si="149"/>
        <v>ROMAN</v>
      </c>
      <c r="N1002">
        <f t="shared" ca="1" si="150"/>
        <v>4.0809506599904752</v>
      </c>
    </row>
    <row r="1003" spans="6:14" x14ac:dyDescent="0.35">
      <c r="F1003">
        <f t="shared" si="157"/>
        <v>15</v>
      </c>
      <c r="G1003">
        <f t="shared" si="154"/>
        <v>11</v>
      </c>
      <c r="H1003">
        <f t="shared" si="155"/>
        <v>0</v>
      </c>
      <c r="K1003" t="str">
        <f t="shared" ca="1" si="151"/>
        <v>METAL</v>
      </c>
      <c r="L1003" t="str">
        <f t="shared" ca="1" si="152"/>
        <v>dom</v>
      </c>
      <c r="M1003" t="str">
        <f t="shared" ca="1" si="149"/>
        <v>ROMAN</v>
      </c>
      <c r="N1003">
        <f t="shared" ca="1" si="150"/>
        <v>11.936074491190185</v>
      </c>
    </row>
    <row r="1004" spans="6:14" x14ac:dyDescent="0.35">
      <c r="F1004">
        <f t="shared" si="157"/>
        <v>15</v>
      </c>
      <c r="G1004">
        <f t="shared" si="154"/>
        <v>12</v>
      </c>
      <c r="H1004">
        <f t="shared" si="155"/>
        <v>0</v>
      </c>
      <c r="K1004" t="str">
        <f t="shared" ca="1" si="151"/>
        <v>MACH</v>
      </c>
      <c r="L1004" t="str">
        <f t="shared" ca="1" si="152"/>
        <v>dom</v>
      </c>
      <c r="M1004" t="str">
        <f t="shared" ca="1" si="149"/>
        <v>ROMAN</v>
      </c>
      <c r="N1004">
        <f t="shared" ca="1" si="150"/>
        <v>17.276526858395677</v>
      </c>
    </row>
    <row r="1005" spans="6:14" x14ac:dyDescent="0.35">
      <c r="F1005">
        <f t="shared" si="157"/>
        <v>15</v>
      </c>
      <c r="G1005">
        <f t="shared" si="154"/>
        <v>13</v>
      </c>
      <c r="H1005">
        <f t="shared" si="155"/>
        <v>0</v>
      </c>
      <c r="K1005" t="str">
        <f t="shared" ca="1" si="151"/>
        <v>ELEC</v>
      </c>
      <c r="L1005" t="str">
        <f t="shared" ca="1" si="152"/>
        <v>dom</v>
      </c>
      <c r="M1005" t="str">
        <f t="shared" ca="1" si="149"/>
        <v>ROMAN</v>
      </c>
      <c r="N1005">
        <f t="shared" ca="1" si="150"/>
        <v>3.593892692312715</v>
      </c>
    </row>
    <row r="1006" spans="6:14" x14ac:dyDescent="0.35">
      <c r="F1006">
        <f t="shared" si="157"/>
        <v>15</v>
      </c>
      <c r="G1006">
        <f t="shared" si="154"/>
        <v>14</v>
      </c>
      <c r="H1006">
        <f t="shared" si="155"/>
        <v>0</v>
      </c>
      <c r="K1006" t="str">
        <f t="shared" ca="1" si="151"/>
        <v>TRNEQUIP</v>
      </c>
      <c r="L1006" t="str">
        <f t="shared" ca="1" si="152"/>
        <v>dom</v>
      </c>
      <c r="M1006" t="str">
        <f t="shared" ca="1" si="149"/>
        <v>ROMAN</v>
      </c>
      <c r="N1006">
        <f t="shared" ca="1" si="150"/>
        <v>5.1914064696157549</v>
      </c>
    </row>
    <row r="1007" spans="6:14" x14ac:dyDescent="0.35">
      <c r="F1007">
        <f t="shared" si="157"/>
        <v>15</v>
      </c>
      <c r="G1007">
        <f t="shared" si="154"/>
        <v>15</v>
      </c>
      <c r="H1007">
        <f t="shared" si="155"/>
        <v>0</v>
      </c>
      <c r="K1007" t="str">
        <f t="shared" ca="1" si="151"/>
        <v>ROMAN</v>
      </c>
      <c r="L1007" t="str">
        <f t="shared" ca="1" si="152"/>
        <v>dom</v>
      </c>
      <c r="M1007" t="str">
        <f t="shared" ca="1" si="149"/>
        <v>ROMAN</v>
      </c>
      <c r="N1007">
        <f t="shared" ca="1" si="150"/>
        <v>14.135862739533396</v>
      </c>
    </row>
    <row r="1008" spans="6:14" x14ac:dyDescent="0.35">
      <c r="F1008">
        <f t="shared" si="157"/>
        <v>15</v>
      </c>
      <c r="G1008">
        <f t="shared" si="154"/>
        <v>16</v>
      </c>
      <c r="H1008">
        <f t="shared" si="155"/>
        <v>0</v>
      </c>
      <c r="K1008" t="str">
        <f t="shared" ca="1" si="151"/>
        <v>ELYGASWTR</v>
      </c>
      <c r="L1008" t="str">
        <f t="shared" ca="1" si="152"/>
        <v>dom</v>
      </c>
      <c r="M1008" t="str">
        <f t="shared" ca="1" si="149"/>
        <v>ROMAN</v>
      </c>
      <c r="N1008">
        <f t="shared" ca="1" si="150"/>
        <v>3.2257101453810837E-7</v>
      </c>
    </row>
    <row r="1009" spans="6:14" x14ac:dyDescent="0.35">
      <c r="F1009">
        <f t="shared" si="157"/>
        <v>15</v>
      </c>
      <c r="G1009">
        <f t="shared" si="154"/>
        <v>17</v>
      </c>
      <c r="H1009">
        <f t="shared" si="155"/>
        <v>0</v>
      </c>
      <c r="K1009" t="str">
        <f t="shared" ca="1" si="151"/>
        <v>CNS</v>
      </c>
      <c r="L1009" t="str">
        <f t="shared" ca="1" si="152"/>
        <v>dom</v>
      </c>
      <c r="M1009" t="str">
        <f t="shared" ca="1" si="149"/>
        <v>ROMAN</v>
      </c>
      <c r="N1009">
        <f t="shared" ca="1" si="150"/>
        <v>469.57130445530981</v>
      </c>
    </row>
    <row r="1010" spans="6:14" x14ac:dyDescent="0.35">
      <c r="F1010">
        <f t="shared" si="157"/>
        <v>15</v>
      </c>
      <c r="G1010">
        <f t="shared" si="154"/>
        <v>18</v>
      </c>
      <c r="H1010">
        <f t="shared" si="155"/>
        <v>0</v>
      </c>
      <c r="K1010" t="str">
        <f t="shared" ca="1" si="151"/>
        <v>TRD</v>
      </c>
      <c r="L1010" t="str">
        <f t="shared" ca="1" si="152"/>
        <v>dom</v>
      </c>
      <c r="M1010" t="str">
        <f t="shared" ca="1" si="149"/>
        <v>ROMAN</v>
      </c>
      <c r="N1010">
        <f t="shared" ca="1" si="150"/>
        <v>75.081320923031953</v>
      </c>
    </row>
    <row r="1011" spans="6:14" x14ac:dyDescent="0.35">
      <c r="F1011">
        <f t="shared" si="157"/>
        <v>15</v>
      </c>
      <c r="G1011">
        <f t="shared" si="154"/>
        <v>19</v>
      </c>
      <c r="H1011">
        <f t="shared" si="155"/>
        <v>0</v>
      </c>
      <c r="K1011" t="str">
        <f t="shared" ca="1" si="151"/>
        <v>AFS</v>
      </c>
      <c r="L1011" t="str">
        <f t="shared" ca="1" si="152"/>
        <v>dom</v>
      </c>
      <c r="M1011" t="str">
        <f t="shared" ca="1" si="149"/>
        <v>ROMAN</v>
      </c>
      <c r="N1011">
        <f t="shared" ca="1" si="150"/>
        <v>3.2257101453810837E-7</v>
      </c>
    </row>
    <row r="1012" spans="6:14" x14ac:dyDescent="0.35">
      <c r="F1012">
        <f t="shared" si="157"/>
        <v>15</v>
      </c>
      <c r="G1012">
        <f t="shared" si="154"/>
        <v>20</v>
      </c>
      <c r="H1012">
        <f t="shared" si="155"/>
        <v>0</v>
      </c>
      <c r="K1012" t="str">
        <f t="shared" ca="1" si="151"/>
        <v>OTP</v>
      </c>
      <c r="L1012" t="str">
        <f t="shared" ca="1" si="152"/>
        <v>dom</v>
      </c>
      <c r="M1012" t="str">
        <f t="shared" ca="1" si="149"/>
        <v>ROMAN</v>
      </c>
      <c r="N1012">
        <f t="shared" ca="1" si="150"/>
        <v>3.2257101453810837E-7</v>
      </c>
    </row>
    <row r="1013" spans="6:14" x14ac:dyDescent="0.35">
      <c r="F1013">
        <f t="shared" ref="F1013:F1028" si="158">F947+1</f>
        <v>15</v>
      </c>
      <c r="G1013">
        <f t="shared" si="154"/>
        <v>21</v>
      </c>
      <c r="H1013">
        <f t="shared" si="155"/>
        <v>0</v>
      </c>
      <c r="K1013" t="str">
        <f t="shared" ca="1" si="151"/>
        <v>WTP</v>
      </c>
      <c r="L1013" t="str">
        <f t="shared" ca="1" si="152"/>
        <v>dom</v>
      </c>
      <c r="M1013" t="str">
        <f t="shared" ca="1" si="149"/>
        <v>ROMAN</v>
      </c>
      <c r="N1013">
        <f t="shared" ca="1" si="150"/>
        <v>3.2257101453810837E-7</v>
      </c>
    </row>
    <row r="1014" spans="6:14" x14ac:dyDescent="0.35">
      <c r="F1014">
        <f t="shared" si="158"/>
        <v>15</v>
      </c>
      <c r="G1014">
        <f t="shared" si="154"/>
        <v>22</v>
      </c>
      <c r="H1014">
        <f t="shared" si="155"/>
        <v>0</v>
      </c>
      <c r="K1014" t="str">
        <f t="shared" ca="1" si="151"/>
        <v>ATP</v>
      </c>
      <c r="L1014" t="str">
        <f t="shared" ca="1" si="152"/>
        <v>dom</v>
      </c>
      <c r="M1014" t="str">
        <f t="shared" ca="1" si="149"/>
        <v>ROMAN</v>
      </c>
      <c r="N1014">
        <f t="shared" ca="1" si="150"/>
        <v>3.2257101453810837E-7</v>
      </c>
    </row>
    <row r="1015" spans="6:14" x14ac:dyDescent="0.35">
      <c r="F1015">
        <f t="shared" si="158"/>
        <v>15</v>
      </c>
      <c r="G1015">
        <f t="shared" si="154"/>
        <v>23</v>
      </c>
      <c r="H1015">
        <f t="shared" si="155"/>
        <v>0</v>
      </c>
      <c r="K1015" t="str">
        <f t="shared" ca="1" si="151"/>
        <v>WHS</v>
      </c>
      <c r="L1015" t="str">
        <f t="shared" ca="1" si="152"/>
        <v>dom</v>
      </c>
      <c r="M1015" t="str">
        <f t="shared" ca="1" si="149"/>
        <v>ROMAN</v>
      </c>
      <c r="N1015">
        <f t="shared" ca="1" si="150"/>
        <v>3.2257101453810837E-7</v>
      </c>
    </row>
    <row r="1016" spans="6:14" x14ac:dyDescent="0.35">
      <c r="F1016">
        <f t="shared" si="158"/>
        <v>15</v>
      </c>
      <c r="G1016">
        <f t="shared" si="154"/>
        <v>24</v>
      </c>
      <c r="H1016">
        <f t="shared" si="155"/>
        <v>0</v>
      </c>
      <c r="K1016" t="str">
        <f t="shared" ca="1" si="151"/>
        <v>CMN</v>
      </c>
      <c r="L1016" t="str">
        <f t="shared" ca="1" si="152"/>
        <v>dom</v>
      </c>
      <c r="M1016" t="str">
        <f t="shared" ca="1" si="149"/>
        <v>ROMAN</v>
      </c>
      <c r="N1016">
        <f t="shared" ca="1" si="150"/>
        <v>3.2257101453810837E-7</v>
      </c>
    </row>
    <row r="1017" spans="6:14" x14ac:dyDescent="0.35">
      <c r="F1017">
        <f t="shared" si="158"/>
        <v>15</v>
      </c>
      <c r="G1017">
        <f t="shared" si="154"/>
        <v>25</v>
      </c>
      <c r="H1017">
        <f t="shared" si="155"/>
        <v>0</v>
      </c>
      <c r="K1017" t="str">
        <f t="shared" ca="1" si="151"/>
        <v>OFI</v>
      </c>
      <c r="L1017" t="str">
        <f t="shared" ca="1" si="152"/>
        <v>dom</v>
      </c>
      <c r="M1017" t="str">
        <f t="shared" ca="1" si="149"/>
        <v>ROMAN</v>
      </c>
      <c r="N1017">
        <f t="shared" ca="1" si="150"/>
        <v>3.2257101453810837E-7</v>
      </c>
    </row>
    <row r="1018" spans="6:14" x14ac:dyDescent="0.35">
      <c r="F1018">
        <f t="shared" si="158"/>
        <v>15</v>
      </c>
      <c r="G1018">
        <f t="shared" si="154"/>
        <v>26</v>
      </c>
      <c r="H1018">
        <f t="shared" si="155"/>
        <v>0</v>
      </c>
      <c r="K1018" t="str">
        <f t="shared" ca="1" si="151"/>
        <v>RSA</v>
      </c>
      <c r="L1018" t="str">
        <f t="shared" ca="1" si="152"/>
        <v>dom</v>
      </c>
      <c r="M1018" t="str">
        <f t="shared" ca="1" si="149"/>
        <v>ROMAN</v>
      </c>
      <c r="N1018">
        <f t="shared" ca="1" si="150"/>
        <v>3.2257101453810837E-7</v>
      </c>
    </row>
    <row r="1019" spans="6:14" x14ac:dyDescent="0.35">
      <c r="F1019">
        <f t="shared" si="158"/>
        <v>15</v>
      </c>
      <c r="G1019">
        <f t="shared" si="154"/>
        <v>27</v>
      </c>
      <c r="H1019">
        <f t="shared" si="155"/>
        <v>0</v>
      </c>
      <c r="K1019" t="str">
        <f t="shared" ca="1" si="151"/>
        <v>OBS</v>
      </c>
      <c r="L1019" t="str">
        <f t="shared" ca="1" si="152"/>
        <v>dom</v>
      </c>
      <c r="M1019" t="str">
        <f t="shared" ca="1" si="149"/>
        <v>ROMAN</v>
      </c>
      <c r="N1019">
        <f t="shared" ca="1" si="150"/>
        <v>3.2257101453810837E-7</v>
      </c>
    </row>
    <row r="1020" spans="6:14" x14ac:dyDescent="0.35">
      <c r="F1020">
        <f t="shared" si="158"/>
        <v>15</v>
      </c>
      <c r="G1020">
        <f t="shared" si="154"/>
        <v>28</v>
      </c>
      <c r="H1020">
        <f t="shared" si="155"/>
        <v>0</v>
      </c>
      <c r="K1020" t="str">
        <f t="shared" ca="1" si="151"/>
        <v>GOV</v>
      </c>
      <c r="L1020" t="str">
        <f t="shared" ca="1" si="152"/>
        <v>dom</v>
      </c>
      <c r="M1020" t="str">
        <f t="shared" ca="1" si="149"/>
        <v>ROMAN</v>
      </c>
      <c r="N1020">
        <f t="shared" ca="1" si="150"/>
        <v>3.2257101453810837E-7</v>
      </c>
    </row>
    <row r="1021" spans="6:14" x14ac:dyDescent="0.35">
      <c r="F1021">
        <f t="shared" si="158"/>
        <v>15</v>
      </c>
      <c r="G1021">
        <f t="shared" si="154"/>
        <v>29</v>
      </c>
      <c r="H1021">
        <f t="shared" si="155"/>
        <v>0</v>
      </c>
      <c r="K1021" t="str">
        <f t="shared" ca="1" si="151"/>
        <v>EDU</v>
      </c>
      <c r="L1021" t="str">
        <f t="shared" ca="1" si="152"/>
        <v>dom</v>
      </c>
      <c r="M1021" t="str">
        <f t="shared" ca="1" si="149"/>
        <v>ROMAN</v>
      </c>
      <c r="N1021">
        <f t="shared" ca="1" si="150"/>
        <v>3.2257101453810837E-7</v>
      </c>
    </row>
    <row r="1022" spans="6:14" x14ac:dyDescent="0.35">
      <c r="F1022">
        <f t="shared" si="158"/>
        <v>15</v>
      </c>
      <c r="G1022">
        <f t="shared" si="154"/>
        <v>30</v>
      </c>
      <c r="H1022">
        <f t="shared" si="155"/>
        <v>0</v>
      </c>
      <c r="K1022" t="str">
        <f t="shared" ca="1" si="151"/>
        <v>HHT</v>
      </c>
      <c r="L1022" t="str">
        <f t="shared" ca="1" si="152"/>
        <v>dom</v>
      </c>
      <c r="M1022" t="str">
        <f t="shared" ca="1" si="149"/>
        <v>ROMAN</v>
      </c>
      <c r="N1022">
        <f t="shared" ca="1" si="150"/>
        <v>3.2257101453810837E-7</v>
      </c>
    </row>
    <row r="1023" spans="6:14" x14ac:dyDescent="0.35">
      <c r="F1023">
        <f t="shared" si="158"/>
        <v>15</v>
      </c>
      <c r="G1023">
        <f t="shared" si="154"/>
        <v>31</v>
      </c>
      <c r="H1023">
        <f t="shared" si="155"/>
        <v>0</v>
      </c>
      <c r="K1023" t="str">
        <f t="shared" ca="1" si="151"/>
        <v>REC</v>
      </c>
      <c r="L1023" t="str">
        <f t="shared" ca="1" si="152"/>
        <v>dom</v>
      </c>
      <c r="M1023" t="str">
        <f t="shared" ca="1" si="149"/>
        <v>ROMAN</v>
      </c>
      <c r="N1023">
        <f t="shared" ca="1" si="150"/>
        <v>3.2257101453810837E-7</v>
      </c>
    </row>
    <row r="1024" spans="6:14" x14ac:dyDescent="0.35">
      <c r="F1024">
        <f t="shared" si="158"/>
        <v>15</v>
      </c>
      <c r="G1024">
        <f t="shared" si="154"/>
        <v>32</v>
      </c>
      <c r="H1024">
        <f t="shared" si="155"/>
        <v>0</v>
      </c>
      <c r="K1024" t="str">
        <f t="shared" ca="1" si="151"/>
        <v>DWE</v>
      </c>
      <c r="L1024" t="str">
        <f t="shared" ca="1" si="152"/>
        <v>dom</v>
      </c>
      <c r="M1024" t="str">
        <f t="shared" ca="1" si="149"/>
        <v>ROMAN</v>
      </c>
      <c r="N1024">
        <f t="shared" ca="1" si="150"/>
        <v>3.2257101453810837E-7</v>
      </c>
    </row>
    <row r="1025" spans="6:14" x14ac:dyDescent="0.35">
      <c r="F1025">
        <f t="shared" si="158"/>
        <v>15</v>
      </c>
      <c r="G1025">
        <f t="shared" si="154"/>
        <v>0</v>
      </c>
      <c r="H1025">
        <f t="shared" si="155"/>
        <v>1</v>
      </c>
      <c r="K1025" t="str">
        <f t="shared" ca="1" si="151"/>
        <v>AG</v>
      </c>
      <c r="L1025" t="str">
        <f t="shared" ca="1" si="152"/>
        <v>imp</v>
      </c>
      <c r="M1025" t="str">
        <f t="shared" ca="1" si="149"/>
        <v>ROMAN</v>
      </c>
      <c r="N1025">
        <f t="shared" ca="1" si="150"/>
        <v>2.9843702674786567</v>
      </c>
    </row>
    <row r="1026" spans="6:14" x14ac:dyDescent="0.35">
      <c r="F1026">
        <f t="shared" si="158"/>
        <v>15</v>
      </c>
      <c r="G1026">
        <f t="shared" si="154"/>
        <v>1</v>
      </c>
      <c r="H1026">
        <f t="shared" si="155"/>
        <v>1</v>
      </c>
      <c r="K1026" t="str">
        <f t="shared" ca="1" si="151"/>
        <v>MIN</v>
      </c>
      <c r="L1026" t="str">
        <f t="shared" ca="1" si="152"/>
        <v>imp</v>
      </c>
      <c r="M1026" t="str">
        <f t="shared" ref="M1026:M1089" ca="1" si="159">OFFSET(A$2,F1026,0)</f>
        <v>ROMAN</v>
      </c>
      <c r="N1026">
        <f t="shared" ref="N1026:N1089" ca="1" si="160">SUMIFS(C:C,A:A,K1026,B:B,L1026)*SUMIFS(U:U,S:S,M1026)</f>
        <v>4.7082371092341981</v>
      </c>
    </row>
    <row r="1027" spans="6:14" x14ac:dyDescent="0.35">
      <c r="F1027">
        <f t="shared" si="158"/>
        <v>15</v>
      </c>
      <c r="G1027">
        <f t="shared" si="154"/>
        <v>2</v>
      </c>
      <c r="H1027">
        <f t="shared" si="155"/>
        <v>1</v>
      </c>
      <c r="K1027" t="str">
        <f t="shared" ref="K1027:K1090" ca="1" si="161">OFFSET(A$2,G1027,0)</f>
        <v>FBT</v>
      </c>
      <c r="L1027" t="str">
        <f t="shared" ref="L1027:L1090" ca="1" si="162">OFFSET($V$3,H1027,0)</f>
        <v>imp</v>
      </c>
      <c r="M1027" t="str">
        <f t="shared" ca="1" si="159"/>
        <v>ROMAN</v>
      </c>
      <c r="N1027">
        <f t="shared" ca="1" si="160"/>
        <v>1.1781453416957293</v>
      </c>
    </row>
    <row r="1028" spans="6:14" x14ac:dyDescent="0.35">
      <c r="F1028">
        <f t="shared" si="158"/>
        <v>15</v>
      </c>
      <c r="G1028">
        <f t="shared" si="154"/>
        <v>3</v>
      </c>
      <c r="H1028">
        <f t="shared" si="155"/>
        <v>1</v>
      </c>
      <c r="K1028" t="str">
        <f t="shared" ca="1" si="161"/>
        <v>TEX</v>
      </c>
      <c r="L1028" t="str">
        <f t="shared" ca="1" si="162"/>
        <v>imp</v>
      </c>
      <c r="M1028" t="str">
        <f t="shared" ca="1" si="159"/>
        <v>ROMAN</v>
      </c>
      <c r="N1028">
        <f t="shared" ca="1" si="160"/>
        <v>23.119942941836076</v>
      </c>
    </row>
    <row r="1029" spans="6:14" x14ac:dyDescent="0.35">
      <c r="F1029">
        <f t="shared" ref="F1029:F1044" si="163">F963+1</f>
        <v>15</v>
      </c>
      <c r="G1029">
        <f t="shared" ref="G1029:G1092" si="164">G996</f>
        <v>4</v>
      </c>
      <c r="H1029">
        <f t="shared" ref="H1029:H1092" si="165">H963</f>
        <v>1</v>
      </c>
      <c r="K1029" t="str">
        <f t="shared" ca="1" si="161"/>
        <v>LEATHER</v>
      </c>
      <c r="L1029" t="str">
        <f t="shared" ca="1" si="162"/>
        <v>imp</v>
      </c>
      <c r="M1029" t="str">
        <f t="shared" ca="1" si="159"/>
        <v>ROMAN</v>
      </c>
      <c r="N1029">
        <f t="shared" ca="1" si="160"/>
        <v>12.049408594808419</v>
      </c>
    </row>
    <row r="1030" spans="6:14" x14ac:dyDescent="0.35">
      <c r="F1030">
        <f t="shared" si="163"/>
        <v>15</v>
      </c>
      <c r="G1030">
        <f t="shared" si="164"/>
        <v>5</v>
      </c>
      <c r="H1030">
        <f t="shared" si="165"/>
        <v>1</v>
      </c>
      <c r="K1030" t="str">
        <f t="shared" ca="1" si="161"/>
        <v>WOOD</v>
      </c>
      <c r="L1030" t="str">
        <f t="shared" ca="1" si="162"/>
        <v>imp</v>
      </c>
      <c r="M1030" t="str">
        <f t="shared" ca="1" si="159"/>
        <v>ROMAN</v>
      </c>
      <c r="N1030">
        <f t="shared" ca="1" si="160"/>
        <v>0.21567559677735468</v>
      </c>
    </row>
    <row r="1031" spans="6:14" x14ac:dyDescent="0.35">
      <c r="F1031">
        <f t="shared" si="163"/>
        <v>15</v>
      </c>
      <c r="G1031">
        <f t="shared" si="164"/>
        <v>6</v>
      </c>
      <c r="H1031">
        <f t="shared" si="165"/>
        <v>1</v>
      </c>
      <c r="K1031" t="str">
        <f t="shared" ca="1" si="161"/>
        <v>PPP</v>
      </c>
      <c r="L1031" t="str">
        <f t="shared" ca="1" si="162"/>
        <v>imp</v>
      </c>
      <c r="M1031" t="str">
        <f t="shared" ca="1" si="159"/>
        <v>ROMAN</v>
      </c>
      <c r="N1031">
        <f t="shared" ca="1" si="160"/>
        <v>3.1057068311772968</v>
      </c>
    </row>
    <row r="1032" spans="6:14" x14ac:dyDescent="0.35">
      <c r="F1032">
        <f t="shared" si="163"/>
        <v>15</v>
      </c>
      <c r="G1032">
        <f t="shared" si="164"/>
        <v>7</v>
      </c>
      <c r="H1032">
        <f t="shared" si="165"/>
        <v>1</v>
      </c>
      <c r="K1032" t="str">
        <f t="shared" ca="1" si="161"/>
        <v>PC</v>
      </c>
      <c r="L1032" t="str">
        <f t="shared" ca="1" si="162"/>
        <v>imp</v>
      </c>
      <c r="M1032" t="str">
        <f t="shared" ca="1" si="159"/>
        <v>ROMAN</v>
      </c>
      <c r="N1032">
        <f t="shared" ca="1" si="160"/>
        <v>0.78205349979678385</v>
      </c>
    </row>
    <row r="1033" spans="6:14" x14ac:dyDescent="0.35">
      <c r="F1033">
        <f t="shared" si="163"/>
        <v>15</v>
      </c>
      <c r="G1033">
        <f t="shared" si="164"/>
        <v>8</v>
      </c>
      <c r="H1033">
        <f t="shared" si="165"/>
        <v>1</v>
      </c>
      <c r="K1033" t="str">
        <f t="shared" ca="1" si="161"/>
        <v>CHM</v>
      </c>
      <c r="L1033" t="str">
        <f t="shared" ca="1" si="162"/>
        <v>imp</v>
      </c>
      <c r="M1033" t="str">
        <f t="shared" ca="1" si="159"/>
        <v>ROMAN</v>
      </c>
      <c r="N1033">
        <f t="shared" ca="1" si="160"/>
        <v>10.720647683230744</v>
      </c>
    </row>
    <row r="1034" spans="6:14" x14ac:dyDescent="0.35">
      <c r="F1034">
        <f t="shared" si="163"/>
        <v>15</v>
      </c>
      <c r="G1034">
        <f t="shared" si="164"/>
        <v>9</v>
      </c>
      <c r="H1034">
        <f t="shared" si="165"/>
        <v>1</v>
      </c>
      <c r="K1034" t="str">
        <f t="shared" ca="1" si="161"/>
        <v>RUBBER</v>
      </c>
      <c r="L1034" t="str">
        <f t="shared" ca="1" si="162"/>
        <v>imp</v>
      </c>
      <c r="M1034" t="str">
        <f t="shared" ca="1" si="159"/>
        <v>ROMAN</v>
      </c>
      <c r="N1034">
        <f t="shared" ca="1" si="160"/>
        <v>8.2105912031639736</v>
      </c>
    </row>
    <row r="1035" spans="6:14" x14ac:dyDescent="0.35">
      <c r="F1035">
        <f t="shared" si="163"/>
        <v>15</v>
      </c>
      <c r="G1035">
        <f t="shared" si="164"/>
        <v>10</v>
      </c>
      <c r="H1035">
        <f t="shared" si="165"/>
        <v>1</v>
      </c>
      <c r="K1035" t="str">
        <f t="shared" ca="1" si="161"/>
        <v>NMM</v>
      </c>
      <c r="L1035" t="str">
        <f t="shared" ca="1" si="162"/>
        <v>imp</v>
      </c>
      <c r="M1035" t="str">
        <f t="shared" ca="1" si="159"/>
        <v>ROMAN</v>
      </c>
      <c r="N1035">
        <f t="shared" ca="1" si="160"/>
        <v>3.0993945320850105</v>
      </c>
    </row>
    <row r="1036" spans="6:14" x14ac:dyDescent="0.35">
      <c r="F1036">
        <f t="shared" si="163"/>
        <v>15</v>
      </c>
      <c r="G1036">
        <f t="shared" si="164"/>
        <v>11</v>
      </c>
      <c r="H1036">
        <f t="shared" si="165"/>
        <v>1</v>
      </c>
      <c r="K1036" t="str">
        <f t="shared" ca="1" si="161"/>
        <v>METAL</v>
      </c>
      <c r="L1036" t="str">
        <f t="shared" ca="1" si="162"/>
        <v>imp</v>
      </c>
      <c r="M1036" t="str">
        <f t="shared" ca="1" si="159"/>
        <v>ROMAN</v>
      </c>
      <c r="N1036">
        <f t="shared" ca="1" si="160"/>
        <v>38.795548272737214</v>
      </c>
    </row>
    <row r="1037" spans="6:14" x14ac:dyDescent="0.35">
      <c r="F1037">
        <f t="shared" si="163"/>
        <v>15</v>
      </c>
      <c r="G1037">
        <f t="shared" si="164"/>
        <v>12</v>
      </c>
      <c r="H1037">
        <f t="shared" si="165"/>
        <v>1</v>
      </c>
      <c r="K1037" t="str">
        <f t="shared" ca="1" si="161"/>
        <v>MACH</v>
      </c>
      <c r="L1037" t="str">
        <f t="shared" ca="1" si="162"/>
        <v>imp</v>
      </c>
      <c r="M1037" t="str">
        <f t="shared" ca="1" si="159"/>
        <v>ROMAN</v>
      </c>
      <c r="N1037">
        <f t="shared" ca="1" si="160"/>
        <v>148.61689524452402</v>
      </c>
    </row>
    <row r="1038" spans="6:14" x14ac:dyDescent="0.35">
      <c r="F1038">
        <f t="shared" si="163"/>
        <v>15</v>
      </c>
      <c r="G1038">
        <f t="shared" si="164"/>
        <v>13</v>
      </c>
      <c r="H1038">
        <f t="shared" si="165"/>
        <v>1</v>
      </c>
      <c r="K1038" t="str">
        <f t="shared" ca="1" si="161"/>
        <v>ELEC</v>
      </c>
      <c r="L1038" t="str">
        <f t="shared" ca="1" si="162"/>
        <v>imp</v>
      </c>
      <c r="M1038" t="str">
        <f t="shared" ca="1" si="159"/>
        <v>ROMAN</v>
      </c>
      <c r="N1038">
        <f t="shared" ca="1" si="160"/>
        <v>79.683845817349876</v>
      </c>
    </row>
    <row r="1039" spans="6:14" x14ac:dyDescent="0.35">
      <c r="F1039">
        <f t="shared" si="163"/>
        <v>15</v>
      </c>
      <c r="G1039">
        <f t="shared" si="164"/>
        <v>14</v>
      </c>
      <c r="H1039">
        <f t="shared" si="165"/>
        <v>1</v>
      </c>
      <c r="K1039" t="str">
        <f t="shared" ca="1" si="161"/>
        <v>TRNEQUIP</v>
      </c>
      <c r="L1039" t="str">
        <f t="shared" ca="1" si="162"/>
        <v>imp</v>
      </c>
      <c r="M1039" t="str">
        <f t="shared" ca="1" si="159"/>
        <v>ROMAN</v>
      </c>
      <c r="N1039">
        <f t="shared" ca="1" si="160"/>
        <v>127.16645514877261</v>
      </c>
    </row>
    <row r="1040" spans="6:14" x14ac:dyDescent="0.35">
      <c r="F1040">
        <f t="shared" si="163"/>
        <v>15</v>
      </c>
      <c r="G1040">
        <f t="shared" si="164"/>
        <v>15</v>
      </c>
      <c r="H1040">
        <f t="shared" si="165"/>
        <v>1</v>
      </c>
      <c r="K1040" t="str">
        <f t="shared" ca="1" si="161"/>
        <v>ROMAN</v>
      </c>
      <c r="L1040" t="str">
        <f t="shared" ca="1" si="162"/>
        <v>imp</v>
      </c>
      <c r="M1040" t="str">
        <f t="shared" ca="1" si="159"/>
        <v>ROMAN</v>
      </c>
      <c r="N1040">
        <f t="shared" ca="1" si="160"/>
        <v>48.251361957928921</v>
      </c>
    </row>
    <row r="1041" spans="6:14" x14ac:dyDescent="0.35">
      <c r="F1041">
        <f t="shared" si="163"/>
        <v>15</v>
      </c>
      <c r="G1041">
        <f t="shared" si="164"/>
        <v>16</v>
      </c>
      <c r="H1041">
        <f t="shared" si="165"/>
        <v>1</v>
      </c>
      <c r="K1041" t="str">
        <f t="shared" ca="1" si="161"/>
        <v>ELYGASWTR</v>
      </c>
      <c r="L1041" t="str">
        <f t="shared" ca="1" si="162"/>
        <v>imp</v>
      </c>
      <c r="M1041" t="str">
        <f t="shared" ca="1" si="159"/>
        <v>ROMAN</v>
      </c>
      <c r="N1041">
        <f t="shared" ca="1" si="160"/>
        <v>3.2257101453810837E-7</v>
      </c>
    </row>
    <row r="1042" spans="6:14" x14ac:dyDescent="0.35">
      <c r="F1042">
        <f t="shared" si="163"/>
        <v>15</v>
      </c>
      <c r="G1042">
        <f t="shared" si="164"/>
        <v>17</v>
      </c>
      <c r="H1042">
        <f t="shared" si="165"/>
        <v>1</v>
      </c>
      <c r="K1042" t="str">
        <f t="shared" ca="1" si="161"/>
        <v>CNS</v>
      </c>
      <c r="L1042" t="str">
        <f t="shared" ca="1" si="162"/>
        <v>imp</v>
      </c>
      <c r="M1042" t="str">
        <f t="shared" ca="1" si="159"/>
        <v>ROMAN</v>
      </c>
      <c r="N1042">
        <f t="shared" ca="1" si="160"/>
        <v>9.4454821851557078</v>
      </c>
    </row>
    <row r="1043" spans="6:14" x14ac:dyDescent="0.35">
      <c r="F1043">
        <f t="shared" si="163"/>
        <v>15</v>
      </c>
      <c r="G1043">
        <f t="shared" si="164"/>
        <v>18</v>
      </c>
      <c r="H1043">
        <f t="shared" si="165"/>
        <v>1</v>
      </c>
      <c r="K1043" t="str">
        <f t="shared" ca="1" si="161"/>
        <v>TRD</v>
      </c>
      <c r="L1043" t="str">
        <f t="shared" ca="1" si="162"/>
        <v>imp</v>
      </c>
      <c r="M1043" t="str">
        <f t="shared" ca="1" si="159"/>
        <v>ROMAN</v>
      </c>
      <c r="N1043">
        <f t="shared" ca="1" si="160"/>
        <v>0.82641587828616103</v>
      </c>
    </row>
    <row r="1044" spans="6:14" x14ac:dyDescent="0.35">
      <c r="F1044">
        <f t="shared" si="163"/>
        <v>15</v>
      </c>
      <c r="G1044">
        <f t="shared" si="164"/>
        <v>19</v>
      </c>
      <c r="H1044">
        <f t="shared" si="165"/>
        <v>1</v>
      </c>
      <c r="K1044" t="str">
        <f t="shared" ca="1" si="161"/>
        <v>AFS</v>
      </c>
      <c r="L1044" t="str">
        <f t="shared" ca="1" si="162"/>
        <v>imp</v>
      </c>
      <c r="M1044" t="str">
        <f t="shared" ca="1" si="159"/>
        <v>ROMAN</v>
      </c>
      <c r="N1044">
        <f t="shared" ca="1" si="160"/>
        <v>3.2257101453810837E-7</v>
      </c>
    </row>
    <row r="1045" spans="6:14" x14ac:dyDescent="0.35">
      <c r="F1045">
        <f t="shared" ref="F1045:F1060" si="166">F979+1</f>
        <v>15</v>
      </c>
      <c r="G1045">
        <f t="shared" si="164"/>
        <v>20</v>
      </c>
      <c r="H1045">
        <f t="shared" si="165"/>
        <v>1</v>
      </c>
      <c r="K1045" t="str">
        <f t="shared" ca="1" si="161"/>
        <v>OTP</v>
      </c>
      <c r="L1045" t="str">
        <f t="shared" ca="1" si="162"/>
        <v>imp</v>
      </c>
      <c r="M1045" t="str">
        <f t="shared" ca="1" si="159"/>
        <v>ROMAN</v>
      </c>
      <c r="N1045">
        <f t="shared" ca="1" si="160"/>
        <v>3.2257101453810837E-7</v>
      </c>
    </row>
    <row r="1046" spans="6:14" x14ac:dyDescent="0.35">
      <c r="F1046">
        <f t="shared" si="166"/>
        <v>15</v>
      </c>
      <c r="G1046">
        <f t="shared" si="164"/>
        <v>21</v>
      </c>
      <c r="H1046">
        <f t="shared" si="165"/>
        <v>1</v>
      </c>
      <c r="K1046" t="str">
        <f t="shared" ca="1" si="161"/>
        <v>WTP</v>
      </c>
      <c r="L1046" t="str">
        <f t="shared" ca="1" si="162"/>
        <v>imp</v>
      </c>
      <c r="M1046" t="str">
        <f t="shared" ca="1" si="159"/>
        <v>ROMAN</v>
      </c>
      <c r="N1046">
        <f t="shared" ca="1" si="160"/>
        <v>3.2257101453810837E-7</v>
      </c>
    </row>
    <row r="1047" spans="6:14" x14ac:dyDescent="0.35">
      <c r="F1047">
        <f t="shared" si="166"/>
        <v>15</v>
      </c>
      <c r="G1047">
        <f t="shared" si="164"/>
        <v>22</v>
      </c>
      <c r="H1047">
        <f t="shared" si="165"/>
        <v>1</v>
      </c>
      <c r="K1047" t="str">
        <f t="shared" ca="1" si="161"/>
        <v>ATP</v>
      </c>
      <c r="L1047" t="str">
        <f t="shared" ca="1" si="162"/>
        <v>imp</v>
      </c>
      <c r="M1047" t="str">
        <f t="shared" ca="1" si="159"/>
        <v>ROMAN</v>
      </c>
      <c r="N1047">
        <f t="shared" ca="1" si="160"/>
        <v>3.2257101453810837E-7</v>
      </c>
    </row>
    <row r="1048" spans="6:14" x14ac:dyDescent="0.35">
      <c r="F1048">
        <f t="shared" si="166"/>
        <v>15</v>
      </c>
      <c r="G1048">
        <f t="shared" si="164"/>
        <v>23</v>
      </c>
      <c r="H1048">
        <f t="shared" si="165"/>
        <v>1</v>
      </c>
      <c r="K1048" t="str">
        <f t="shared" ca="1" si="161"/>
        <v>WHS</v>
      </c>
      <c r="L1048" t="str">
        <f t="shared" ca="1" si="162"/>
        <v>imp</v>
      </c>
      <c r="M1048" t="str">
        <f t="shared" ca="1" si="159"/>
        <v>ROMAN</v>
      </c>
      <c r="N1048">
        <f t="shared" ca="1" si="160"/>
        <v>3.2257101453810837E-7</v>
      </c>
    </row>
    <row r="1049" spans="6:14" x14ac:dyDescent="0.35">
      <c r="F1049">
        <f t="shared" si="166"/>
        <v>15</v>
      </c>
      <c r="G1049">
        <f t="shared" si="164"/>
        <v>24</v>
      </c>
      <c r="H1049">
        <f t="shared" si="165"/>
        <v>1</v>
      </c>
      <c r="K1049" t="str">
        <f t="shared" ca="1" si="161"/>
        <v>CMN</v>
      </c>
      <c r="L1049" t="str">
        <f t="shared" ca="1" si="162"/>
        <v>imp</v>
      </c>
      <c r="M1049" t="str">
        <f t="shared" ca="1" si="159"/>
        <v>ROMAN</v>
      </c>
      <c r="N1049">
        <f t="shared" ca="1" si="160"/>
        <v>3.2257101453810837E-7</v>
      </c>
    </row>
    <row r="1050" spans="6:14" x14ac:dyDescent="0.35">
      <c r="F1050">
        <f t="shared" si="166"/>
        <v>15</v>
      </c>
      <c r="G1050">
        <f t="shared" si="164"/>
        <v>25</v>
      </c>
      <c r="H1050">
        <f t="shared" si="165"/>
        <v>1</v>
      </c>
      <c r="K1050" t="str">
        <f t="shared" ca="1" si="161"/>
        <v>OFI</v>
      </c>
      <c r="L1050" t="str">
        <f t="shared" ca="1" si="162"/>
        <v>imp</v>
      </c>
      <c r="M1050" t="str">
        <f t="shared" ca="1" si="159"/>
        <v>ROMAN</v>
      </c>
      <c r="N1050">
        <f t="shared" ca="1" si="160"/>
        <v>3.2257101453810837E-7</v>
      </c>
    </row>
    <row r="1051" spans="6:14" x14ac:dyDescent="0.35">
      <c r="F1051">
        <f t="shared" si="166"/>
        <v>15</v>
      </c>
      <c r="G1051">
        <f t="shared" si="164"/>
        <v>26</v>
      </c>
      <c r="H1051">
        <f t="shared" si="165"/>
        <v>1</v>
      </c>
      <c r="K1051" t="str">
        <f t="shared" ca="1" si="161"/>
        <v>RSA</v>
      </c>
      <c r="L1051" t="str">
        <f t="shared" ca="1" si="162"/>
        <v>imp</v>
      </c>
      <c r="M1051" t="str">
        <f t="shared" ca="1" si="159"/>
        <v>ROMAN</v>
      </c>
      <c r="N1051">
        <f t="shared" ca="1" si="160"/>
        <v>3.2257101453810837E-7</v>
      </c>
    </row>
    <row r="1052" spans="6:14" x14ac:dyDescent="0.35">
      <c r="F1052">
        <f t="shared" si="166"/>
        <v>15</v>
      </c>
      <c r="G1052">
        <f t="shared" si="164"/>
        <v>27</v>
      </c>
      <c r="H1052">
        <f t="shared" si="165"/>
        <v>1</v>
      </c>
      <c r="K1052" t="str">
        <f t="shared" ca="1" si="161"/>
        <v>OBS</v>
      </c>
      <c r="L1052" t="str">
        <f t="shared" ca="1" si="162"/>
        <v>imp</v>
      </c>
      <c r="M1052" t="str">
        <f t="shared" ca="1" si="159"/>
        <v>ROMAN</v>
      </c>
      <c r="N1052">
        <f t="shared" ca="1" si="160"/>
        <v>3.2257101453810837E-7</v>
      </c>
    </row>
    <row r="1053" spans="6:14" x14ac:dyDescent="0.35">
      <c r="F1053">
        <f t="shared" si="166"/>
        <v>15</v>
      </c>
      <c r="G1053">
        <f t="shared" si="164"/>
        <v>28</v>
      </c>
      <c r="H1053">
        <f t="shared" si="165"/>
        <v>1</v>
      </c>
      <c r="K1053" t="str">
        <f t="shared" ca="1" si="161"/>
        <v>GOV</v>
      </c>
      <c r="L1053" t="str">
        <f t="shared" ca="1" si="162"/>
        <v>imp</v>
      </c>
      <c r="M1053" t="str">
        <f t="shared" ca="1" si="159"/>
        <v>ROMAN</v>
      </c>
      <c r="N1053">
        <f t="shared" ca="1" si="160"/>
        <v>3.2257101453810837E-7</v>
      </c>
    </row>
    <row r="1054" spans="6:14" x14ac:dyDescent="0.35">
      <c r="F1054">
        <f t="shared" si="166"/>
        <v>15</v>
      </c>
      <c r="G1054">
        <f t="shared" si="164"/>
        <v>29</v>
      </c>
      <c r="H1054">
        <f t="shared" si="165"/>
        <v>1</v>
      </c>
      <c r="K1054" t="str">
        <f t="shared" ca="1" si="161"/>
        <v>EDU</v>
      </c>
      <c r="L1054" t="str">
        <f t="shared" ca="1" si="162"/>
        <v>imp</v>
      </c>
      <c r="M1054" t="str">
        <f t="shared" ca="1" si="159"/>
        <v>ROMAN</v>
      </c>
      <c r="N1054">
        <f t="shared" ca="1" si="160"/>
        <v>3.2257101453810837E-7</v>
      </c>
    </row>
    <row r="1055" spans="6:14" x14ac:dyDescent="0.35">
      <c r="F1055">
        <f t="shared" si="166"/>
        <v>15</v>
      </c>
      <c r="G1055">
        <f t="shared" si="164"/>
        <v>30</v>
      </c>
      <c r="H1055">
        <f t="shared" si="165"/>
        <v>1</v>
      </c>
      <c r="K1055" t="str">
        <f t="shared" ca="1" si="161"/>
        <v>HHT</v>
      </c>
      <c r="L1055" t="str">
        <f t="shared" ca="1" si="162"/>
        <v>imp</v>
      </c>
      <c r="M1055" t="str">
        <f t="shared" ca="1" si="159"/>
        <v>ROMAN</v>
      </c>
      <c r="N1055">
        <f t="shared" ca="1" si="160"/>
        <v>3.2257101453810837E-7</v>
      </c>
    </row>
    <row r="1056" spans="6:14" x14ac:dyDescent="0.35">
      <c r="F1056">
        <f t="shared" si="166"/>
        <v>15</v>
      </c>
      <c r="G1056">
        <f t="shared" si="164"/>
        <v>31</v>
      </c>
      <c r="H1056">
        <f t="shared" si="165"/>
        <v>1</v>
      </c>
      <c r="K1056" t="str">
        <f t="shared" ca="1" si="161"/>
        <v>REC</v>
      </c>
      <c r="L1056" t="str">
        <f t="shared" ca="1" si="162"/>
        <v>imp</v>
      </c>
      <c r="M1056" t="str">
        <f t="shared" ca="1" si="159"/>
        <v>ROMAN</v>
      </c>
      <c r="N1056">
        <f t="shared" ca="1" si="160"/>
        <v>3.2257101453810837E-7</v>
      </c>
    </row>
    <row r="1057" spans="6:14" x14ac:dyDescent="0.35">
      <c r="F1057">
        <f t="shared" si="166"/>
        <v>15</v>
      </c>
      <c r="G1057">
        <f t="shared" si="164"/>
        <v>32</v>
      </c>
      <c r="H1057">
        <f t="shared" si="165"/>
        <v>1</v>
      </c>
      <c r="K1057" t="str">
        <f t="shared" ca="1" si="161"/>
        <v>DWE</v>
      </c>
      <c r="L1057" t="str">
        <f t="shared" ca="1" si="162"/>
        <v>imp</v>
      </c>
      <c r="M1057" t="str">
        <f t="shared" ca="1" si="159"/>
        <v>ROMAN</v>
      </c>
      <c r="N1057">
        <f t="shared" ca="1" si="160"/>
        <v>3.2257101453810837E-7</v>
      </c>
    </row>
    <row r="1058" spans="6:14" x14ac:dyDescent="0.35">
      <c r="F1058">
        <f t="shared" si="166"/>
        <v>16</v>
      </c>
      <c r="G1058">
        <f t="shared" si="164"/>
        <v>0</v>
      </c>
      <c r="H1058">
        <f t="shared" si="165"/>
        <v>0</v>
      </c>
      <c r="K1058" t="str">
        <f t="shared" ca="1" si="161"/>
        <v>AG</v>
      </c>
      <c r="L1058" t="str">
        <f t="shared" ca="1" si="162"/>
        <v>dom</v>
      </c>
      <c r="M1058" t="str">
        <f t="shared" ca="1" si="159"/>
        <v>ELYGASWTR</v>
      </c>
      <c r="N1058">
        <f t="shared" ca="1" si="160"/>
        <v>1.5828424341563176</v>
      </c>
    </row>
    <row r="1059" spans="6:14" x14ac:dyDescent="0.35">
      <c r="F1059">
        <f t="shared" si="166"/>
        <v>16</v>
      </c>
      <c r="G1059">
        <f t="shared" si="164"/>
        <v>1</v>
      </c>
      <c r="H1059">
        <f t="shared" si="165"/>
        <v>0</v>
      </c>
      <c r="K1059" t="str">
        <f t="shared" ca="1" si="161"/>
        <v>MIN</v>
      </c>
      <c r="L1059" t="str">
        <f t="shared" ca="1" si="162"/>
        <v>dom</v>
      </c>
      <c r="M1059" t="str">
        <f t="shared" ca="1" si="159"/>
        <v>ELYGASWTR</v>
      </c>
      <c r="N1059">
        <f t="shared" ca="1" si="160"/>
        <v>2.7611374674223113</v>
      </c>
    </row>
    <row r="1060" spans="6:14" x14ac:dyDescent="0.35">
      <c r="F1060">
        <f t="shared" si="166"/>
        <v>16</v>
      </c>
      <c r="G1060">
        <f t="shared" si="164"/>
        <v>2</v>
      </c>
      <c r="H1060">
        <f t="shared" si="165"/>
        <v>0</v>
      </c>
      <c r="K1060" t="str">
        <f t="shared" ca="1" si="161"/>
        <v>FBT</v>
      </c>
      <c r="L1060" t="str">
        <f t="shared" ca="1" si="162"/>
        <v>dom</v>
      </c>
      <c r="M1060" t="str">
        <f t="shared" ca="1" si="159"/>
        <v>ELYGASWTR</v>
      </c>
      <c r="N1060">
        <f t="shared" ca="1" si="160"/>
        <v>4.6491725150100152</v>
      </c>
    </row>
    <row r="1061" spans="6:14" x14ac:dyDescent="0.35">
      <c r="F1061">
        <f t="shared" ref="F1061:F1076" si="167">F995+1</f>
        <v>16</v>
      </c>
      <c r="G1061">
        <f t="shared" si="164"/>
        <v>3</v>
      </c>
      <c r="H1061">
        <f t="shared" si="165"/>
        <v>0</v>
      </c>
      <c r="K1061" t="str">
        <f t="shared" ca="1" si="161"/>
        <v>TEX</v>
      </c>
      <c r="L1061" t="str">
        <f t="shared" ca="1" si="162"/>
        <v>dom</v>
      </c>
      <c r="M1061" t="str">
        <f t="shared" ca="1" si="159"/>
        <v>ELYGASWTR</v>
      </c>
      <c r="N1061">
        <f t="shared" ca="1" si="160"/>
        <v>24.216856347719407</v>
      </c>
    </row>
    <row r="1062" spans="6:14" x14ac:dyDescent="0.35">
      <c r="F1062">
        <f t="shared" si="167"/>
        <v>16</v>
      </c>
      <c r="G1062">
        <f t="shared" si="164"/>
        <v>4</v>
      </c>
      <c r="H1062">
        <f t="shared" si="165"/>
        <v>0</v>
      </c>
      <c r="K1062" t="str">
        <f t="shared" ca="1" si="161"/>
        <v>LEATHER</v>
      </c>
      <c r="L1062" t="str">
        <f t="shared" ca="1" si="162"/>
        <v>dom</v>
      </c>
      <c r="M1062" t="str">
        <f t="shared" ca="1" si="159"/>
        <v>ELYGASWTR</v>
      </c>
      <c r="N1062">
        <f t="shared" ca="1" si="160"/>
        <v>0.17183840860639785</v>
      </c>
    </row>
    <row r="1063" spans="6:14" x14ac:dyDescent="0.35">
      <c r="F1063">
        <f t="shared" si="167"/>
        <v>16</v>
      </c>
      <c r="G1063">
        <f t="shared" si="164"/>
        <v>5</v>
      </c>
      <c r="H1063">
        <f t="shared" si="165"/>
        <v>0</v>
      </c>
      <c r="K1063" t="str">
        <f t="shared" ca="1" si="161"/>
        <v>WOOD</v>
      </c>
      <c r="L1063" t="str">
        <f t="shared" ca="1" si="162"/>
        <v>dom</v>
      </c>
      <c r="M1063" t="str">
        <f t="shared" ca="1" si="159"/>
        <v>ELYGASWTR</v>
      </c>
      <c r="N1063">
        <f t="shared" ca="1" si="160"/>
        <v>1.0578231609146627</v>
      </c>
    </row>
    <row r="1064" spans="6:14" x14ac:dyDescent="0.35">
      <c r="F1064">
        <f t="shared" si="167"/>
        <v>16</v>
      </c>
      <c r="G1064">
        <f t="shared" si="164"/>
        <v>6</v>
      </c>
      <c r="H1064">
        <f t="shared" si="165"/>
        <v>0</v>
      </c>
      <c r="K1064" t="str">
        <f t="shared" ca="1" si="161"/>
        <v>PPP</v>
      </c>
      <c r="L1064" t="str">
        <f t="shared" ca="1" si="162"/>
        <v>dom</v>
      </c>
      <c r="M1064" t="str">
        <f t="shared" ca="1" si="159"/>
        <v>ELYGASWTR</v>
      </c>
      <c r="N1064">
        <f t="shared" ca="1" si="160"/>
        <v>21.172943845829785</v>
      </c>
    </row>
    <row r="1065" spans="6:14" x14ac:dyDescent="0.35">
      <c r="F1065">
        <f t="shared" si="167"/>
        <v>16</v>
      </c>
      <c r="G1065">
        <f t="shared" si="164"/>
        <v>7</v>
      </c>
      <c r="H1065">
        <f t="shared" si="165"/>
        <v>0</v>
      </c>
      <c r="K1065" t="str">
        <f t="shared" ca="1" si="161"/>
        <v>PC</v>
      </c>
      <c r="L1065" t="str">
        <f t="shared" ca="1" si="162"/>
        <v>dom</v>
      </c>
      <c r="M1065" t="str">
        <f t="shared" ca="1" si="159"/>
        <v>ELYGASWTR</v>
      </c>
      <c r="N1065">
        <f t="shared" ca="1" si="160"/>
        <v>3.2263488466685226</v>
      </c>
    </row>
    <row r="1066" spans="6:14" x14ac:dyDescent="0.35">
      <c r="F1066">
        <f t="shared" si="167"/>
        <v>16</v>
      </c>
      <c r="G1066">
        <f t="shared" si="164"/>
        <v>8</v>
      </c>
      <c r="H1066">
        <f t="shared" si="165"/>
        <v>0</v>
      </c>
      <c r="K1066" t="str">
        <f t="shared" ca="1" si="161"/>
        <v>CHM</v>
      </c>
      <c r="L1066" t="str">
        <f t="shared" ca="1" si="162"/>
        <v>dom</v>
      </c>
      <c r="M1066" t="str">
        <f t="shared" ca="1" si="159"/>
        <v>ELYGASWTR</v>
      </c>
      <c r="N1066">
        <f t="shared" ca="1" si="160"/>
        <v>20.091121518016745</v>
      </c>
    </row>
    <row r="1067" spans="6:14" x14ac:dyDescent="0.35">
      <c r="F1067">
        <f t="shared" si="167"/>
        <v>16</v>
      </c>
      <c r="G1067">
        <f t="shared" si="164"/>
        <v>9</v>
      </c>
      <c r="H1067">
        <f t="shared" si="165"/>
        <v>0</v>
      </c>
      <c r="K1067" t="str">
        <f t="shared" ca="1" si="161"/>
        <v>RUBBER</v>
      </c>
      <c r="L1067" t="str">
        <f t="shared" ca="1" si="162"/>
        <v>dom</v>
      </c>
      <c r="M1067" t="str">
        <f t="shared" ca="1" si="159"/>
        <v>ELYGASWTR</v>
      </c>
      <c r="N1067">
        <f t="shared" ca="1" si="160"/>
        <v>31.450712060028778</v>
      </c>
    </row>
    <row r="1068" spans="6:14" x14ac:dyDescent="0.35">
      <c r="F1068">
        <f t="shared" si="167"/>
        <v>16</v>
      </c>
      <c r="G1068">
        <f t="shared" si="164"/>
        <v>10</v>
      </c>
      <c r="H1068">
        <f t="shared" si="165"/>
        <v>0</v>
      </c>
      <c r="K1068" t="str">
        <f t="shared" ca="1" si="161"/>
        <v>NMM</v>
      </c>
      <c r="L1068" t="str">
        <f t="shared" ca="1" si="162"/>
        <v>dom</v>
      </c>
      <c r="M1068" t="str">
        <f t="shared" ca="1" si="159"/>
        <v>ELYGASWTR</v>
      </c>
      <c r="N1068">
        <f t="shared" ca="1" si="160"/>
        <v>29.135175651094638</v>
      </c>
    </row>
    <row r="1069" spans="6:14" x14ac:dyDescent="0.35">
      <c r="F1069">
        <f t="shared" si="167"/>
        <v>16</v>
      </c>
      <c r="G1069">
        <f t="shared" si="164"/>
        <v>11</v>
      </c>
      <c r="H1069">
        <f t="shared" si="165"/>
        <v>0</v>
      </c>
      <c r="K1069" t="str">
        <f t="shared" ca="1" si="161"/>
        <v>METAL</v>
      </c>
      <c r="L1069" t="str">
        <f t="shared" ca="1" si="162"/>
        <v>dom</v>
      </c>
      <c r="M1069" t="str">
        <f t="shared" ca="1" si="159"/>
        <v>ELYGASWTR</v>
      </c>
      <c r="N1069">
        <f t="shared" ca="1" si="160"/>
        <v>85.2153470745926</v>
      </c>
    </row>
    <row r="1070" spans="6:14" x14ac:dyDescent="0.35">
      <c r="F1070">
        <f t="shared" si="167"/>
        <v>16</v>
      </c>
      <c r="G1070">
        <f t="shared" si="164"/>
        <v>12</v>
      </c>
      <c r="H1070">
        <f t="shared" si="165"/>
        <v>0</v>
      </c>
      <c r="K1070" t="str">
        <f t="shared" ca="1" si="161"/>
        <v>MACH</v>
      </c>
      <c r="L1070" t="str">
        <f t="shared" ca="1" si="162"/>
        <v>dom</v>
      </c>
      <c r="M1070" t="str">
        <f t="shared" ca="1" si="159"/>
        <v>ELYGASWTR</v>
      </c>
      <c r="N1070">
        <f t="shared" ca="1" si="160"/>
        <v>123.34249703018637</v>
      </c>
    </row>
    <row r="1071" spans="6:14" x14ac:dyDescent="0.35">
      <c r="F1071">
        <f t="shared" si="167"/>
        <v>16</v>
      </c>
      <c r="G1071">
        <f t="shared" si="164"/>
        <v>13</v>
      </c>
      <c r="H1071">
        <f t="shared" si="165"/>
        <v>0</v>
      </c>
      <c r="K1071" t="str">
        <f t="shared" ca="1" si="161"/>
        <v>ELEC</v>
      </c>
      <c r="L1071" t="str">
        <f t="shared" ca="1" si="162"/>
        <v>dom</v>
      </c>
      <c r="M1071" t="str">
        <f t="shared" ca="1" si="159"/>
        <v>ELYGASWTR</v>
      </c>
      <c r="N1071">
        <f t="shared" ca="1" si="160"/>
        <v>25.65791737897678</v>
      </c>
    </row>
    <row r="1072" spans="6:14" x14ac:dyDescent="0.35">
      <c r="F1072">
        <f t="shared" si="167"/>
        <v>16</v>
      </c>
      <c r="G1072">
        <f t="shared" si="164"/>
        <v>14</v>
      </c>
      <c r="H1072">
        <f t="shared" si="165"/>
        <v>0</v>
      </c>
      <c r="K1072" t="str">
        <f t="shared" ca="1" si="161"/>
        <v>TRNEQUIP</v>
      </c>
      <c r="L1072" t="str">
        <f t="shared" ca="1" si="162"/>
        <v>dom</v>
      </c>
      <c r="M1072" t="str">
        <f t="shared" ca="1" si="159"/>
        <v>ELYGASWTR</v>
      </c>
      <c r="N1072">
        <f t="shared" ca="1" si="160"/>
        <v>37.063064949880363</v>
      </c>
    </row>
    <row r="1073" spans="6:14" x14ac:dyDescent="0.35">
      <c r="F1073">
        <f t="shared" si="167"/>
        <v>16</v>
      </c>
      <c r="G1073">
        <f t="shared" si="164"/>
        <v>15</v>
      </c>
      <c r="H1073">
        <f t="shared" si="165"/>
        <v>0</v>
      </c>
      <c r="K1073" t="str">
        <f t="shared" ca="1" si="161"/>
        <v>ROMAN</v>
      </c>
      <c r="L1073" t="str">
        <f t="shared" ca="1" si="162"/>
        <v>dom</v>
      </c>
      <c r="M1073" t="str">
        <f t="shared" ca="1" si="159"/>
        <v>ELYGASWTR</v>
      </c>
      <c r="N1073">
        <f t="shared" ca="1" si="160"/>
        <v>100.9203193593697</v>
      </c>
    </row>
    <row r="1074" spans="6:14" x14ac:dyDescent="0.35">
      <c r="F1074">
        <f t="shared" si="167"/>
        <v>16</v>
      </c>
      <c r="G1074">
        <f t="shared" si="164"/>
        <v>16</v>
      </c>
      <c r="H1074">
        <f t="shared" si="165"/>
        <v>0</v>
      </c>
      <c r="K1074" t="str">
        <f t="shared" ca="1" si="161"/>
        <v>ELYGASWTR</v>
      </c>
      <c r="L1074" t="str">
        <f t="shared" ca="1" si="162"/>
        <v>dom</v>
      </c>
      <c r="M1074" t="str">
        <f t="shared" ca="1" si="159"/>
        <v>ELYGASWTR</v>
      </c>
      <c r="N1074">
        <f t="shared" ca="1" si="160"/>
        <v>2.3029347697483615E-6</v>
      </c>
    </row>
    <row r="1075" spans="6:14" x14ac:dyDescent="0.35">
      <c r="F1075">
        <f t="shared" si="167"/>
        <v>16</v>
      </c>
      <c r="G1075">
        <f t="shared" si="164"/>
        <v>17</v>
      </c>
      <c r="H1075">
        <f t="shared" si="165"/>
        <v>0</v>
      </c>
      <c r="K1075" t="str">
        <f t="shared" ca="1" si="161"/>
        <v>CNS</v>
      </c>
      <c r="L1075" t="str">
        <f t="shared" ca="1" si="162"/>
        <v>dom</v>
      </c>
      <c r="M1075" t="str">
        <f t="shared" ca="1" si="159"/>
        <v>ELYGASWTR</v>
      </c>
      <c r="N1075">
        <f t="shared" ca="1" si="160"/>
        <v>3352.4155462470158</v>
      </c>
    </row>
    <row r="1076" spans="6:14" x14ac:dyDescent="0.35">
      <c r="F1076">
        <f t="shared" si="167"/>
        <v>16</v>
      </c>
      <c r="G1076">
        <f t="shared" si="164"/>
        <v>18</v>
      </c>
      <c r="H1076">
        <f t="shared" si="165"/>
        <v>0</v>
      </c>
      <c r="K1076" t="str">
        <f t="shared" ca="1" si="161"/>
        <v>TRD</v>
      </c>
      <c r="L1076" t="str">
        <f t="shared" ca="1" si="162"/>
        <v>dom</v>
      </c>
      <c r="M1076" t="str">
        <f t="shared" ca="1" si="159"/>
        <v>ELYGASWTR</v>
      </c>
      <c r="N1076">
        <f t="shared" ca="1" si="160"/>
        <v>536.02889509422505</v>
      </c>
    </row>
    <row r="1077" spans="6:14" x14ac:dyDescent="0.35">
      <c r="F1077">
        <f t="shared" ref="F1077:F1092" si="168">F1011+1</f>
        <v>16</v>
      </c>
      <c r="G1077">
        <f t="shared" si="164"/>
        <v>19</v>
      </c>
      <c r="H1077">
        <f t="shared" si="165"/>
        <v>0</v>
      </c>
      <c r="K1077" t="str">
        <f t="shared" ca="1" si="161"/>
        <v>AFS</v>
      </c>
      <c r="L1077" t="str">
        <f t="shared" ca="1" si="162"/>
        <v>dom</v>
      </c>
      <c r="M1077" t="str">
        <f t="shared" ca="1" si="159"/>
        <v>ELYGASWTR</v>
      </c>
      <c r="N1077">
        <f t="shared" ca="1" si="160"/>
        <v>2.3029347697483615E-6</v>
      </c>
    </row>
    <row r="1078" spans="6:14" x14ac:dyDescent="0.35">
      <c r="F1078">
        <f t="shared" si="168"/>
        <v>16</v>
      </c>
      <c r="G1078">
        <f t="shared" si="164"/>
        <v>20</v>
      </c>
      <c r="H1078">
        <f t="shared" si="165"/>
        <v>0</v>
      </c>
      <c r="K1078" t="str">
        <f t="shared" ca="1" si="161"/>
        <v>OTP</v>
      </c>
      <c r="L1078" t="str">
        <f t="shared" ca="1" si="162"/>
        <v>dom</v>
      </c>
      <c r="M1078" t="str">
        <f t="shared" ca="1" si="159"/>
        <v>ELYGASWTR</v>
      </c>
      <c r="N1078">
        <f t="shared" ca="1" si="160"/>
        <v>2.3029347697483615E-6</v>
      </c>
    </row>
    <row r="1079" spans="6:14" x14ac:dyDescent="0.35">
      <c r="F1079">
        <f t="shared" si="168"/>
        <v>16</v>
      </c>
      <c r="G1079">
        <f t="shared" si="164"/>
        <v>21</v>
      </c>
      <c r="H1079">
        <f t="shared" si="165"/>
        <v>0</v>
      </c>
      <c r="K1079" t="str">
        <f t="shared" ca="1" si="161"/>
        <v>WTP</v>
      </c>
      <c r="L1079" t="str">
        <f t="shared" ca="1" si="162"/>
        <v>dom</v>
      </c>
      <c r="M1079" t="str">
        <f t="shared" ca="1" si="159"/>
        <v>ELYGASWTR</v>
      </c>
      <c r="N1079">
        <f t="shared" ca="1" si="160"/>
        <v>2.3029347697483615E-6</v>
      </c>
    </row>
    <row r="1080" spans="6:14" x14ac:dyDescent="0.35">
      <c r="F1080">
        <f t="shared" si="168"/>
        <v>16</v>
      </c>
      <c r="G1080">
        <f t="shared" si="164"/>
        <v>22</v>
      </c>
      <c r="H1080">
        <f t="shared" si="165"/>
        <v>0</v>
      </c>
      <c r="K1080" t="str">
        <f t="shared" ca="1" si="161"/>
        <v>ATP</v>
      </c>
      <c r="L1080" t="str">
        <f t="shared" ca="1" si="162"/>
        <v>dom</v>
      </c>
      <c r="M1080" t="str">
        <f t="shared" ca="1" si="159"/>
        <v>ELYGASWTR</v>
      </c>
      <c r="N1080">
        <f t="shared" ca="1" si="160"/>
        <v>2.3029347697483615E-6</v>
      </c>
    </row>
    <row r="1081" spans="6:14" x14ac:dyDescent="0.35">
      <c r="F1081">
        <f t="shared" si="168"/>
        <v>16</v>
      </c>
      <c r="G1081">
        <f t="shared" si="164"/>
        <v>23</v>
      </c>
      <c r="H1081">
        <f t="shared" si="165"/>
        <v>0</v>
      </c>
      <c r="K1081" t="str">
        <f t="shared" ca="1" si="161"/>
        <v>WHS</v>
      </c>
      <c r="L1081" t="str">
        <f t="shared" ca="1" si="162"/>
        <v>dom</v>
      </c>
      <c r="M1081" t="str">
        <f t="shared" ca="1" si="159"/>
        <v>ELYGASWTR</v>
      </c>
      <c r="N1081">
        <f t="shared" ca="1" si="160"/>
        <v>2.3029347697483615E-6</v>
      </c>
    </row>
    <row r="1082" spans="6:14" x14ac:dyDescent="0.35">
      <c r="F1082">
        <f t="shared" si="168"/>
        <v>16</v>
      </c>
      <c r="G1082">
        <f t="shared" si="164"/>
        <v>24</v>
      </c>
      <c r="H1082">
        <f t="shared" si="165"/>
        <v>0</v>
      </c>
      <c r="K1082" t="str">
        <f t="shared" ca="1" si="161"/>
        <v>CMN</v>
      </c>
      <c r="L1082" t="str">
        <f t="shared" ca="1" si="162"/>
        <v>dom</v>
      </c>
      <c r="M1082" t="str">
        <f t="shared" ca="1" si="159"/>
        <v>ELYGASWTR</v>
      </c>
      <c r="N1082">
        <f t="shared" ca="1" si="160"/>
        <v>2.3029347697483615E-6</v>
      </c>
    </row>
    <row r="1083" spans="6:14" x14ac:dyDescent="0.35">
      <c r="F1083">
        <f t="shared" si="168"/>
        <v>16</v>
      </c>
      <c r="G1083">
        <f t="shared" si="164"/>
        <v>25</v>
      </c>
      <c r="H1083">
        <f t="shared" si="165"/>
        <v>0</v>
      </c>
      <c r="K1083" t="str">
        <f t="shared" ca="1" si="161"/>
        <v>OFI</v>
      </c>
      <c r="L1083" t="str">
        <f t="shared" ca="1" si="162"/>
        <v>dom</v>
      </c>
      <c r="M1083" t="str">
        <f t="shared" ca="1" si="159"/>
        <v>ELYGASWTR</v>
      </c>
      <c r="N1083">
        <f t="shared" ca="1" si="160"/>
        <v>2.3029347697483615E-6</v>
      </c>
    </row>
    <row r="1084" spans="6:14" x14ac:dyDescent="0.35">
      <c r="F1084">
        <f t="shared" si="168"/>
        <v>16</v>
      </c>
      <c r="G1084">
        <f t="shared" si="164"/>
        <v>26</v>
      </c>
      <c r="H1084">
        <f t="shared" si="165"/>
        <v>0</v>
      </c>
      <c r="K1084" t="str">
        <f t="shared" ca="1" si="161"/>
        <v>RSA</v>
      </c>
      <c r="L1084" t="str">
        <f t="shared" ca="1" si="162"/>
        <v>dom</v>
      </c>
      <c r="M1084" t="str">
        <f t="shared" ca="1" si="159"/>
        <v>ELYGASWTR</v>
      </c>
      <c r="N1084">
        <f t="shared" ca="1" si="160"/>
        <v>2.3029347697483615E-6</v>
      </c>
    </row>
    <row r="1085" spans="6:14" x14ac:dyDescent="0.35">
      <c r="F1085">
        <f t="shared" si="168"/>
        <v>16</v>
      </c>
      <c r="G1085">
        <f t="shared" si="164"/>
        <v>27</v>
      </c>
      <c r="H1085">
        <f t="shared" si="165"/>
        <v>0</v>
      </c>
      <c r="K1085" t="str">
        <f t="shared" ca="1" si="161"/>
        <v>OBS</v>
      </c>
      <c r="L1085" t="str">
        <f t="shared" ca="1" si="162"/>
        <v>dom</v>
      </c>
      <c r="M1085" t="str">
        <f t="shared" ca="1" si="159"/>
        <v>ELYGASWTR</v>
      </c>
      <c r="N1085">
        <f t="shared" ca="1" si="160"/>
        <v>2.3029347697483615E-6</v>
      </c>
    </row>
    <row r="1086" spans="6:14" x14ac:dyDescent="0.35">
      <c r="F1086">
        <f t="shared" si="168"/>
        <v>16</v>
      </c>
      <c r="G1086">
        <f t="shared" si="164"/>
        <v>28</v>
      </c>
      <c r="H1086">
        <f t="shared" si="165"/>
        <v>0</v>
      </c>
      <c r="K1086" t="str">
        <f t="shared" ca="1" si="161"/>
        <v>GOV</v>
      </c>
      <c r="L1086" t="str">
        <f t="shared" ca="1" si="162"/>
        <v>dom</v>
      </c>
      <c r="M1086" t="str">
        <f t="shared" ca="1" si="159"/>
        <v>ELYGASWTR</v>
      </c>
      <c r="N1086">
        <f t="shared" ca="1" si="160"/>
        <v>2.3029347697483615E-6</v>
      </c>
    </row>
    <row r="1087" spans="6:14" x14ac:dyDescent="0.35">
      <c r="F1087">
        <f t="shared" si="168"/>
        <v>16</v>
      </c>
      <c r="G1087">
        <f t="shared" si="164"/>
        <v>29</v>
      </c>
      <c r="H1087">
        <f t="shared" si="165"/>
        <v>0</v>
      </c>
      <c r="K1087" t="str">
        <f t="shared" ca="1" si="161"/>
        <v>EDU</v>
      </c>
      <c r="L1087" t="str">
        <f t="shared" ca="1" si="162"/>
        <v>dom</v>
      </c>
      <c r="M1087" t="str">
        <f t="shared" ca="1" si="159"/>
        <v>ELYGASWTR</v>
      </c>
      <c r="N1087">
        <f t="shared" ca="1" si="160"/>
        <v>2.3029347697483615E-6</v>
      </c>
    </row>
    <row r="1088" spans="6:14" x14ac:dyDescent="0.35">
      <c r="F1088">
        <f t="shared" si="168"/>
        <v>16</v>
      </c>
      <c r="G1088">
        <f t="shared" si="164"/>
        <v>30</v>
      </c>
      <c r="H1088">
        <f t="shared" si="165"/>
        <v>0</v>
      </c>
      <c r="K1088" t="str">
        <f t="shared" ca="1" si="161"/>
        <v>HHT</v>
      </c>
      <c r="L1088" t="str">
        <f t="shared" ca="1" si="162"/>
        <v>dom</v>
      </c>
      <c r="M1088" t="str">
        <f t="shared" ca="1" si="159"/>
        <v>ELYGASWTR</v>
      </c>
      <c r="N1088">
        <f t="shared" ca="1" si="160"/>
        <v>2.3029347697483615E-6</v>
      </c>
    </row>
    <row r="1089" spans="6:14" x14ac:dyDescent="0.35">
      <c r="F1089">
        <f t="shared" si="168"/>
        <v>16</v>
      </c>
      <c r="G1089">
        <f t="shared" si="164"/>
        <v>31</v>
      </c>
      <c r="H1089">
        <f t="shared" si="165"/>
        <v>0</v>
      </c>
      <c r="K1089" t="str">
        <f t="shared" ca="1" si="161"/>
        <v>REC</v>
      </c>
      <c r="L1089" t="str">
        <f t="shared" ca="1" si="162"/>
        <v>dom</v>
      </c>
      <c r="M1089" t="str">
        <f t="shared" ca="1" si="159"/>
        <v>ELYGASWTR</v>
      </c>
      <c r="N1089">
        <f t="shared" ca="1" si="160"/>
        <v>2.3029347697483615E-6</v>
      </c>
    </row>
    <row r="1090" spans="6:14" x14ac:dyDescent="0.35">
      <c r="F1090">
        <f t="shared" si="168"/>
        <v>16</v>
      </c>
      <c r="G1090">
        <f t="shared" si="164"/>
        <v>32</v>
      </c>
      <c r="H1090">
        <f t="shared" si="165"/>
        <v>0</v>
      </c>
      <c r="K1090" t="str">
        <f t="shared" ca="1" si="161"/>
        <v>DWE</v>
      </c>
      <c r="L1090" t="str">
        <f t="shared" ca="1" si="162"/>
        <v>dom</v>
      </c>
      <c r="M1090" t="str">
        <f t="shared" ref="M1090:M1153" ca="1" si="169">OFFSET(A$2,F1090,0)</f>
        <v>ELYGASWTR</v>
      </c>
      <c r="N1090">
        <f t="shared" ref="N1090:N1153" ca="1" si="170">SUMIFS(C:C,A:A,K1090,B:B,L1090)*SUMIFS(U:U,S:S,M1090)</f>
        <v>2.3029347697483615E-6</v>
      </c>
    </row>
    <row r="1091" spans="6:14" x14ac:dyDescent="0.35">
      <c r="F1091">
        <f t="shared" si="168"/>
        <v>16</v>
      </c>
      <c r="G1091">
        <f t="shared" si="164"/>
        <v>0</v>
      </c>
      <c r="H1091">
        <f t="shared" si="165"/>
        <v>1</v>
      </c>
      <c r="K1091" t="str">
        <f t="shared" ref="K1091:K1154" ca="1" si="171">OFFSET(A$2,G1091,0)</f>
        <v>AG</v>
      </c>
      <c r="L1091" t="str">
        <f t="shared" ref="L1091:L1154" ca="1" si="172">OFFSET($V$3,H1091,0)</f>
        <v>imp</v>
      </c>
      <c r="M1091" t="str">
        <f t="shared" ca="1" si="169"/>
        <v>ELYGASWTR</v>
      </c>
      <c r="N1091">
        <f t="shared" ca="1" si="170"/>
        <v>21.306347269363428</v>
      </c>
    </row>
    <row r="1092" spans="6:14" x14ac:dyDescent="0.35">
      <c r="F1092">
        <f t="shared" si="168"/>
        <v>16</v>
      </c>
      <c r="G1092">
        <f t="shared" si="164"/>
        <v>1</v>
      </c>
      <c r="H1092">
        <f t="shared" si="165"/>
        <v>1</v>
      </c>
      <c r="K1092" t="str">
        <f t="shared" ca="1" si="171"/>
        <v>MIN</v>
      </c>
      <c r="L1092" t="str">
        <f t="shared" ca="1" si="172"/>
        <v>imp</v>
      </c>
      <c r="M1092" t="str">
        <f t="shared" ca="1" si="169"/>
        <v>ELYGASWTR</v>
      </c>
      <c r="N1092">
        <f t="shared" ca="1" si="170"/>
        <v>33.61356865433423</v>
      </c>
    </row>
    <row r="1093" spans="6:14" x14ac:dyDescent="0.35">
      <c r="F1093">
        <f t="shared" ref="F1093:F1108" si="173">F1027+1</f>
        <v>16</v>
      </c>
      <c r="G1093">
        <f t="shared" ref="G1093:G1156" si="174">G1060</f>
        <v>2</v>
      </c>
      <c r="H1093">
        <f t="shared" ref="H1093:H1156" si="175">H1027</f>
        <v>1</v>
      </c>
      <c r="K1093" t="str">
        <f t="shared" ca="1" si="171"/>
        <v>FBT</v>
      </c>
      <c r="L1093" t="str">
        <f t="shared" ca="1" si="172"/>
        <v>imp</v>
      </c>
      <c r="M1093" t="str">
        <f t="shared" ca="1" si="169"/>
        <v>ELYGASWTR</v>
      </c>
      <c r="N1093">
        <f t="shared" ca="1" si="170"/>
        <v>8.4111459149334831</v>
      </c>
    </row>
    <row r="1094" spans="6:14" x14ac:dyDescent="0.35">
      <c r="F1094">
        <f t="shared" si="173"/>
        <v>16</v>
      </c>
      <c r="G1094">
        <f t="shared" si="174"/>
        <v>3</v>
      </c>
      <c r="H1094">
        <f t="shared" si="175"/>
        <v>1</v>
      </c>
      <c r="K1094" t="str">
        <f t="shared" ca="1" si="171"/>
        <v>TEX</v>
      </c>
      <c r="L1094" t="str">
        <f t="shared" ca="1" si="172"/>
        <v>imp</v>
      </c>
      <c r="M1094" t="str">
        <f t="shared" ca="1" si="169"/>
        <v>ELYGASWTR</v>
      </c>
      <c r="N1094">
        <f t="shared" ca="1" si="170"/>
        <v>165.06046134241964</v>
      </c>
    </row>
    <row r="1095" spans="6:14" x14ac:dyDescent="0.35">
      <c r="F1095">
        <f t="shared" si="173"/>
        <v>16</v>
      </c>
      <c r="G1095">
        <f t="shared" si="174"/>
        <v>4</v>
      </c>
      <c r="H1095">
        <f t="shared" si="175"/>
        <v>1</v>
      </c>
      <c r="K1095" t="str">
        <f t="shared" ca="1" si="171"/>
        <v>LEATHER</v>
      </c>
      <c r="L1095" t="str">
        <f t="shared" ca="1" si="172"/>
        <v>imp</v>
      </c>
      <c r="M1095" t="str">
        <f t="shared" ca="1" si="169"/>
        <v>ELYGASWTR</v>
      </c>
      <c r="N1095">
        <f t="shared" ca="1" si="170"/>
        <v>86.024474479280286</v>
      </c>
    </row>
    <row r="1096" spans="6:14" x14ac:dyDescent="0.35">
      <c r="F1096">
        <f t="shared" si="173"/>
        <v>16</v>
      </c>
      <c r="G1096">
        <f t="shared" si="174"/>
        <v>5</v>
      </c>
      <c r="H1096">
        <f t="shared" si="175"/>
        <v>1</v>
      </c>
      <c r="K1096" t="str">
        <f t="shared" ca="1" si="171"/>
        <v>WOOD</v>
      </c>
      <c r="L1096" t="str">
        <f t="shared" ca="1" si="172"/>
        <v>imp</v>
      </c>
      <c r="M1096" t="str">
        <f t="shared" ca="1" si="169"/>
        <v>ELYGASWTR</v>
      </c>
      <c r="N1096">
        <f t="shared" ca="1" si="170"/>
        <v>1.5397751453769244</v>
      </c>
    </row>
    <row r="1097" spans="6:14" x14ac:dyDescent="0.35">
      <c r="F1097">
        <f t="shared" si="173"/>
        <v>16</v>
      </c>
      <c r="G1097">
        <f t="shared" si="174"/>
        <v>6</v>
      </c>
      <c r="H1097">
        <f t="shared" si="175"/>
        <v>1</v>
      </c>
      <c r="K1097" t="str">
        <f t="shared" ca="1" si="171"/>
        <v>PPP</v>
      </c>
      <c r="L1097" t="str">
        <f t="shared" ca="1" si="172"/>
        <v>imp</v>
      </c>
      <c r="M1097" t="str">
        <f t="shared" ca="1" si="169"/>
        <v>ELYGASWTR</v>
      </c>
      <c r="N1097">
        <f t="shared" ca="1" si="170"/>
        <v>22.172606724768944</v>
      </c>
    </row>
    <row r="1098" spans="6:14" x14ac:dyDescent="0.35">
      <c r="F1098">
        <f t="shared" si="173"/>
        <v>16</v>
      </c>
      <c r="G1098">
        <f t="shared" si="174"/>
        <v>7</v>
      </c>
      <c r="H1098">
        <f t="shared" si="175"/>
        <v>1</v>
      </c>
      <c r="K1098" t="str">
        <f t="shared" ca="1" si="171"/>
        <v>PC</v>
      </c>
      <c r="L1098" t="str">
        <f t="shared" ca="1" si="172"/>
        <v>imp</v>
      </c>
      <c r="M1098" t="str">
        <f t="shared" ca="1" si="169"/>
        <v>ELYGASWTR</v>
      </c>
      <c r="N1098">
        <f t="shared" ca="1" si="170"/>
        <v>5.5833230988354519</v>
      </c>
    </row>
    <row r="1099" spans="6:14" x14ac:dyDescent="0.35">
      <c r="F1099">
        <f t="shared" si="173"/>
        <v>16</v>
      </c>
      <c r="G1099">
        <f t="shared" si="174"/>
        <v>8</v>
      </c>
      <c r="H1099">
        <f t="shared" si="175"/>
        <v>1</v>
      </c>
      <c r="K1099" t="str">
        <f t="shared" ca="1" si="171"/>
        <v>CHM</v>
      </c>
      <c r="L1099" t="str">
        <f t="shared" ca="1" si="172"/>
        <v>imp</v>
      </c>
      <c r="M1099" t="str">
        <f t="shared" ca="1" si="169"/>
        <v>ELYGASWTR</v>
      </c>
      <c r="N1099">
        <f t="shared" ca="1" si="170"/>
        <v>76.538037180081346</v>
      </c>
    </row>
    <row r="1100" spans="6:14" x14ac:dyDescent="0.35">
      <c r="F1100">
        <f t="shared" si="173"/>
        <v>16</v>
      </c>
      <c r="G1100">
        <f t="shared" si="174"/>
        <v>9</v>
      </c>
      <c r="H1100">
        <f t="shared" si="175"/>
        <v>1</v>
      </c>
      <c r="K1100" t="str">
        <f t="shared" ca="1" si="171"/>
        <v>RUBBER</v>
      </c>
      <c r="L1100" t="str">
        <f t="shared" ca="1" si="172"/>
        <v>imp</v>
      </c>
      <c r="M1100" t="str">
        <f t="shared" ca="1" si="169"/>
        <v>ELYGASWTR</v>
      </c>
      <c r="N1100">
        <f t="shared" ca="1" si="170"/>
        <v>58.617963517371493</v>
      </c>
    </row>
    <row r="1101" spans="6:14" x14ac:dyDescent="0.35">
      <c r="F1101">
        <f t="shared" si="173"/>
        <v>16</v>
      </c>
      <c r="G1101">
        <f t="shared" si="174"/>
        <v>10</v>
      </c>
      <c r="H1101">
        <f t="shared" si="175"/>
        <v>1</v>
      </c>
      <c r="K1101" t="str">
        <f t="shared" ca="1" si="171"/>
        <v>NMM</v>
      </c>
      <c r="L1101" t="str">
        <f t="shared" ca="1" si="172"/>
        <v>imp</v>
      </c>
      <c r="M1101" t="str">
        <f t="shared" ca="1" si="169"/>
        <v>ELYGASWTR</v>
      </c>
      <c r="N1101">
        <f t="shared" ca="1" si="170"/>
        <v>22.127541258866827</v>
      </c>
    </row>
    <row r="1102" spans="6:14" x14ac:dyDescent="0.35">
      <c r="F1102">
        <f t="shared" si="173"/>
        <v>16</v>
      </c>
      <c r="G1102">
        <f t="shared" si="174"/>
        <v>11</v>
      </c>
      <c r="H1102">
        <f t="shared" si="175"/>
        <v>1</v>
      </c>
      <c r="K1102" t="str">
        <f t="shared" ca="1" si="171"/>
        <v>METAL</v>
      </c>
      <c r="L1102" t="str">
        <f t="shared" ca="1" si="172"/>
        <v>imp</v>
      </c>
      <c r="M1102" t="str">
        <f t="shared" ca="1" si="169"/>
        <v>ELYGASWTR</v>
      </c>
      <c r="N1102">
        <f t="shared" ca="1" si="170"/>
        <v>276.97348181351401</v>
      </c>
    </row>
    <row r="1103" spans="6:14" x14ac:dyDescent="0.35">
      <c r="F1103">
        <f t="shared" si="173"/>
        <v>16</v>
      </c>
      <c r="G1103">
        <f t="shared" si="174"/>
        <v>12</v>
      </c>
      <c r="H1103">
        <f t="shared" si="175"/>
        <v>1</v>
      </c>
      <c r="K1103" t="str">
        <f t="shared" ca="1" si="171"/>
        <v>MACH</v>
      </c>
      <c r="L1103" t="str">
        <f t="shared" ca="1" si="172"/>
        <v>imp</v>
      </c>
      <c r="M1103" t="str">
        <f t="shared" ca="1" si="169"/>
        <v>ELYGASWTR</v>
      </c>
      <c r="N1103">
        <f t="shared" ca="1" si="170"/>
        <v>1061.0222245812804</v>
      </c>
    </row>
    <row r="1104" spans="6:14" x14ac:dyDescent="0.35">
      <c r="F1104">
        <f t="shared" si="173"/>
        <v>16</v>
      </c>
      <c r="G1104">
        <f t="shared" si="174"/>
        <v>13</v>
      </c>
      <c r="H1104">
        <f t="shared" si="175"/>
        <v>1</v>
      </c>
      <c r="K1104" t="str">
        <f t="shared" ca="1" si="171"/>
        <v>ELEC</v>
      </c>
      <c r="L1104" t="str">
        <f t="shared" ca="1" si="172"/>
        <v>imp</v>
      </c>
      <c r="M1104" t="str">
        <f t="shared" ca="1" si="169"/>
        <v>ELYGASWTR</v>
      </c>
      <c r="N1104">
        <f t="shared" ca="1" si="170"/>
        <v>568.88775137718767</v>
      </c>
    </row>
    <row r="1105" spans="6:14" x14ac:dyDescent="0.35">
      <c r="F1105">
        <f t="shared" si="173"/>
        <v>16</v>
      </c>
      <c r="G1105">
        <f t="shared" si="174"/>
        <v>14</v>
      </c>
      <c r="H1105">
        <f t="shared" si="175"/>
        <v>1</v>
      </c>
      <c r="K1105" t="str">
        <f t="shared" ca="1" si="171"/>
        <v>TRNEQUIP</v>
      </c>
      <c r="L1105" t="str">
        <f t="shared" ca="1" si="172"/>
        <v>imp</v>
      </c>
      <c r="M1105" t="str">
        <f t="shared" ca="1" si="169"/>
        <v>ELYGASWTR</v>
      </c>
      <c r="N1105">
        <f t="shared" ca="1" si="170"/>
        <v>907.88086315534758</v>
      </c>
    </row>
    <row r="1106" spans="6:14" x14ac:dyDescent="0.35">
      <c r="F1106">
        <f t="shared" si="173"/>
        <v>16</v>
      </c>
      <c r="G1106">
        <f t="shared" si="174"/>
        <v>15</v>
      </c>
      <c r="H1106">
        <f t="shared" si="175"/>
        <v>1</v>
      </c>
      <c r="K1106" t="str">
        <f t="shared" ca="1" si="171"/>
        <v>ROMAN</v>
      </c>
      <c r="L1106" t="str">
        <f t="shared" ca="1" si="172"/>
        <v>imp</v>
      </c>
      <c r="M1106" t="str">
        <f t="shared" ca="1" si="169"/>
        <v>ELYGASWTR</v>
      </c>
      <c r="N1106">
        <f t="shared" ca="1" si="170"/>
        <v>344.48147580693507</v>
      </c>
    </row>
    <row r="1107" spans="6:14" x14ac:dyDescent="0.35">
      <c r="F1107">
        <f t="shared" si="173"/>
        <v>16</v>
      </c>
      <c r="G1107">
        <f t="shared" si="174"/>
        <v>16</v>
      </c>
      <c r="H1107">
        <f t="shared" si="175"/>
        <v>1</v>
      </c>
      <c r="K1107" t="str">
        <f t="shared" ca="1" si="171"/>
        <v>ELYGASWTR</v>
      </c>
      <c r="L1107" t="str">
        <f t="shared" ca="1" si="172"/>
        <v>imp</v>
      </c>
      <c r="M1107" t="str">
        <f t="shared" ca="1" si="169"/>
        <v>ELYGASWTR</v>
      </c>
      <c r="N1107">
        <f t="shared" ca="1" si="170"/>
        <v>2.3029347697483615E-6</v>
      </c>
    </row>
    <row r="1108" spans="6:14" x14ac:dyDescent="0.35">
      <c r="F1108">
        <f t="shared" si="173"/>
        <v>16</v>
      </c>
      <c r="G1108">
        <f t="shared" si="174"/>
        <v>17</v>
      </c>
      <c r="H1108">
        <f t="shared" si="175"/>
        <v>1</v>
      </c>
      <c r="K1108" t="str">
        <f t="shared" ca="1" si="171"/>
        <v>CNS</v>
      </c>
      <c r="L1108" t="str">
        <f t="shared" ca="1" si="172"/>
        <v>imp</v>
      </c>
      <c r="M1108" t="str">
        <f t="shared" ca="1" si="169"/>
        <v>ELYGASWTR</v>
      </c>
      <c r="N1108">
        <f t="shared" ca="1" si="170"/>
        <v>67.434234202292231</v>
      </c>
    </row>
    <row r="1109" spans="6:14" x14ac:dyDescent="0.35">
      <c r="F1109">
        <f t="shared" ref="F1109:F1124" si="176">F1043+1</f>
        <v>16</v>
      </c>
      <c r="G1109">
        <f t="shared" si="174"/>
        <v>18</v>
      </c>
      <c r="H1109">
        <f t="shared" si="175"/>
        <v>1</v>
      </c>
      <c r="K1109" t="str">
        <f t="shared" ca="1" si="171"/>
        <v>TRD</v>
      </c>
      <c r="L1109" t="str">
        <f t="shared" ca="1" si="172"/>
        <v>imp</v>
      </c>
      <c r="M1109" t="str">
        <f t="shared" ca="1" si="169"/>
        <v>ELYGASWTR</v>
      </c>
      <c r="N1109">
        <f t="shared" ca="1" si="170"/>
        <v>5.900039912459305</v>
      </c>
    </row>
    <row r="1110" spans="6:14" x14ac:dyDescent="0.35">
      <c r="F1110">
        <f t="shared" si="176"/>
        <v>16</v>
      </c>
      <c r="G1110">
        <f t="shared" si="174"/>
        <v>19</v>
      </c>
      <c r="H1110">
        <f t="shared" si="175"/>
        <v>1</v>
      </c>
      <c r="K1110" t="str">
        <f t="shared" ca="1" si="171"/>
        <v>AFS</v>
      </c>
      <c r="L1110" t="str">
        <f t="shared" ca="1" si="172"/>
        <v>imp</v>
      </c>
      <c r="M1110" t="str">
        <f t="shared" ca="1" si="169"/>
        <v>ELYGASWTR</v>
      </c>
      <c r="N1110">
        <f t="shared" ca="1" si="170"/>
        <v>2.3029347697483615E-6</v>
      </c>
    </row>
    <row r="1111" spans="6:14" x14ac:dyDescent="0.35">
      <c r="F1111">
        <f t="shared" si="176"/>
        <v>16</v>
      </c>
      <c r="G1111">
        <f t="shared" si="174"/>
        <v>20</v>
      </c>
      <c r="H1111">
        <f t="shared" si="175"/>
        <v>1</v>
      </c>
      <c r="K1111" t="str">
        <f t="shared" ca="1" si="171"/>
        <v>OTP</v>
      </c>
      <c r="L1111" t="str">
        <f t="shared" ca="1" si="172"/>
        <v>imp</v>
      </c>
      <c r="M1111" t="str">
        <f t="shared" ca="1" si="169"/>
        <v>ELYGASWTR</v>
      </c>
      <c r="N1111">
        <f t="shared" ca="1" si="170"/>
        <v>2.3029347697483615E-6</v>
      </c>
    </row>
    <row r="1112" spans="6:14" x14ac:dyDescent="0.35">
      <c r="F1112">
        <f t="shared" si="176"/>
        <v>16</v>
      </c>
      <c r="G1112">
        <f t="shared" si="174"/>
        <v>21</v>
      </c>
      <c r="H1112">
        <f t="shared" si="175"/>
        <v>1</v>
      </c>
      <c r="K1112" t="str">
        <f t="shared" ca="1" si="171"/>
        <v>WTP</v>
      </c>
      <c r="L1112" t="str">
        <f t="shared" ca="1" si="172"/>
        <v>imp</v>
      </c>
      <c r="M1112" t="str">
        <f t="shared" ca="1" si="169"/>
        <v>ELYGASWTR</v>
      </c>
      <c r="N1112">
        <f t="shared" ca="1" si="170"/>
        <v>2.3029347697483615E-6</v>
      </c>
    </row>
    <row r="1113" spans="6:14" x14ac:dyDescent="0.35">
      <c r="F1113">
        <f t="shared" si="176"/>
        <v>16</v>
      </c>
      <c r="G1113">
        <f t="shared" si="174"/>
        <v>22</v>
      </c>
      <c r="H1113">
        <f t="shared" si="175"/>
        <v>1</v>
      </c>
      <c r="K1113" t="str">
        <f t="shared" ca="1" si="171"/>
        <v>ATP</v>
      </c>
      <c r="L1113" t="str">
        <f t="shared" ca="1" si="172"/>
        <v>imp</v>
      </c>
      <c r="M1113" t="str">
        <f t="shared" ca="1" si="169"/>
        <v>ELYGASWTR</v>
      </c>
      <c r="N1113">
        <f t="shared" ca="1" si="170"/>
        <v>2.3029347697483615E-6</v>
      </c>
    </row>
    <row r="1114" spans="6:14" x14ac:dyDescent="0.35">
      <c r="F1114">
        <f t="shared" si="176"/>
        <v>16</v>
      </c>
      <c r="G1114">
        <f t="shared" si="174"/>
        <v>23</v>
      </c>
      <c r="H1114">
        <f t="shared" si="175"/>
        <v>1</v>
      </c>
      <c r="K1114" t="str">
        <f t="shared" ca="1" si="171"/>
        <v>WHS</v>
      </c>
      <c r="L1114" t="str">
        <f t="shared" ca="1" si="172"/>
        <v>imp</v>
      </c>
      <c r="M1114" t="str">
        <f t="shared" ca="1" si="169"/>
        <v>ELYGASWTR</v>
      </c>
      <c r="N1114">
        <f t="shared" ca="1" si="170"/>
        <v>2.3029347697483615E-6</v>
      </c>
    </row>
    <row r="1115" spans="6:14" x14ac:dyDescent="0.35">
      <c r="F1115">
        <f t="shared" si="176"/>
        <v>16</v>
      </c>
      <c r="G1115">
        <f t="shared" si="174"/>
        <v>24</v>
      </c>
      <c r="H1115">
        <f t="shared" si="175"/>
        <v>1</v>
      </c>
      <c r="K1115" t="str">
        <f t="shared" ca="1" si="171"/>
        <v>CMN</v>
      </c>
      <c r="L1115" t="str">
        <f t="shared" ca="1" si="172"/>
        <v>imp</v>
      </c>
      <c r="M1115" t="str">
        <f t="shared" ca="1" si="169"/>
        <v>ELYGASWTR</v>
      </c>
      <c r="N1115">
        <f t="shared" ca="1" si="170"/>
        <v>2.3029347697483615E-6</v>
      </c>
    </row>
    <row r="1116" spans="6:14" x14ac:dyDescent="0.35">
      <c r="F1116">
        <f t="shared" si="176"/>
        <v>16</v>
      </c>
      <c r="G1116">
        <f t="shared" si="174"/>
        <v>25</v>
      </c>
      <c r="H1116">
        <f t="shared" si="175"/>
        <v>1</v>
      </c>
      <c r="K1116" t="str">
        <f t="shared" ca="1" si="171"/>
        <v>OFI</v>
      </c>
      <c r="L1116" t="str">
        <f t="shared" ca="1" si="172"/>
        <v>imp</v>
      </c>
      <c r="M1116" t="str">
        <f t="shared" ca="1" si="169"/>
        <v>ELYGASWTR</v>
      </c>
      <c r="N1116">
        <f t="shared" ca="1" si="170"/>
        <v>2.3029347697483615E-6</v>
      </c>
    </row>
    <row r="1117" spans="6:14" x14ac:dyDescent="0.35">
      <c r="F1117">
        <f t="shared" si="176"/>
        <v>16</v>
      </c>
      <c r="G1117">
        <f t="shared" si="174"/>
        <v>26</v>
      </c>
      <c r="H1117">
        <f t="shared" si="175"/>
        <v>1</v>
      </c>
      <c r="K1117" t="str">
        <f t="shared" ca="1" si="171"/>
        <v>RSA</v>
      </c>
      <c r="L1117" t="str">
        <f t="shared" ca="1" si="172"/>
        <v>imp</v>
      </c>
      <c r="M1117" t="str">
        <f t="shared" ca="1" si="169"/>
        <v>ELYGASWTR</v>
      </c>
      <c r="N1117">
        <f t="shared" ca="1" si="170"/>
        <v>2.3029347697483615E-6</v>
      </c>
    </row>
    <row r="1118" spans="6:14" x14ac:dyDescent="0.35">
      <c r="F1118">
        <f t="shared" si="176"/>
        <v>16</v>
      </c>
      <c r="G1118">
        <f t="shared" si="174"/>
        <v>27</v>
      </c>
      <c r="H1118">
        <f t="shared" si="175"/>
        <v>1</v>
      </c>
      <c r="K1118" t="str">
        <f t="shared" ca="1" si="171"/>
        <v>OBS</v>
      </c>
      <c r="L1118" t="str">
        <f t="shared" ca="1" si="172"/>
        <v>imp</v>
      </c>
      <c r="M1118" t="str">
        <f t="shared" ca="1" si="169"/>
        <v>ELYGASWTR</v>
      </c>
      <c r="N1118">
        <f t="shared" ca="1" si="170"/>
        <v>2.3029347697483615E-6</v>
      </c>
    </row>
    <row r="1119" spans="6:14" x14ac:dyDescent="0.35">
      <c r="F1119">
        <f t="shared" si="176"/>
        <v>16</v>
      </c>
      <c r="G1119">
        <f t="shared" si="174"/>
        <v>28</v>
      </c>
      <c r="H1119">
        <f t="shared" si="175"/>
        <v>1</v>
      </c>
      <c r="K1119" t="str">
        <f t="shared" ca="1" si="171"/>
        <v>GOV</v>
      </c>
      <c r="L1119" t="str">
        <f t="shared" ca="1" si="172"/>
        <v>imp</v>
      </c>
      <c r="M1119" t="str">
        <f t="shared" ca="1" si="169"/>
        <v>ELYGASWTR</v>
      </c>
      <c r="N1119">
        <f t="shared" ca="1" si="170"/>
        <v>2.3029347697483615E-6</v>
      </c>
    </row>
    <row r="1120" spans="6:14" x14ac:dyDescent="0.35">
      <c r="F1120">
        <f t="shared" si="176"/>
        <v>16</v>
      </c>
      <c r="G1120">
        <f t="shared" si="174"/>
        <v>29</v>
      </c>
      <c r="H1120">
        <f t="shared" si="175"/>
        <v>1</v>
      </c>
      <c r="K1120" t="str">
        <f t="shared" ca="1" si="171"/>
        <v>EDU</v>
      </c>
      <c r="L1120" t="str">
        <f t="shared" ca="1" si="172"/>
        <v>imp</v>
      </c>
      <c r="M1120" t="str">
        <f t="shared" ca="1" si="169"/>
        <v>ELYGASWTR</v>
      </c>
      <c r="N1120">
        <f t="shared" ca="1" si="170"/>
        <v>2.3029347697483615E-6</v>
      </c>
    </row>
    <row r="1121" spans="6:14" x14ac:dyDescent="0.35">
      <c r="F1121">
        <f t="shared" si="176"/>
        <v>16</v>
      </c>
      <c r="G1121">
        <f t="shared" si="174"/>
        <v>30</v>
      </c>
      <c r="H1121">
        <f t="shared" si="175"/>
        <v>1</v>
      </c>
      <c r="K1121" t="str">
        <f t="shared" ca="1" si="171"/>
        <v>HHT</v>
      </c>
      <c r="L1121" t="str">
        <f t="shared" ca="1" si="172"/>
        <v>imp</v>
      </c>
      <c r="M1121" t="str">
        <f t="shared" ca="1" si="169"/>
        <v>ELYGASWTR</v>
      </c>
      <c r="N1121">
        <f t="shared" ca="1" si="170"/>
        <v>2.3029347697483615E-6</v>
      </c>
    </row>
    <row r="1122" spans="6:14" x14ac:dyDescent="0.35">
      <c r="F1122">
        <f t="shared" si="176"/>
        <v>16</v>
      </c>
      <c r="G1122">
        <f t="shared" si="174"/>
        <v>31</v>
      </c>
      <c r="H1122">
        <f t="shared" si="175"/>
        <v>1</v>
      </c>
      <c r="K1122" t="str">
        <f t="shared" ca="1" si="171"/>
        <v>REC</v>
      </c>
      <c r="L1122" t="str">
        <f t="shared" ca="1" si="172"/>
        <v>imp</v>
      </c>
      <c r="M1122" t="str">
        <f t="shared" ca="1" si="169"/>
        <v>ELYGASWTR</v>
      </c>
      <c r="N1122">
        <f t="shared" ca="1" si="170"/>
        <v>2.3029347697483615E-6</v>
      </c>
    </row>
    <row r="1123" spans="6:14" x14ac:dyDescent="0.35">
      <c r="F1123">
        <f t="shared" si="176"/>
        <v>16</v>
      </c>
      <c r="G1123">
        <f t="shared" si="174"/>
        <v>32</v>
      </c>
      <c r="H1123">
        <f t="shared" si="175"/>
        <v>1</v>
      </c>
      <c r="K1123" t="str">
        <f t="shared" ca="1" si="171"/>
        <v>DWE</v>
      </c>
      <c r="L1123" t="str">
        <f t="shared" ca="1" si="172"/>
        <v>imp</v>
      </c>
      <c r="M1123" t="str">
        <f t="shared" ca="1" si="169"/>
        <v>ELYGASWTR</v>
      </c>
      <c r="N1123">
        <f t="shared" ca="1" si="170"/>
        <v>2.3029347697483615E-6</v>
      </c>
    </row>
    <row r="1124" spans="6:14" x14ac:dyDescent="0.35">
      <c r="F1124">
        <f t="shared" si="176"/>
        <v>17</v>
      </c>
      <c r="G1124">
        <f t="shared" si="174"/>
        <v>0</v>
      </c>
      <c r="H1124">
        <f t="shared" si="175"/>
        <v>0</v>
      </c>
      <c r="K1124" t="str">
        <f t="shared" ca="1" si="171"/>
        <v>AG</v>
      </c>
      <c r="L1124" t="str">
        <f t="shared" ca="1" si="172"/>
        <v>dom</v>
      </c>
      <c r="M1124" t="str">
        <f t="shared" ca="1" si="169"/>
        <v>CNS</v>
      </c>
      <c r="N1124">
        <f t="shared" ca="1" si="170"/>
        <v>0.69102346941771964</v>
      </c>
    </row>
    <row r="1125" spans="6:14" x14ac:dyDescent="0.35">
      <c r="F1125">
        <f t="shared" ref="F1125:F1140" si="177">F1059+1</f>
        <v>17</v>
      </c>
      <c r="G1125">
        <f t="shared" si="174"/>
        <v>1</v>
      </c>
      <c r="H1125">
        <f t="shared" si="175"/>
        <v>0</v>
      </c>
      <c r="K1125" t="str">
        <f t="shared" ca="1" si="171"/>
        <v>MIN</v>
      </c>
      <c r="L1125" t="str">
        <f t="shared" ca="1" si="172"/>
        <v>dom</v>
      </c>
      <c r="M1125" t="str">
        <f t="shared" ca="1" si="169"/>
        <v>CNS</v>
      </c>
      <c r="N1125">
        <f t="shared" ca="1" si="170"/>
        <v>1.2054331821691551</v>
      </c>
    </row>
    <row r="1126" spans="6:14" x14ac:dyDescent="0.35">
      <c r="F1126">
        <f t="shared" si="177"/>
        <v>17</v>
      </c>
      <c r="G1126">
        <f t="shared" si="174"/>
        <v>2</v>
      </c>
      <c r="H1126">
        <f t="shared" si="175"/>
        <v>0</v>
      </c>
      <c r="K1126" t="str">
        <f t="shared" ca="1" si="171"/>
        <v>FBT</v>
      </c>
      <c r="L1126" t="str">
        <f t="shared" ca="1" si="172"/>
        <v>dom</v>
      </c>
      <c r="M1126" t="str">
        <f t="shared" ca="1" si="169"/>
        <v>CNS</v>
      </c>
      <c r="N1126">
        <f t="shared" ca="1" si="170"/>
        <v>2.0296949664204216</v>
      </c>
    </row>
    <row r="1127" spans="6:14" x14ac:dyDescent="0.35">
      <c r="F1127">
        <f t="shared" si="177"/>
        <v>17</v>
      </c>
      <c r="G1127">
        <f t="shared" si="174"/>
        <v>3</v>
      </c>
      <c r="H1127">
        <f t="shared" si="175"/>
        <v>0</v>
      </c>
      <c r="K1127" t="str">
        <f t="shared" ca="1" si="171"/>
        <v>TEX</v>
      </c>
      <c r="L1127" t="str">
        <f t="shared" ca="1" si="172"/>
        <v>dom</v>
      </c>
      <c r="M1127" t="str">
        <f t="shared" ca="1" si="169"/>
        <v>CNS</v>
      </c>
      <c r="N1127">
        <f t="shared" ca="1" si="170"/>
        <v>10.572382778397854</v>
      </c>
    </row>
    <row r="1128" spans="6:14" x14ac:dyDescent="0.35">
      <c r="F1128">
        <f t="shared" si="177"/>
        <v>17</v>
      </c>
      <c r="G1128">
        <f t="shared" si="174"/>
        <v>4</v>
      </c>
      <c r="H1128">
        <f t="shared" si="175"/>
        <v>0</v>
      </c>
      <c r="K1128" t="str">
        <f t="shared" ca="1" si="171"/>
        <v>LEATHER</v>
      </c>
      <c r="L1128" t="str">
        <f t="shared" ca="1" si="172"/>
        <v>dom</v>
      </c>
      <c r="M1128" t="str">
        <f t="shared" ca="1" si="169"/>
        <v>CNS</v>
      </c>
      <c r="N1128">
        <f t="shared" ca="1" si="170"/>
        <v>7.5019705519649885E-2</v>
      </c>
    </row>
    <row r="1129" spans="6:14" x14ac:dyDescent="0.35">
      <c r="F1129">
        <f t="shared" si="177"/>
        <v>17</v>
      </c>
      <c r="G1129">
        <f t="shared" si="174"/>
        <v>5</v>
      </c>
      <c r="H1129">
        <f t="shared" si="175"/>
        <v>0</v>
      </c>
      <c r="K1129" t="str">
        <f t="shared" ca="1" si="171"/>
        <v>WOOD</v>
      </c>
      <c r="L1129" t="str">
        <f t="shared" ca="1" si="172"/>
        <v>dom</v>
      </c>
      <c r="M1129" t="str">
        <f t="shared" ca="1" si="169"/>
        <v>CNS</v>
      </c>
      <c r="N1129">
        <f t="shared" ca="1" si="170"/>
        <v>0.4618151591793116</v>
      </c>
    </row>
    <row r="1130" spans="6:14" x14ac:dyDescent="0.35">
      <c r="F1130">
        <f t="shared" si="177"/>
        <v>17</v>
      </c>
      <c r="G1130">
        <f t="shared" si="174"/>
        <v>6</v>
      </c>
      <c r="H1130">
        <f t="shared" si="175"/>
        <v>0</v>
      </c>
      <c r="K1130" t="str">
        <f t="shared" ca="1" si="171"/>
        <v>PPP</v>
      </c>
      <c r="L1130" t="str">
        <f t="shared" ca="1" si="172"/>
        <v>dom</v>
      </c>
      <c r="M1130" t="str">
        <f t="shared" ca="1" si="169"/>
        <v>CNS</v>
      </c>
      <c r="N1130">
        <f t="shared" ca="1" si="170"/>
        <v>9.2434981514318757</v>
      </c>
    </row>
    <row r="1131" spans="6:14" x14ac:dyDescent="0.35">
      <c r="F1131">
        <f t="shared" si="177"/>
        <v>17</v>
      </c>
      <c r="G1131">
        <f t="shared" si="174"/>
        <v>7</v>
      </c>
      <c r="H1131">
        <f t="shared" si="175"/>
        <v>0</v>
      </c>
      <c r="K1131" t="str">
        <f t="shared" ca="1" si="171"/>
        <v>PC</v>
      </c>
      <c r="L1131" t="str">
        <f t="shared" ca="1" si="172"/>
        <v>dom</v>
      </c>
      <c r="M1131" t="str">
        <f t="shared" ca="1" si="169"/>
        <v>CNS</v>
      </c>
      <c r="N1131">
        <f t="shared" ca="1" si="170"/>
        <v>1.4085310865228942</v>
      </c>
    </row>
    <row r="1132" spans="6:14" x14ac:dyDescent="0.35">
      <c r="F1132">
        <f t="shared" si="177"/>
        <v>17</v>
      </c>
      <c r="G1132">
        <f t="shared" si="174"/>
        <v>8</v>
      </c>
      <c r="H1132">
        <f t="shared" si="175"/>
        <v>0</v>
      </c>
      <c r="K1132" t="str">
        <f t="shared" ca="1" si="171"/>
        <v>CHM</v>
      </c>
      <c r="L1132" t="str">
        <f t="shared" ca="1" si="172"/>
        <v>dom</v>
      </c>
      <c r="M1132" t="str">
        <f t="shared" ca="1" si="169"/>
        <v>CNS</v>
      </c>
      <c r="N1132">
        <f t="shared" ca="1" si="170"/>
        <v>8.771205646424967</v>
      </c>
    </row>
    <row r="1133" spans="6:14" x14ac:dyDescent="0.35">
      <c r="F1133">
        <f t="shared" si="177"/>
        <v>17</v>
      </c>
      <c r="G1133">
        <f t="shared" si="174"/>
        <v>9</v>
      </c>
      <c r="H1133">
        <f t="shared" si="175"/>
        <v>0</v>
      </c>
      <c r="K1133" t="str">
        <f t="shared" ca="1" si="171"/>
        <v>RUBBER</v>
      </c>
      <c r="L1133" t="str">
        <f t="shared" ca="1" si="172"/>
        <v>dom</v>
      </c>
      <c r="M1133" t="str">
        <f t="shared" ca="1" si="169"/>
        <v>CNS</v>
      </c>
      <c r="N1133">
        <f t="shared" ca="1" si="170"/>
        <v>13.730476069124949</v>
      </c>
    </row>
    <row r="1134" spans="6:14" x14ac:dyDescent="0.35">
      <c r="F1134">
        <f t="shared" si="177"/>
        <v>17</v>
      </c>
      <c r="G1134">
        <f t="shared" si="174"/>
        <v>10</v>
      </c>
      <c r="H1134">
        <f t="shared" si="175"/>
        <v>0</v>
      </c>
      <c r="K1134" t="str">
        <f t="shared" ca="1" si="171"/>
        <v>NMM</v>
      </c>
      <c r="L1134" t="str">
        <f t="shared" ca="1" si="172"/>
        <v>dom</v>
      </c>
      <c r="M1134" t="str">
        <f t="shared" ca="1" si="169"/>
        <v>CNS</v>
      </c>
      <c r="N1134">
        <f t="shared" ca="1" si="170"/>
        <v>12.719579489442591</v>
      </c>
    </row>
    <row r="1135" spans="6:14" x14ac:dyDescent="0.35">
      <c r="F1135">
        <f t="shared" si="177"/>
        <v>17</v>
      </c>
      <c r="G1135">
        <f t="shared" si="174"/>
        <v>11</v>
      </c>
      <c r="H1135">
        <f t="shared" si="175"/>
        <v>0</v>
      </c>
      <c r="K1135" t="str">
        <f t="shared" ca="1" si="171"/>
        <v>METAL</v>
      </c>
      <c r="L1135" t="str">
        <f t="shared" ca="1" si="172"/>
        <v>dom</v>
      </c>
      <c r="M1135" t="str">
        <f t="shared" ca="1" si="169"/>
        <v>CNS</v>
      </c>
      <c r="N1135">
        <f t="shared" ca="1" si="170"/>
        <v>37.202568943324579</v>
      </c>
    </row>
    <row r="1136" spans="6:14" x14ac:dyDescent="0.35">
      <c r="F1136">
        <f t="shared" si="177"/>
        <v>17</v>
      </c>
      <c r="G1136">
        <f t="shared" si="174"/>
        <v>12</v>
      </c>
      <c r="H1136">
        <f t="shared" si="175"/>
        <v>0</v>
      </c>
      <c r="K1136" t="str">
        <f t="shared" ca="1" si="171"/>
        <v>MACH</v>
      </c>
      <c r="L1136" t="str">
        <f t="shared" ca="1" si="172"/>
        <v>dom</v>
      </c>
      <c r="M1136" t="str">
        <f t="shared" ca="1" si="169"/>
        <v>CNS</v>
      </c>
      <c r="N1136">
        <f t="shared" ca="1" si="170"/>
        <v>53.847785720929693</v>
      </c>
    </row>
    <row r="1137" spans="6:14" x14ac:dyDescent="0.35">
      <c r="F1137">
        <f t="shared" si="177"/>
        <v>17</v>
      </c>
      <c r="G1137">
        <f t="shared" si="174"/>
        <v>13</v>
      </c>
      <c r="H1137">
        <f t="shared" si="175"/>
        <v>0</v>
      </c>
      <c r="K1137" t="str">
        <f t="shared" ca="1" si="171"/>
        <v>ELEC</v>
      </c>
      <c r="L1137" t="str">
        <f t="shared" ca="1" si="172"/>
        <v>dom</v>
      </c>
      <c r="M1137" t="str">
        <f t="shared" ca="1" si="169"/>
        <v>CNS</v>
      </c>
      <c r="N1137">
        <f t="shared" ca="1" si="170"/>
        <v>11.201508566267528</v>
      </c>
    </row>
    <row r="1138" spans="6:14" x14ac:dyDescent="0.35">
      <c r="F1138">
        <f t="shared" si="177"/>
        <v>17</v>
      </c>
      <c r="G1138">
        <f t="shared" si="174"/>
        <v>14</v>
      </c>
      <c r="H1138">
        <f t="shared" si="175"/>
        <v>0</v>
      </c>
      <c r="K1138" t="str">
        <f t="shared" ca="1" si="171"/>
        <v>TRNEQUIP</v>
      </c>
      <c r="L1138" t="str">
        <f t="shared" ca="1" si="172"/>
        <v>dom</v>
      </c>
      <c r="M1138" t="str">
        <f t="shared" ca="1" si="169"/>
        <v>CNS</v>
      </c>
      <c r="N1138">
        <f t="shared" ca="1" si="170"/>
        <v>16.180667877135825</v>
      </c>
    </row>
    <row r="1139" spans="6:14" x14ac:dyDescent="0.35">
      <c r="F1139">
        <f t="shared" si="177"/>
        <v>17</v>
      </c>
      <c r="G1139">
        <f t="shared" si="174"/>
        <v>15</v>
      </c>
      <c r="H1139">
        <f t="shared" si="175"/>
        <v>0</v>
      </c>
      <c r="K1139" t="str">
        <f t="shared" ca="1" si="171"/>
        <v>ROMAN</v>
      </c>
      <c r="L1139" t="str">
        <f t="shared" ca="1" si="172"/>
        <v>dom</v>
      </c>
      <c r="M1139" t="str">
        <f t="shared" ca="1" si="169"/>
        <v>CNS</v>
      </c>
      <c r="N1139">
        <f t="shared" ca="1" si="170"/>
        <v>44.058908021143388</v>
      </c>
    </row>
    <row r="1140" spans="6:14" x14ac:dyDescent="0.35">
      <c r="F1140">
        <f t="shared" si="177"/>
        <v>17</v>
      </c>
      <c r="G1140">
        <f t="shared" si="174"/>
        <v>16</v>
      </c>
      <c r="H1140">
        <f t="shared" si="175"/>
        <v>0</v>
      </c>
      <c r="K1140" t="str">
        <f t="shared" ca="1" si="171"/>
        <v>ELYGASWTR</v>
      </c>
      <c r="L1140" t="str">
        <f t="shared" ca="1" si="172"/>
        <v>dom</v>
      </c>
      <c r="M1140" t="str">
        <f t="shared" ca="1" si="169"/>
        <v>CNS</v>
      </c>
      <c r="N1140">
        <f t="shared" ca="1" si="170"/>
        <v>1.0053950665547098E-6</v>
      </c>
    </row>
    <row r="1141" spans="6:14" x14ac:dyDescent="0.35">
      <c r="F1141">
        <f t="shared" ref="F1141:F1156" si="178">F1075+1</f>
        <v>17</v>
      </c>
      <c r="G1141">
        <f t="shared" si="174"/>
        <v>17</v>
      </c>
      <c r="H1141">
        <f t="shared" si="175"/>
        <v>0</v>
      </c>
      <c r="K1141" t="str">
        <f t="shared" ca="1" si="171"/>
        <v>CNS</v>
      </c>
      <c r="L1141" t="str">
        <f t="shared" ca="1" si="172"/>
        <v>dom</v>
      </c>
      <c r="M1141" t="str">
        <f t="shared" ca="1" si="169"/>
        <v>CNS</v>
      </c>
      <c r="N1141">
        <f t="shared" ca="1" si="170"/>
        <v>1463.5681807029005</v>
      </c>
    </row>
    <row r="1142" spans="6:14" x14ac:dyDescent="0.35">
      <c r="F1142">
        <f t="shared" si="178"/>
        <v>17</v>
      </c>
      <c r="G1142">
        <f t="shared" si="174"/>
        <v>18</v>
      </c>
      <c r="H1142">
        <f t="shared" si="175"/>
        <v>0</v>
      </c>
      <c r="K1142" t="str">
        <f t="shared" ca="1" si="171"/>
        <v>TRD</v>
      </c>
      <c r="L1142" t="str">
        <f t="shared" ca="1" si="172"/>
        <v>dom</v>
      </c>
      <c r="M1142" t="str">
        <f t="shared" ca="1" si="169"/>
        <v>CNS</v>
      </c>
      <c r="N1142">
        <f t="shared" ca="1" si="170"/>
        <v>234.01479439966644</v>
      </c>
    </row>
    <row r="1143" spans="6:14" x14ac:dyDescent="0.35">
      <c r="F1143">
        <f t="shared" si="178"/>
        <v>17</v>
      </c>
      <c r="G1143">
        <f t="shared" si="174"/>
        <v>19</v>
      </c>
      <c r="H1143">
        <f t="shared" si="175"/>
        <v>0</v>
      </c>
      <c r="K1143" t="str">
        <f t="shared" ca="1" si="171"/>
        <v>AFS</v>
      </c>
      <c r="L1143" t="str">
        <f t="shared" ca="1" si="172"/>
        <v>dom</v>
      </c>
      <c r="M1143" t="str">
        <f t="shared" ca="1" si="169"/>
        <v>CNS</v>
      </c>
      <c r="N1143">
        <f t="shared" ca="1" si="170"/>
        <v>1.0053950665547098E-6</v>
      </c>
    </row>
    <row r="1144" spans="6:14" x14ac:dyDescent="0.35">
      <c r="F1144">
        <f t="shared" si="178"/>
        <v>17</v>
      </c>
      <c r="G1144">
        <f t="shared" si="174"/>
        <v>20</v>
      </c>
      <c r="H1144">
        <f t="shared" si="175"/>
        <v>0</v>
      </c>
      <c r="K1144" t="str">
        <f t="shared" ca="1" si="171"/>
        <v>OTP</v>
      </c>
      <c r="L1144" t="str">
        <f t="shared" ca="1" si="172"/>
        <v>dom</v>
      </c>
      <c r="M1144" t="str">
        <f t="shared" ca="1" si="169"/>
        <v>CNS</v>
      </c>
      <c r="N1144">
        <f t="shared" ca="1" si="170"/>
        <v>1.0053950665547098E-6</v>
      </c>
    </row>
    <row r="1145" spans="6:14" x14ac:dyDescent="0.35">
      <c r="F1145">
        <f t="shared" si="178"/>
        <v>17</v>
      </c>
      <c r="G1145">
        <f t="shared" si="174"/>
        <v>21</v>
      </c>
      <c r="H1145">
        <f t="shared" si="175"/>
        <v>0</v>
      </c>
      <c r="K1145" t="str">
        <f t="shared" ca="1" si="171"/>
        <v>WTP</v>
      </c>
      <c r="L1145" t="str">
        <f t="shared" ca="1" si="172"/>
        <v>dom</v>
      </c>
      <c r="M1145" t="str">
        <f t="shared" ca="1" si="169"/>
        <v>CNS</v>
      </c>
      <c r="N1145">
        <f t="shared" ca="1" si="170"/>
        <v>1.0053950665547098E-6</v>
      </c>
    </row>
    <row r="1146" spans="6:14" x14ac:dyDescent="0.35">
      <c r="F1146">
        <f t="shared" si="178"/>
        <v>17</v>
      </c>
      <c r="G1146">
        <f t="shared" si="174"/>
        <v>22</v>
      </c>
      <c r="H1146">
        <f t="shared" si="175"/>
        <v>0</v>
      </c>
      <c r="K1146" t="str">
        <f t="shared" ca="1" si="171"/>
        <v>ATP</v>
      </c>
      <c r="L1146" t="str">
        <f t="shared" ca="1" si="172"/>
        <v>dom</v>
      </c>
      <c r="M1146" t="str">
        <f t="shared" ca="1" si="169"/>
        <v>CNS</v>
      </c>
      <c r="N1146">
        <f t="shared" ca="1" si="170"/>
        <v>1.0053950665547098E-6</v>
      </c>
    </row>
    <row r="1147" spans="6:14" x14ac:dyDescent="0.35">
      <c r="F1147">
        <f t="shared" si="178"/>
        <v>17</v>
      </c>
      <c r="G1147">
        <f t="shared" si="174"/>
        <v>23</v>
      </c>
      <c r="H1147">
        <f t="shared" si="175"/>
        <v>0</v>
      </c>
      <c r="K1147" t="str">
        <f t="shared" ca="1" si="171"/>
        <v>WHS</v>
      </c>
      <c r="L1147" t="str">
        <f t="shared" ca="1" si="172"/>
        <v>dom</v>
      </c>
      <c r="M1147" t="str">
        <f t="shared" ca="1" si="169"/>
        <v>CNS</v>
      </c>
      <c r="N1147">
        <f t="shared" ca="1" si="170"/>
        <v>1.0053950665547098E-6</v>
      </c>
    </row>
    <row r="1148" spans="6:14" x14ac:dyDescent="0.35">
      <c r="F1148">
        <f t="shared" si="178"/>
        <v>17</v>
      </c>
      <c r="G1148">
        <f t="shared" si="174"/>
        <v>24</v>
      </c>
      <c r="H1148">
        <f t="shared" si="175"/>
        <v>0</v>
      </c>
      <c r="K1148" t="str">
        <f t="shared" ca="1" si="171"/>
        <v>CMN</v>
      </c>
      <c r="L1148" t="str">
        <f t="shared" ca="1" si="172"/>
        <v>dom</v>
      </c>
      <c r="M1148" t="str">
        <f t="shared" ca="1" si="169"/>
        <v>CNS</v>
      </c>
      <c r="N1148">
        <f t="shared" ca="1" si="170"/>
        <v>1.0053950665547098E-6</v>
      </c>
    </row>
    <row r="1149" spans="6:14" x14ac:dyDescent="0.35">
      <c r="F1149">
        <f t="shared" si="178"/>
        <v>17</v>
      </c>
      <c r="G1149">
        <f t="shared" si="174"/>
        <v>25</v>
      </c>
      <c r="H1149">
        <f t="shared" si="175"/>
        <v>0</v>
      </c>
      <c r="K1149" t="str">
        <f t="shared" ca="1" si="171"/>
        <v>OFI</v>
      </c>
      <c r="L1149" t="str">
        <f t="shared" ca="1" si="172"/>
        <v>dom</v>
      </c>
      <c r="M1149" t="str">
        <f t="shared" ca="1" si="169"/>
        <v>CNS</v>
      </c>
      <c r="N1149">
        <f t="shared" ca="1" si="170"/>
        <v>1.0053950665547098E-6</v>
      </c>
    </row>
    <row r="1150" spans="6:14" x14ac:dyDescent="0.35">
      <c r="F1150">
        <f t="shared" si="178"/>
        <v>17</v>
      </c>
      <c r="G1150">
        <f t="shared" si="174"/>
        <v>26</v>
      </c>
      <c r="H1150">
        <f t="shared" si="175"/>
        <v>0</v>
      </c>
      <c r="K1150" t="str">
        <f t="shared" ca="1" si="171"/>
        <v>RSA</v>
      </c>
      <c r="L1150" t="str">
        <f t="shared" ca="1" si="172"/>
        <v>dom</v>
      </c>
      <c r="M1150" t="str">
        <f t="shared" ca="1" si="169"/>
        <v>CNS</v>
      </c>
      <c r="N1150">
        <f t="shared" ca="1" si="170"/>
        <v>1.0053950665547098E-6</v>
      </c>
    </row>
    <row r="1151" spans="6:14" x14ac:dyDescent="0.35">
      <c r="F1151">
        <f t="shared" si="178"/>
        <v>17</v>
      </c>
      <c r="G1151">
        <f t="shared" si="174"/>
        <v>27</v>
      </c>
      <c r="H1151">
        <f t="shared" si="175"/>
        <v>0</v>
      </c>
      <c r="K1151" t="str">
        <f t="shared" ca="1" si="171"/>
        <v>OBS</v>
      </c>
      <c r="L1151" t="str">
        <f t="shared" ca="1" si="172"/>
        <v>dom</v>
      </c>
      <c r="M1151" t="str">
        <f t="shared" ca="1" si="169"/>
        <v>CNS</v>
      </c>
      <c r="N1151">
        <f t="shared" ca="1" si="170"/>
        <v>1.0053950665547098E-6</v>
      </c>
    </row>
    <row r="1152" spans="6:14" x14ac:dyDescent="0.35">
      <c r="F1152">
        <f t="shared" si="178"/>
        <v>17</v>
      </c>
      <c r="G1152">
        <f t="shared" si="174"/>
        <v>28</v>
      </c>
      <c r="H1152">
        <f t="shared" si="175"/>
        <v>0</v>
      </c>
      <c r="K1152" t="str">
        <f t="shared" ca="1" si="171"/>
        <v>GOV</v>
      </c>
      <c r="L1152" t="str">
        <f t="shared" ca="1" si="172"/>
        <v>dom</v>
      </c>
      <c r="M1152" t="str">
        <f t="shared" ca="1" si="169"/>
        <v>CNS</v>
      </c>
      <c r="N1152">
        <f t="shared" ca="1" si="170"/>
        <v>1.0053950665547098E-6</v>
      </c>
    </row>
    <row r="1153" spans="6:14" x14ac:dyDescent="0.35">
      <c r="F1153">
        <f t="shared" si="178"/>
        <v>17</v>
      </c>
      <c r="G1153">
        <f t="shared" si="174"/>
        <v>29</v>
      </c>
      <c r="H1153">
        <f t="shared" si="175"/>
        <v>0</v>
      </c>
      <c r="K1153" t="str">
        <f t="shared" ca="1" si="171"/>
        <v>EDU</v>
      </c>
      <c r="L1153" t="str">
        <f t="shared" ca="1" si="172"/>
        <v>dom</v>
      </c>
      <c r="M1153" t="str">
        <f t="shared" ca="1" si="169"/>
        <v>CNS</v>
      </c>
      <c r="N1153">
        <f t="shared" ca="1" si="170"/>
        <v>1.0053950665547098E-6</v>
      </c>
    </row>
    <row r="1154" spans="6:14" x14ac:dyDescent="0.35">
      <c r="F1154">
        <f t="shared" si="178"/>
        <v>17</v>
      </c>
      <c r="G1154">
        <f t="shared" si="174"/>
        <v>30</v>
      </c>
      <c r="H1154">
        <f t="shared" si="175"/>
        <v>0</v>
      </c>
      <c r="K1154" t="str">
        <f t="shared" ca="1" si="171"/>
        <v>HHT</v>
      </c>
      <c r="L1154" t="str">
        <f t="shared" ca="1" si="172"/>
        <v>dom</v>
      </c>
      <c r="M1154" t="str">
        <f t="shared" ref="M1154:M1217" ca="1" si="179">OFFSET(A$2,F1154,0)</f>
        <v>CNS</v>
      </c>
      <c r="N1154">
        <f t="shared" ref="N1154:N1217" ca="1" si="180">SUMIFS(C:C,A:A,K1154,B:B,L1154)*SUMIFS(U:U,S:S,M1154)</f>
        <v>1.0053950665547098E-6</v>
      </c>
    </row>
    <row r="1155" spans="6:14" x14ac:dyDescent="0.35">
      <c r="F1155">
        <f t="shared" si="178"/>
        <v>17</v>
      </c>
      <c r="G1155">
        <f t="shared" si="174"/>
        <v>31</v>
      </c>
      <c r="H1155">
        <f t="shared" si="175"/>
        <v>0</v>
      </c>
      <c r="K1155" t="str">
        <f t="shared" ref="K1155:K1218" ca="1" si="181">OFFSET(A$2,G1155,0)</f>
        <v>REC</v>
      </c>
      <c r="L1155" t="str">
        <f t="shared" ref="L1155:L1218" ca="1" si="182">OFFSET($V$3,H1155,0)</f>
        <v>dom</v>
      </c>
      <c r="M1155" t="str">
        <f t="shared" ca="1" si="179"/>
        <v>CNS</v>
      </c>
      <c r="N1155">
        <f t="shared" ca="1" si="180"/>
        <v>1.0053950665547098E-6</v>
      </c>
    </row>
    <row r="1156" spans="6:14" x14ac:dyDescent="0.35">
      <c r="F1156">
        <f t="shared" si="178"/>
        <v>17</v>
      </c>
      <c r="G1156">
        <f t="shared" si="174"/>
        <v>32</v>
      </c>
      <c r="H1156">
        <f t="shared" si="175"/>
        <v>0</v>
      </c>
      <c r="K1156" t="str">
        <f t="shared" ca="1" si="181"/>
        <v>DWE</v>
      </c>
      <c r="L1156" t="str">
        <f t="shared" ca="1" si="182"/>
        <v>dom</v>
      </c>
      <c r="M1156" t="str">
        <f t="shared" ca="1" si="179"/>
        <v>CNS</v>
      </c>
      <c r="N1156">
        <f t="shared" ca="1" si="180"/>
        <v>1.0053950665547098E-6</v>
      </c>
    </row>
    <row r="1157" spans="6:14" x14ac:dyDescent="0.35">
      <c r="F1157">
        <f t="shared" ref="F1157:F1172" si="183">F1091+1</f>
        <v>17</v>
      </c>
      <c r="G1157">
        <f t="shared" ref="G1157:G1220" si="184">G1124</f>
        <v>0</v>
      </c>
      <c r="H1157">
        <f t="shared" ref="H1157:H1220" si="185">H1091</f>
        <v>1</v>
      </c>
      <c r="K1157" t="str">
        <f t="shared" ca="1" si="181"/>
        <v>AG</v>
      </c>
      <c r="L1157" t="str">
        <f t="shared" ca="1" si="182"/>
        <v>imp</v>
      </c>
      <c r="M1157" t="str">
        <f t="shared" ca="1" si="179"/>
        <v>CNS</v>
      </c>
      <c r="N1157">
        <f t="shared" ca="1" si="180"/>
        <v>9.3017382482179833</v>
      </c>
    </row>
    <row r="1158" spans="6:14" x14ac:dyDescent="0.35">
      <c r="F1158">
        <f t="shared" si="183"/>
        <v>17</v>
      </c>
      <c r="G1158">
        <f t="shared" si="184"/>
        <v>1</v>
      </c>
      <c r="H1158">
        <f t="shared" si="185"/>
        <v>1</v>
      </c>
      <c r="K1158" t="str">
        <f t="shared" ca="1" si="181"/>
        <v>MIN</v>
      </c>
      <c r="L1158" t="str">
        <f t="shared" ca="1" si="182"/>
        <v>imp</v>
      </c>
      <c r="M1158" t="str">
        <f t="shared" ca="1" si="179"/>
        <v>CNS</v>
      </c>
      <c r="N1158">
        <f t="shared" ca="1" si="180"/>
        <v>14.674717034238185</v>
      </c>
    </row>
    <row r="1159" spans="6:14" x14ac:dyDescent="0.35">
      <c r="F1159">
        <f t="shared" si="183"/>
        <v>17</v>
      </c>
      <c r="G1159">
        <f t="shared" si="184"/>
        <v>2</v>
      </c>
      <c r="H1159">
        <f t="shared" si="185"/>
        <v>1</v>
      </c>
      <c r="K1159" t="str">
        <f t="shared" ca="1" si="181"/>
        <v>FBT</v>
      </c>
      <c r="L1159" t="str">
        <f t="shared" ca="1" si="182"/>
        <v>imp</v>
      </c>
      <c r="M1159" t="str">
        <f t="shared" ca="1" si="179"/>
        <v>CNS</v>
      </c>
      <c r="N1159">
        <f t="shared" ca="1" si="180"/>
        <v>3.6720643233286014</v>
      </c>
    </row>
    <row r="1160" spans="6:14" x14ac:dyDescent="0.35">
      <c r="F1160">
        <f t="shared" si="183"/>
        <v>17</v>
      </c>
      <c r="G1160">
        <f t="shared" si="184"/>
        <v>3</v>
      </c>
      <c r="H1160">
        <f t="shared" si="185"/>
        <v>1</v>
      </c>
      <c r="K1160" t="str">
        <f t="shared" ca="1" si="181"/>
        <v>TEX</v>
      </c>
      <c r="L1160" t="str">
        <f t="shared" ca="1" si="182"/>
        <v>imp</v>
      </c>
      <c r="M1160" t="str">
        <f t="shared" ca="1" si="179"/>
        <v>CNS</v>
      </c>
      <c r="N1160">
        <f t="shared" ca="1" si="180"/>
        <v>72.060648741278214</v>
      </c>
    </row>
    <row r="1161" spans="6:14" x14ac:dyDescent="0.35">
      <c r="F1161">
        <f t="shared" si="183"/>
        <v>17</v>
      </c>
      <c r="G1161">
        <f t="shared" si="184"/>
        <v>4</v>
      </c>
      <c r="H1161">
        <f t="shared" si="185"/>
        <v>1</v>
      </c>
      <c r="K1161" t="str">
        <f t="shared" ca="1" si="181"/>
        <v>LEATHER</v>
      </c>
      <c r="L1161" t="str">
        <f t="shared" ca="1" si="182"/>
        <v>imp</v>
      </c>
      <c r="M1161" t="str">
        <f t="shared" ca="1" si="179"/>
        <v>CNS</v>
      </c>
      <c r="N1161">
        <f t="shared" ca="1" si="180"/>
        <v>37.555810690148398</v>
      </c>
    </row>
    <row r="1162" spans="6:14" x14ac:dyDescent="0.35">
      <c r="F1162">
        <f t="shared" si="183"/>
        <v>17</v>
      </c>
      <c r="G1162">
        <f t="shared" si="184"/>
        <v>5</v>
      </c>
      <c r="H1162">
        <f t="shared" si="185"/>
        <v>1</v>
      </c>
      <c r="K1162" t="str">
        <f t="shared" ca="1" si="181"/>
        <v>WOOD</v>
      </c>
      <c r="L1162" t="str">
        <f t="shared" ca="1" si="182"/>
        <v>imp</v>
      </c>
      <c r="M1162" t="str">
        <f t="shared" ca="1" si="179"/>
        <v>CNS</v>
      </c>
      <c r="N1162">
        <f t="shared" ca="1" si="180"/>
        <v>0.67222153015418573</v>
      </c>
    </row>
    <row r="1163" spans="6:14" x14ac:dyDescent="0.35">
      <c r="F1163">
        <f t="shared" si="183"/>
        <v>17</v>
      </c>
      <c r="G1163">
        <f t="shared" si="184"/>
        <v>6</v>
      </c>
      <c r="H1163">
        <f t="shared" si="185"/>
        <v>1</v>
      </c>
      <c r="K1163" t="str">
        <f t="shared" ca="1" si="181"/>
        <v>PPP</v>
      </c>
      <c r="L1163" t="str">
        <f t="shared" ca="1" si="182"/>
        <v>imp</v>
      </c>
      <c r="M1163" t="str">
        <f t="shared" ca="1" si="179"/>
        <v>CNS</v>
      </c>
      <c r="N1163">
        <f t="shared" ca="1" si="180"/>
        <v>9.6799222047337103</v>
      </c>
    </row>
    <row r="1164" spans="6:14" x14ac:dyDescent="0.35">
      <c r="F1164">
        <f t="shared" si="183"/>
        <v>17</v>
      </c>
      <c r="G1164">
        <f t="shared" si="184"/>
        <v>7</v>
      </c>
      <c r="H1164">
        <f t="shared" si="185"/>
        <v>1</v>
      </c>
      <c r="K1164" t="str">
        <f t="shared" ca="1" si="181"/>
        <v>PC</v>
      </c>
      <c r="L1164" t="str">
        <f t="shared" ca="1" si="182"/>
        <v>imp</v>
      </c>
      <c r="M1164" t="str">
        <f t="shared" ca="1" si="179"/>
        <v>CNS</v>
      </c>
      <c r="N1164">
        <f t="shared" ca="1" si="180"/>
        <v>2.4375182364212127</v>
      </c>
    </row>
    <row r="1165" spans="6:14" x14ac:dyDescent="0.35">
      <c r="F1165">
        <f t="shared" si="183"/>
        <v>17</v>
      </c>
      <c r="G1165">
        <f t="shared" si="184"/>
        <v>8</v>
      </c>
      <c r="H1165">
        <f t="shared" si="185"/>
        <v>1</v>
      </c>
      <c r="K1165" t="str">
        <f t="shared" ca="1" si="181"/>
        <v>CHM</v>
      </c>
      <c r="L1165" t="str">
        <f t="shared" ca="1" si="182"/>
        <v>imp</v>
      </c>
      <c r="M1165" t="str">
        <f t="shared" ca="1" si="179"/>
        <v>CNS</v>
      </c>
      <c r="N1165">
        <f t="shared" ca="1" si="180"/>
        <v>33.414305083874815</v>
      </c>
    </row>
    <row r="1166" spans="6:14" x14ac:dyDescent="0.35">
      <c r="F1166">
        <f t="shared" si="183"/>
        <v>17</v>
      </c>
      <c r="G1166">
        <f t="shared" si="184"/>
        <v>9</v>
      </c>
      <c r="H1166">
        <f t="shared" si="185"/>
        <v>1</v>
      </c>
      <c r="K1166" t="str">
        <f t="shared" ca="1" si="181"/>
        <v>RUBBER</v>
      </c>
      <c r="L1166" t="str">
        <f t="shared" ca="1" si="182"/>
        <v>imp</v>
      </c>
      <c r="M1166" t="str">
        <f t="shared" ca="1" si="179"/>
        <v>CNS</v>
      </c>
      <c r="N1166">
        <f t="shared" ca="1" si="180"/>
        <v>25.590916471459124</v>
      </c>
    </row>
    <row r="1167" spans="6:14" x14ac:dyDescent="0.35">
      <c r="F1167">
        <f t="shared" si="183"/>
        <v>17</v>
      </c>
      <c r="G1167">
        <f t="shared" si="184"/>
        <v>10</v>
      </c>
      <c r="H1167">
        <f t="shared" si="185"/>
        <v>1</v>
      </c>
      <c r="K1167" t="str">
        <f t="shared" ca="1" si="181"/>
        <v>NMM</v>
      </c>
      <c r="L1167" t="str">
        <f t="shared" ca="1" si="182"/>
        <v>imp</v>
      </c>
      <c r="M1167" t="str">
        <f t="shared" ca="1" si="179"/>
        <v>CNS</v>
      </c>
      <c r="N1167">
        <f t="shared" ca="1" si="180"/>
        <v>9.660247918824636</v>
      </c>
    </row>
    <row r="1168" spans="6:14" x14ac:dyDescent="0.35">
      <c r="F1168">
        <f t="shared" si="183"/>
        <v>17</v>
      </c>
      <c r="G1168">
        <f t="shared" si="184"/>
        <v>11</v>
      </c>
      <c r="H1168">
        <f t="shared" si="185"/>
        <v>1</v>
      </c>
      <c r="K1168" t="str">
        <f t="shared" ca="1" si="181"/>
        <v>METAL</v>
      </c>
      <c r="L1168" t="str">
        <f t="shared" ca="1" si="182"/>
        <v>imp</v>
      </c>
      <c r="M1168" t="str">
        <f t="shared" ca="1" si="179"/>
        <v>CNS</v>
      </c>
      <c r="N1168">
        <f t="shared" ca="1" si="180"/>
        <v>120.91865381502554</v>
      </c>
    </row>
    <row r="1169" spans="6:14" x14ac:dyDescent="0.35">
      <c r="F1169">
        <f t="shared" si="183"/>
        <v>17</v>
      </c>
      <c r="G1169">
        <f t="shared" si="184"/>
        <v>12</v>
      </c>
      <c r="H1169">
        <f t="shared" si="185"/>
        <v>1</v>
      </c>
      <c r="K1169" t="str">
        <f t="shared" ca="1" si="181"/>
        <v>MACH</v>
      </c>
      <c r="L1169" t="str">
        <f t="shared" ca="1" si="182"/>
        <v>imp</v>
      </c>
      <c r="M1169" t="str">
        <f t="shared" ca="1" si="179"/>
        <v>CNS</v>
      </c>
      <c r="N1169">
        <f t="shared" ca="1" si="180"/>
        <v>463.21177834120101</v>
      </c>
    </row>
    <row r="1170" spans="6:14" x14ac:dyDescent="0.35">
      <c r="F1170">
        <f t="shared" si="183"/>
        <v>17</v>
      </c>
      <c r="G1170">
        <f t="shared" si="184"/>
        <v>13</v>
      </c>
      <c r="H1170">
        <f t="shared" si="185"/>
        <v>1</v>
      </c>
      <c r="K1170" t="str">
        <f t="shared" ca="1" si="181"/>
        <v>ELEC</v>
      </c>
      <c r="L1170" t="str">
        <f t="shared" ca="1" si="182"/>
        <v>imp</v>
      </c>
      <c r="M1170" t="str">
        <f t="shared" ca="1" si="179"/>
        <v>CNS</v>
      </c>
      <c r="N1170">
        <f t="shared" ca="1" si="180"/>
        <v>248.3600257251419</v>
      </c>
    </row>
    <row r="1171" spans="6:14" x14ac:dyDescent="0.35">
      <c r="F1171">
        <f t="shared" si="183"/>
        <v>17</v>
      </c>
      <c r="G1171">
        <f t="shared" si="184"/>
        <v>14</v>
      </c>
      <c r="H1171">
        <f t="shared" si="185"/>
        <v>1</v>
      </c>
      <c r="K1171" t="str">
        <f t="shared" ca="1" si="181"/>
        <v>TRNEQUIP</v>
      </c>
      <c r="L1171" t="str">
        <f t="shared" ca="1" si="182"/>
        <v>imp</v>
      </c>
      <c r="M1171" t="str">
        <f t="shared" ca="1" si="179"/>
        <v>CNS</v>
      </c>
      <c r="N1171">
        <f t="shared" ca="1" si="180"/>
        <v>396.35466571880204</v>
      </c>
    </row>
    <row r="1172" spans="6:14" x14ac:dyDescent="0.35">
      <c r="F1172">
        <f t="shared" si="183"/>
        <v>17</v>
      </c>
      <c r="G1172">
        <f t="shared" si="184"/>
        <v>15</v>
      </c>
      <c r="H1172">
        <f t="shared" si="185"/>
        <v>1</v>
      </c>
      <c r="K1172" t="str">
        <f t="shared" ca="1" si="181"/>
        <v>ROMAN</v>
      </c>
      <c r="L1172" t="str">
        <f t="shared" ca="1" si="182"/>
        <v>imp</v>
      </c>
      <c r="M1172" t="str">
        <f t="shared" ca="1" si="179"/>
        <v>CNS</v>
      </c>
      <c r="N1172">
        <f t="shared" ca="1" si="180"/>
        <v>150.39070183200295</v>
      </c>
    </row>
    <row r="1173" spans="6:14" x14ac:dyDescent="0.35">
      <c r="F1173">
        <f t="shared" ref="F1173:F1188" si="186">F1107+1</f>
        <v>17</v>
      </c>
      <c r="G1173">
        <f t="shared" si="184"/>
        <v>16</v>
      </c>
      <c r="H1173">
        <f t="shared" si="185"/>
        <v>1</v>
      </c>
      <c r="K1173" t="str">
        <f t="shared" ca="1" si="181"/>
        <v>ELYGASWTR</v>
      </c>
      <c r="L1173" t="str">
        <f t="shared" ca="1" si="182"/>
        <v>imp</v>
      </c>
      <c r="M1173" t="str">
        <f t="shared" ca="1" si="179"/>
        <v>CNS</v>
      </c>
      <c r="N1173">
        <f t="shared" ca="1" si="180"/>
        <v>1.0053950665547098E-6</v>
      </c>
    </row>
    <row r="1174" spans="6:14" x14ac:dyDescent="0.35">
      <c r="F1174">
        <f t="shared" si="186"/>
        <v>17</v>
      </c>
      <c r="G1174">
        <f t="shared" si="184"/>
        <v>17</v>
      </c>
      <c r="H1174">
        <f t="shared" si="185"/>
        <v>1</v>
      </c>
      <c r="K1174" t="str">
        <f t="shared" ca="1" si="181"/>
        <v>CNS</v>
      </c>
      <c r="L1174" t="str">
        <f t="shared" ca="1" si="182"/>
        <v>imp</v>
      </c>
      <c r="M1174" t="str">
        <f t="shared" ca="1" si="179"/>
        <v>CNS</v>
      </c>
      <c r="N1174">
        <f t="shared" ca="1" si="180"/>
        <v>29.439846614191197</v>
      </c>
    </row>
    <row r="1175" spans="6:14" x14ac:dyDescent="0.35">
      <c r="F1175">
        <f t="shared" si="186"/>
        <v>17</v>
      </c>
      <c r="G1175">
        <f t="shared" si="184"/>
        <v>18</v>
      </c>
      <c r="H1175">
        <f t="shared" si="185"/>
        <v>1</v>
      </c>
      <c r="K1175" t="str">
        <f t="shared" ca="1" si="181"/>
        <v>TRD</v>
      </c>
      <c r="L1175" t="str">
        <f t="shared" ca="1" si="182"/>
        <v>imp</v>
      </c>
      <c r="M1175" t="str">
        <f t="shared" ca="1" si="179"/>
        <v>CNS</v>
      </c>
      <c r="N1175">
        <f t="shared" ca="1" si="180"/>
        <v>2.5757876855151376</v>
      </c>
    </row>
    <row r="1176" spans="6:14" x14ac:dyDescent="0.35">
      <c r="F1176">
        <f t="shared" si="186"/>
        <v>17</v>
      </c>
      <c r="G1176">
        <f t="shared" si="184"/>
        <v>19</v>
      </c>
      <c r="H1176">
        <f t="shared" si="185"/>
        <v>1</v>
      </c>
      <c r="K1176" t="str">
        <f t="shared" ca="1" si="181"/>
        <v>AFS</v>
      </c>
      <c r="L1176" t="str">
        <f t="shared" ca="1" si="182"/>
        <v>imp</v>
      </c>
      <c r="M1176" t="str">
        <f t="shared" ca="1" si="179"/>
        <v>CNS</v>
      </c>
      <c r="N1176">
        <f t="shared" ca="1" si="180"/>
        <v>1.0053950665547098E-6</v>
      </c>
    </row>
    <row r="1177" spans="6:14" x14ac:dyDescent="0.35">
      <c r="F1177">
        <f t="shared" si="186"/>
        <v>17</v>
      </c>
      <c r="G1177">
        <f t="shared" si="184"/>
        <v>20</v>
      </c>
      <c r="H1177">
        <f t="shared" si="185"/>
        <v>1</v>
      </c>
      <c r="K1177" t="str">
        <f t="shared" ca="1" si="181"/>
        <v>OTP</v>
      </c>
      <c r="L1177" t="str">
        <f t="shared" ca="1" si="182"/>
        <v>imp</v>
      </c>
      <c r="M1177" t="str">
        <f t="shared" ca="1" si="179"/>
        <v>CNS</v>
      </c>
      <c r="N1177">
        <f t="shared" ca="1" si="180"/>
        <v>1.0053950665547098E-6</v>
      </c>
    </row>
    <row r="1178" spans="6:14" x14ac:dyDescent="0.35">
      <c r="F1178">
        <f t="shared" si="186"/>
        <v>17</v>
      </c>
      <c r="G1178">
        <f t="shared" si="184"/>
        <v>21</v>
      </c>
      <c r="H1178">
        <f t="shared" si="185"/>
        <v>1</v>
      </c>
      <c r="K1178" t="str">
        <f t="shared" ca="1" si="181"/>
        <v>WTP</v>
      </c>
      <c r="L1178" t="str">
        <f t="shared" ca="1" si="182"/>
        <v>imp</v>
      </c>
      <c r="M1178" t="str">
        <f t="shared" ca="1" si="179"/>
        <v>CNS</v>
      </c>
      <c r="N1178">
        <f t="shared" ca="1" si="180"/>
        <v>1.0053950665547098E-6</v>
      </c>
    </row>
    <row r="1179" spans="6:14" x14ac:dyDescent="0.35">
      <c r="F1179">
        <f t="shared" si="186"/>
        <v>17</v>
      </c>
      <c r="G1179">
        <f t="shared" si="184"/>
        <v>22</v>
      </c>
      <c r="H1179">
        <f t="shared" si="185"/>
        <v>1</v>
      </c>
      <c r="K1179" t="str">
        <f t="shared" ca="1" si="181"/>
        <v>ATP</v>
      </c>
      <c r="L1179" t="str">
        <f t="shared" ca="1" si="182"/>
        <v>imp</v>
      </c>
      <c r="M1179" t="str">
        <f t="shared" ca="1" si="179"/>
        <v>CNS</v>
      </c>
      <c r="N1179">
        <f t="shared" ca="1" si="180"/>
        <v>1.0053950665547098E-6</v>
      </c>
    </row>
    <row r="1180" spans="6:14" x14ac:dyDescent="0.35">
      <c r="F1180">
        <f t="shared" si="186"/>
        <v>17</v>
      </c>
      <c r="G1180">
        <f t="shared" si="184"/>
        <v>23</v>
      </c>
      <c r="H1180">
        <f t="shared" si="185"/>
        <v>1</v>
      </c>
      <c r="K1180" t="str">
        <f t="shared" ca="1" si="181"/>
        <v>WHS</v>
      </c>
      <c r="L1180" t="str">
        <f t="shared" ca="1" si="182"/>
        <v>imp</v>
      </c>
      <c r="M1180" t="str">
        <f t="shared" ca="1" si="179"/>
        <v>CNS</v>
      </c>
      <c r="N1180">
        <f t="shared" ca="1" si="180"/>
        <v>1.0053950665547098E-6</v>
      </c>
    </row>
    <row r="1181" spans="6:14" x14ac:dyDescent="0.35">
      <c r="F1181">
        <f t="shared" si="186"/>
        <v>17</v>
      </c>
      <c r="G1181">
        <f t="shared" si="184"/>
        <v>24</v>
      </c>
      <c r="H1181">
        <f t="shared" si="185"/>
        <v>1</v>
      </c>
      <c r="K1181" t="str">
        <f t="shared" ca="1" si="181"/>
        <v>CMN</v>
      </c>
      <c r="L1181" t="str">
        <f t="shared" ca="1" si="182"/>
        <v>imp</v>
      </c>
      <c r="M1181" t="str">
        <f t="shared" ca="1" si="179"/>
        <v>CNS</v>
      </c>
      <c r="N1181">
        <f t="shared" ca="1" si="180"/>
        <v>1.0053950665547098E-6</v>
      </c>
    </row>
    <row r="1182" spans="6:14" x14ac:dyDescent="0.35">
      <c r="F1182">
        <f t="shared" si="186"/>
        <v>17</v>
      </c>
      <c r="G1182">
        <f t="shared" si="184"/>
        <v>25</v>
      </c>
      <c r="H1182">
        <f t="shared" si="185"/>
        <v>1</v>
      </c>
      <c r="K1182" t="str">
        <f t="shared" ca="1" si="181"/>
        <v>OFI</v>
      </c>
      <c r="L1182" t="str">
        <f t="shared" ca="1" si="182"/>
        <v>imp</v>
      </c>
      <c r="M1182" t="str">
        <f t="shared" ca="1" si="179"/>
        <v>CNS</v>
      </c>
      <c r="N1182">
        <f t="shared" ca="1" si="180"/>
        <v>1.0053950665547098E-6</v>
      </c>
    </row>
    <row r="1183" spans="6:14" x14ac:dyDescent="0.35">
      <c r="F1183">
        <f t="shared" si="186"/>
        <v>17</v>
      </c>
      <c r="G1183">
        <f t="shared" si="184"/>
        <v>26</v>
      </c>
      <c r="H1183">
        <f t="shared" si="185"/>
        <v>1</v>
      </c>
      <c r="K1183" t="str">
        <f t="shared" ca="1" si="181"/>
        <v>RSA</v>
      </c>
      <c r="L1183" t="str">
        <f t="shared" ca="1" si="182"/>
        <v>imp</v>
      </c>
      <c r="M1183" t="str">
        <f t="shared" ca="1" si="179"/>
        <v>CNS</v>
      </c>
      <c r="N1183">
        <f t="shared" ca="1" si="180"/>
        <v>1.0053950665547098E-6</v>
      </c>
    </row>
    <row r="1184" spans="6:14" x14ac:dyDescent="0.35">
      <c r="F1184">
        <f t="shared" si="186"/>
        <v>17</v>
      </c>
      <c r="G1184">
        <f t="shared" si="184"/>
        <v>27</v>
      </c>
      <c r="H1184">
        <f t="shared" si="185"/>
        <v>1</v>
      </c>
      <c r="K1184" t="str">
        <f t="shared" ca="1" si="181"/>
        <v>OBS</v>
      </c>
      <c r="L1184" t="str">
        <f t="shared" ca="1" si="182"/>
        <v>imp</v>
      </c>
      <c r="M1184" t="str">
        <f t="shared" ca="1" si="179"/>
        <v>CNS</v>
      </c>
      <c r="N1184">
        <f t="shared" ca="1" si="180"/>
        <v>1.0053950665547098E-6</v>
      </c>
    </row>
    <row r="1185" spans="6:14" x14ac:dyDescent="0.35">
      <c r="F1185">
        <f t="shared" si="186"/>
        <v>17</v>
      </c>
      <c r="G1185">
        <f t="shared" si="184"/>
        <v>28</v>
      </c>
      <c r="H1185">
        <f t="shared" si="185"/>
        <v>1</v>
      </c>
      <c r="K1185" t="str">
        <f t="shared" ca="1" si="181"/>
        <v>GOV</v>
      </c>
      <c r="L1185" t="str">
        <f t="shared" ca="1" si="182"/>
        <v>imp</v>
      </c>
      <c r="M1185" t="str">
        <f t="shared" ca="1" si="179"/>
        <v>CNS</v>
      </c>
      <c r="N1185">
        <f t="shared" ca="1" si="180"/>
        <v>1.0053950665547098E-6</v>
      </c>
    </row>
    <row r="1186" spans="6:14" x14ac:dyDescent="0.35">
      <c r="F1186">
        <f t="shared" si="186"/>
        <v>17</v>
      </c>
      <c r="G1186">
        <f t="shared" si="184"/>
        <v>29</v>
      </c>
      <c r="H1186">
        <f t="shared" si="185"/>
        <v>1</v>
      </c>
      <c r="K1186" t="str">
        <f t="shared" ca="1" si="181"/>
        <v>EDU</v>
      </c>
      <c r="L1186" t="str">
        <f t="shared" ca="1" si="182"/>
        <v>imp</v>
      </c>
      <c r="M1186" t="str">
        <f t="shared" ca="1" si="179"/>
        <v>CNS</v>
      </c>
      <c r="N1186">
        <f t="shared" ca="1" si="180"/>
        <v>1.0053950665547098E-6</v>
      </c>
    </row>
    <row r="1187" spans="6:14" x14ac:dyDescent="0.35">
      <c r="F1187">
        <f t="shared" si="186"/>
        <v>17</v>
      </c>
      <c r="G1187">
        <f t="shared" si="184"/>
        <v>30</v>
      </c>
      <c r="H1187">
        <f t="shared" si="185"/>
        <v>1</v>
      </c>
      <c r="K1187" t="str">
        <f t="shared" ca="1" si="181"/>
        <v>HHT</v>
      </c>
      <c r="L1187" t="str">
        <f t="shared" ca="1" si="182"/>
        <v>imp</v>
      </c>
      <c r="M1187" t="str">
        <f t="shared" ca="1" si="179"/>
        <v>CNS</v>
      </c>
      <c r="N1187">
        <f t="shared" ca="1" si="180"/>
        <v>1.0053950665547098E-6</v>
      </c>
    </row>
    <row r="1188" spans="6:14" x14ac:dyDescent="0.35">
      <c r="F1188">
        <f t="shared" si="186"/>
        <v>17</v>
      </c>
      <c r="G1188">
        <f t="shared" si="184"/>
        <v>31</v>
      </c>
      <c r="H1188">
        <f t="shared" si="185"/>
        <v>1</v>
      </c>
      <c r="K1188" t="str">
        <f t="shared" ca="1" si="181"/>
        <v>REC</v>
      </c>
      <c r="L1188" t="str">
        <f t="shared" ca="1" si="182"/>
        <v>imp</v>
      </c>
      <c r="M1188" t="str">
        <f t="shared" ca="1" si="179"/>
        <v>CNS</v>
      </c>
      <c r="N1188">
        <f t="shared" ca="1" si="180"/>
        <v>1.0053950665547098E-6</v>
      </c>
    </row>
    <row r="1189" spans="6:14" x14ac:dyDescent="0.35">
      <c r="F1189">
        <f t="shared" ref="F1189:F1204" si="187">F1123+1</f>
        <v>17</v>
      </c>
      <c r="G1189">
        <f t="shared" si="184"/>
        <v>32</v>
      </c>
      <c r="H1189">
        <f t="shared" si="185"/>
        <v>1</v>
      </c>
      <c r="K1189" t="str">
        <f t="shared" ca="1" si="181"/>
        <v>DWE</v>
      </c>
      <c r="L1189" t="str">
        <f t="shared" ca="1" si="182"/>
        <v>imp</v>
      </c>
      <c r="M1189" t="str">
        <f t="shared" ca="1" si="179"/>
        <v>CNS</v>
      </c>
      <c r="N1189">
        <f t="shared" ca="1" si="180"/>
        <v>1.0053950665547098E-6</v>
      </c>
    </row>
    <row r="1190" spans="6:14" x14ac:dyDescent="0.35">
      <c r="F1190">
        <f t="shared" si="187"/>
        <v>18</v>
      </c>
      <c r="G1190">
        <f t="shared" si="184"/>
        <v>0</v>
      </c>
      <c r="H1190">
        <f t="shared" si="185"/>
        <v>0</v>
      </c>
      <c r="K1190" t="str">
        <f t="shared" ca="1" si="181"/>
        <v>AG</v>
      </c>
      <c r="L1190" t="str">
        <f t="shared" ca="1" si="182"/>
        <v>dom</v>
      </c>
      <c r="M1190" t="str">
        <f t="shared" ca="1" si="179"/>
        <v>TRD</v>
      </c>
      <c r="N1190">
        <f t="shared" ca="1" si="180"/>
        <v>4.7813847429152183</v>
      </c>
    </row>
    <row r="1191" spans="6:14" x14ac:dyDescent="0.35">
      <c r="F1191">
        <f t="shared" si="187"/>
        <v>18</v>
      </c>
      <c r="G1191">
        <f t="shared" si="184"/>
        <v>1</v>
      </c>
      <c r="H1191">
        <f t="shared" si="185"/>
        <v>0</v>
      </c>
      <c r="K1191" t="str">
        <f t="shared" ca="1" si="181"/>
        <v>MIN</v>
      </c>
      <c r="L1191" t="str">
        <f t="shared" ca="1" si="182"/>
        <v>dom</v>
      </c>
      <c r="M1191" t="str">
        <f t="shared" ca="1" si="179"/>
        <v>TRD</v>
      </c>
      <c r="N1191">
        <f t="shared" ca="1" si="180"/>
        <v>8.3407294844616242</v>
      </c>
    </row>
    <row r="1192" spans="6:14" x14ac:dyDescent="0.35">
      <c r="F1192">
        <f t="shared" si="187"/>
        <v>18</v>
      </c>
      <c r="G1192">
        <f t="shared" si="184"/>
        <v>2</v>
      </c>
      <c r="H1192">
        <f t="shared" si="185"/>
        <v>0</v>
      </c>
      <c r="K1192" t="str">
        <f t="shared" ca="1" si="181"/>
        <v>FBT</v>
      </c>
      <c r="L1192" t="str">
        <f t="shared" ca="1" si="182"/>
        <v>dom</v>
      </c>
      <c r="M1192" t="str">
        <f t="shared" ca="1" si="179"/>
        <v>TRD</v>
      </c>
      <c r="N1192">
        <f t="shared" ca="1" si="180"/>
        <v>14.044027409650765</v>
      </c>
    </row>
    <row r="1193" spans="6:14" x14ac:dyDescent="0.35">
      <c r="F1193">
        <f t="shared" si="187"/>
        <v>18</v>
      </c>
      <c r="G1193">
        <f t="shared" si="184"/>
        <v>3</v>
      </c>
      <c r="H1193">
        <f t="shared" si="185"/>
        <v>0</v>
      </c>
      <c r="K1193" t="str">
        <f t="shared" ca="1" si="181"/>
        <v>TEX</v>
      </c>
      <c r="L1193" t="str">
        <f t="shared" ca="1" si="182"/>
        <v>dom</v>
      </c>
      <c r="M1193" t="str">
        <f t="shared" ca="1" si="179"/>
        <v>TRD</v>
      </c>
      <c r="N1193">
        <f t="shared" ca="1" si="180"/>
        <v>73.153274744035571</v>
      </c>
    </row>
    <row r="1194" spans="6:14" x14ac:dyDescent="0.35">
      <c r="F1194">
        <f t="shared" si="187"/>
        <v>18</v>
      </c>
      <c r="G1194">
        <f t="shared" si="184"/>
        <v>4</v>
      </c>
      <c r="H1194">
        <f t="shared" si="185"/>
        <v>0</v>
      </c>
      <c r="K1194" t="str">
        <f t="shared" ca="1" si="181"/>
        <v>LEATHER</v>
      </c>
      <c r="L1194" t="str">
        <f t="shared" ca="1" si="182"/>
        <v>dom</v>
      </c>
      <c r="M1194" t="str">
        <f t="shared" ca="1" si="179"/>
        <v>TRD</v>
      </c>
      <c r="N1194">
        <f t="shared" ca="1" si="180"/>
        <v>0.5190823340514007</v>
      </c>
    </row>
    <row r="1195" spans="6:14" x14ac:dyDescent="0.35">
      <c r="F1195">
        <f t="shared" si="187"/>
        <v>18</v>
      </c>
      <c r="G1195">
        <f t="shared" si="184"/>
        <v>5</v>
      </c>
      <c r="H1195">
        <f t="shared" si="185"/>
        <v>0</v>
      </c>
      <c r="K1195" t="str">
        <f t="shared" ca="1" si="181"/>
        <v>WOOD</v>
      </c>
      <c r="L1195" t="str">
        <f t="shared" ca="1" si="182"/>
        <v>dom</v>
      </c>
      <c r="M1195" t="str">
        <f t="shared" ca="1" si="179"/>
        <v>TRD</v>
      </c>
      <c r="N1195">
        <f t="shared" ca="1" si="180"/>
        <v>3.1954283086905266</v>
      </c>
    </row>
    <row r="1196" spans="6:14" x14ac:dyDescent="0.35">
      <c r="F1196">
        <f t="shared" si="187"/>
        <v>18</v>
      </c>
      <c r="G1196">
        <f t="shared" si="184"/>
        <v>6</v>
      </c>
      <c r="H1196">
        <f t="shared" si="185"/>
        <v>0</v>
      </c>
      <c r="K1196" t="str">
        <f t="shared" ca="1" si="181"/>
        <v>PPP</v>
      </c>
      <c r="L1196" t="str">
        <f t="shared" ca="1" si="182"/>
        <v>dom</v>
      </c>
      <c r="M1196" t="str">
        <f t="shared" ca="1" si="179"/>
        <v>TRD</v>
      </c>
      <c r="N1196">
        <f t="shared" ca="1" si="180"/>
        <v>63.958350169586986</v>
      </c>
    </row>
    <row r="1197" spans="6:14" x14ac:dyDescent="0.35">
      <c r="F1197">
        <f t="shared" si="187"/>
        <v>18</v>
      </c>
      <c r="G1197">
        <f t="shared" si="184"/>
        <v>7</v>
      </c>
      <c r="H1197">
        <f t="shared" si="185"/>
        <v>0</v>
      </c>
      <c r="K1197" t="str">
        <f t="shared" ca="1" si="181"/>
        <v>PC</v>
      </c>
      <c r="L1197" t="str">
        <f t="shared" ca="1" si="182"/>
        <v>dom</v>
      </c>
      <c r="M1197" t="str">
        <f t="shared" ca="1" si="179"/>
        <v>TRD</v>
      </c>
      <c r="N1197">
        <f t="shared" ca="1" si="180"/>
        <v>9.7460207143142021</v>
      </c>
    </row>
    <row r="1198" spans="6:14" x14ac:dyDescent="0.35">
      <c r="F1198">
        <f t="shared" si="187"/>
        <v>18</v>
      </c>
      <c r="G1198">
        <f t="shared" si="184"/>
        <v>8</v>
      </c>
      <c r="H1198">
        <f t="shared" si="185"/>
        <v>0</v>
      </c>
      <c r="K1198" t="str">
        <f t="shared" ca="1" si="181"/>
        <v>CHM</v>
      </c>
      <c r="L1198" t="str">
        <f t="shared" ca="1" si="182"/>
        <v>dom</v>
      </c>
      <c r="M1198" t="str">
        <f t="shared" ca="1" si="179"/>
        <v>TRD</v>
      </c>
      <c r="N1198">
        <f t="shared" ca="1" si="180"/>
        <v>60.690426173407687</v>
      </c>
    </row>
    <row r="1199" spans="6:14" x14ac:dyDescent="0.35">
      <c r="F1199">
        <f t="shared" si="187"/>
        <v>18</v>
      </c>
      <c r="G1199">
        <f t="shared" si="184"/>
        <v>9</v>
      </c>
      <c r="H1199">
        <f t="shared" si="185"/>
        <v>0</v>
      </c>
      <c r="K1199" t="str">
        <f t="shared" ca="1" si="181"/>
        <v>RUBBER</v>
      </c>
      <c r="L1199" t="str">
        <f t="shared" ca="1" si="182"/>
        <v>dom</v>
      </c>
      <c r="M1199" t="str">
        <f t="shared" ca="1" si="179"/>
        <v>TRD</v>
      </c>
      <c r="N1199">
        <f t="shared" ca="1" si="180"/>
        <v>95.005005901168744</v>
      </c>
    </row>
    <row r="1200" spans="6:14" x14ac:dyDescent="0.35">
      <c r="F1200">
        <f t="shared" si="187"/>
        <v>18</v>
      </c>
      <c r="G1200">
        <f t="shared" si="184"/>
        <v>10</v>
      </c>
      <c r="H1200">
        <f t="shared" si="185"/>
        <v>0</v>
      </c>
      <c r="K1200" t="str">
        <f t="shared" ca="1" si="181"/>
        <v>NMM</v>
      </c>
      <c r="L1200" t="str">
        <f t="shared" ca="1" si="182"/>
        <v>dom</v>
      </c>
      <c r="M1200" t="str">
        <f t="shared" ca="1" si="179"/>
        <v>TRD</v>
      </c>
      <c r="N1200">
        <f t="shared" ca="1" si="180"/>
        <v>88.01032960337055</v>
      </c>
    </row>
    <row r="1201" spans="6:14" x14ac:dyDescent="0.35">
      <c r="F1201">
        <f t="shared" si="187"/>
        <v>18</v>
      </c>
      <c r="G1201">
        <f t="shared" si="184"/>
        <v>11</v>
      </c>
      <c r="H1201">
        <f t="shared" si="185"/>
        <v>0</v>
      </c>
      <c r="K1201" t="str">
        <f t="shared" ca="1" si="181"/>
        <v>METAL</v>
      </c>
      <c r="L1201" t="str">
        <f t="shared" ca="1" si="182"/>
        <v>dom</v>
      </c>
      <c r="M1201" t="str">
        <f t="shared" ca="1" si="179"/>
        <v>TRD</v>
      </c>
      <c r="N1201">
        <f t="shared" ca="1" si="180"/>
        <v>257.41498431703252</v>
      </c>
    </row>
    <row r="1202" spans="6:14" x14ac:dyDescent="0.35">
      <c r="F1202">
        <f t="shared" si="187"/>
        <v>18</v>
      </c>
      <c r="G1202">
        <f t="shared" si="184"/>
        <v>12</v>
      </c>
      <c r="H1202">
        <f t="shared" si="185"/>
        <v>0</v>
      </c>
      <c r="K1202" t="str">
        <f t="shared" ca="1" si="181"/>
        <v>MACH</v>
      </c>
      <c r="L1202" t="str">
        <f t="shared" ca="1" si="182"/>
        <v>dom</v>
      </c>
      <c r="M1202" t="str">
        <f t="shared" ca="1" si="179"/>
        <v>TRD</v>
      </c>
      <c r="N1202">
        <f t="shared" ca="1" si="180"/>
        <v>372.58789676531796</v>
      </c>
    </row>
    <row r="1203" spans="6:14" x14ac:dyDescent="0.35">
      <c r="F1203">
        <f t="shared" si="187"/>
        <v>18</v>
      </c>
      <c r="G1203">
        <f t="shared" si="184"/>
        <v>13</v>
      </c>
      <c r="H1203">
        <f t="shared" si="185"/>
        <v>0</v>
      </c>
      <c r="K1203" t="str">
        <f t="shared" ca="1" si="181"/>
        <v>ELEC</v>
      </c>
      <c r="L1203" t="str">
        <f t="shared" ca="1" si="182"/>
        <v>dom</v>
      </c>
      <c r="M1203" t="str">
        <f t="shared" ca="1" si="179"/>
        <v>TRD</v>
      </c>
      <c r="N1203">
        <f t="shared" ca="1" si="180"/>
        <v>77.506372108484413</v>
      </c>
    </row>
    <row r="1204" spans="6:14" x14ac:dyDescent="0.35">
      <c r="F1204">
        <f t="shared" si="187"/>
        <v>18</v>
      </c>
      <c r="G1204">
        <f t="shared" si="184"/>
        <v>14</v>
      </c>
      <c r="H1204">
        <f t="shared" si="185"/>
        <v>0</v>
      </c>
      <c r="K1204" t="str">
        <f t="shared" ca="1" si="181"/>
        <v>TRNEQUIP</v>
      </c>
      <c r="L1204" t="str">
        <f t="shared" ca="1" si="182"/>
        <v>dom</v>
      </c>
      <c r="M1204" t="str">
        <f t="shared" ca="1" si="179"/>
        <v>TRD</v>
      </c>
      <c r="N1204">
        <f t="shared" ca="1" si="180"/>
        <v>111.95856861867064</v>
      </c>
    </row>
    <row r="1205" spans="6:14" x14ac:dyDescent="0.35">
      <c r="F1205">
        <f t="shared" ref="F1205:F1220" si="188">F1139+1</f>
        <v>18</v>
      </c>
      <c r="G1205">
        <f t="shared" si="184"/>
        <v>15</v>
      </c>
      <c r="H1205">
        <f t="shared" si="185"/>
        <v>0</v>
      </c>
      <c r="K1205" t="str">
        <f t="shared" ca="1" si="181"/>
        <v>ROMAN</v>
      </c>
      <c r="L1205" t="str">
        <f t="shared" ca="1" si="182"/>
        <v>dom</v>
      </c>
      <c r="M1205" t="str">
        <f t="shared" ca="1" si="179"/>
        <v>TRD</v>
      </c>
      <c r="N1205">
        <f t="shared" ca="1" si="180"/>
        <v>304.85591289585511</v>
      </c>
    </row>
    <row r="1206" spans="6:14" x14ac:dyDescent="0.35">
      <c r="F1206">
        <f t="shared" si="188"/>
        <v>18</v>
      </c>
      <c r="G1206">
        <f t="shared" si="184"/>
        <v>16</v>
      </c>
      <c r="H1206">
        <f t="shared" si="185"/>
        <v>0</v>
      </c>
      <c r="K1206" t="str">
        <f t="shared" ca="1" si="181"/>
        <v>ELYGASWTR</v>
      </c>
      <c r="L1206" t="str">
        <f t="shared" ca="1" si="182"/>
        <v>dom</v>
      </c>
      <c r="M1206" t="str">
        <f t="shared" ca="1" si="179"/>
        <v>TRD</v>
      </c>
      <c r="N1206">
        <f t="shared" ca="1" si="180"/>
        <v>6.9566097890678273E-6</v>
      </c>
    </row>
    <row r="1207" spans="6:14" x14ac:dyDescent="0.35">
      <c r="F1207">
        <f t="shared" si="188"/>
        <v>18</v>
      </c>
      <c r="G1207">
        <f t="shared" si="184"/>
        <v>17</v>
      </c>
      <c r="H1207">
        <f t="shared" si="185"/>
        <v>0</v>
      </c>
      <c r="K1207" t="str">
        <f t="shared" ca="1" si="181"/>
        <v>CNS</v>
      </c>
      <c r="L1207" t="str">
        <f t="shared" ca="1" si="182"/>
        <v>dom</v>
      </c>
      <c r="M1207" t="str">
        <f t="shared" ca="1" si="179"/>
        <v>TRD</v>
      </c>
      <c r="N1207">
        <f t="shared" ca="1" si="180"/>
        <v>10126.837769092983</v>
      </c>
    </row>
    <row r="1208" spans="6:14" x14ac:dyDescent="0.35">
      <c r="F1208">
        <f t="shared" si="188"/>
        <v>18</v>
      </c>
      <c r="G1208">
        <f t="shared" si="184"/>
        <v>18</v>
      </c>
      <c r="H1208">
        <f t="shared" si="185"/>
        <v>0</v>
      </c>
      <c r="K1208" t="str">
        <f t="shared" ca="1" si="181"/>
        <v>TRD</v>
      </c>
      <c r="L1208" t="str">
        <f t="shared" ca="1" si="182"/>
        <v>dom</v>
      </c>
      <c r="M1208" t="str">
        <f t="shared" ca="1" si="179"/>
        <v>TRD</v>
      </c>
      <c r="N1208">
        <f t="shared" ca="1" si="180"/>
        <v>1619.2138430578102</v>
      </c>
    </row>
    <row r="1209" spans="6:14" x14ac:dyDescent="0.35">
      <c r="F1209">
        <f t="shared" si="188"/>
        <v>18</v>
      </c>
      <c r="G1209">
        <f t="shared" si="184"/>
        <v>19</v>
      </c>
      <c r="H1209">
        <f t="shared" si="185"/>
        <v>0</v>
      </c>
      <c r="K1209" t="str">
        <f t="shared" ca="1" si="181"/>
        <v>AFS</v>
      </c>
      <c r="L1209" t="str">
        <f t="shared" ca="1" si="182"/>
        <v>dom</v>
      </c>
      <c r="M1209" t="str">
        <f t="shared" ca="1" si="179"/>
        <v>TRD</v>
      </c>
      <c r="N1209">
        <f t="shared" ca="1" si="180"/>
        <v>6.9566097890678273E-6</v>
      </c>
    </row>
    <row r="1210" spans="6:14" x14ac:dyDescent="0.35">
      <c r="F1210">
        <f t="shared" si="188"/>
        <v>18</v>
      </c>
      <c r="G1210">
        <f t="shared" si="184"/>
        <v>20</v>
      </c>
      <c r="H1210">
        <f t="shared" si="185"/>
        <v>0</v>
      </c>
      <c r="K1210" t="str">
        <f t="shared" ca="1" si="181"/>
        <v>OTP</v>
      </c>
      <c r="L1210" t="str">
        <f t="shared" ca="1" si="182"/>
        <v>dom</v>
      </c>
      <c r="M1210" t="str">
        <f t="shared" ca="1" si="179"/>
        <v>TRD</v>
      </c>
      <c r="N1210">
        <f t="shared" ca="1" si="180"/>
        <v>6.9566097890678273E-6</v>
      </c>
    </row>
    <row r="1211" spans="6:14" x14ac:dyDescent="0.35">
      <c r="F1211">
        <f t="shared" si="188"/>
        <v>18</v>
      </c>
      <c r="G1211">
        <f t="shared" si="184"/>
        <v>21</v>
      </c>
      <c r="H1211">
        <f t="shared" si="185"/>
        <v>0</v>
      </c>
      <c r="K1211" t="str">
        <f t="shared" ca="1" si="181"/>
        <v>WTP</v>
      </c>
      <c r="L1211" t="str">
        <f t="shared" ca="1" si="182"/>
        <v>dom</v>
      </c>
      <c r="M1211" t="str">
        <f t="shared" ca="1" si="179"/>
        <v>TRD</v>
      </c>
      <c r="N1211">
        <f t="shared" ca="1" si="180"/>
        <v>6.9566097890678273E-6</v>
      </c>
    </row>
    <row r="1212" spans="6:14" x14ac:dyDescent="0.35">
      <c r="F1212">
        <f t="shared" si="188"/>
        <v>18</v>
      </c>
      <c r="G1212">
        <f t="shared" si="184"/>
        <v>22</v>
      </c>
      <c r="H1212">
        <f t="shared" si="185"/>
        <v>0</v>
      </c>
      <c r="K1212" t="str">
        <f t="shared" ca="1" si="181"/>
        <v>ATP</v>
      </c>
      <c r="L1212" t="str">
        <f t="shared" ca="1" si="182"/>
        <v>dom</v>
      </c>
      <c r="M1212" t="str">
        <f t="shared" ca="1" si="179"/>
        <v>TRD</v>
      </c>
      <c r="N1212">
        <f t="shared" ca="1" si="180"/>
        <v>6.9566097890678273E-6</v>
      </c>
    </row>
    <row r="1213" spans="6:14" x14ac:dyDescent="0.35">
      <c r="F1213">
        <f t="shared" si="188"/>
        <v>18</v>
      </c>
      <c r="G1213">
        <f t="shared" si="184"/>
        <v>23</v>
      </c>
      <c r="H1213">
        <f t="shared" si="185"/>
        <v>0</v>
      </c>
      <c r="K1213" t="str">
        <f t="shared" ca="1" si="181"/>
        <v>WHS</v>
      </c>
      <c r="L1213" t="str">
        <f t="shared" ca="1" si="182"/>
        <v>dom</v>
      </c>
      <c r="M1213" t="str">
        <f t="shared" ca="1" si="179"/>
        <v>TRD</v>
      </c>
      <c r="N1213">
        <f t="shared" ca="1" si="180"/>
        <v>6.9566097890678273E-6</v>
      </c>
    </row>
    <row r="1214" spans="6:14" x14ac:dyDescent="0.35">
      <c r="F1214">
        <f t="shared" si="188"/>
        <v>18</v>
      </c>
      <c r="G1214">
        <f t="shared" si="184"/>
        <v>24</v>
      </c>
      <c r="H1214">
        <f t="shared" si="185"/>
        <v>0</v>
      </c>
      <c r="K1214" t="str">
        <f t="shared" ca="1" si="181"/>
        <v>CMN</v>
      </c>
      <c r="L1214" t="str">
        <f t="shared" ca="1" si="182"/>
        <v>dom</v>
      </c>
      <c r="M1214" t="str">
        <f t="shared" ca="1" si="179"/>
        <v>TRD</v>
      </c>
      <c r="N1214">
        <f t="shared" ca="1" si="180"/>
        <v>6.9566097890678273E-6</v>
      </c>
    </row>
    <row r="1215" spans="6:14" x14ac:dyDescent="0.35">
      <c r="F1215">
        <f t="shared" si="188"/>
        <v>18</v>
      </c>
      <c r="G1215">
        <f t="shared" si="184"/>
        <v>25</v>
      </c>
      <c r="H1215">
        <f t="shared" si="185"/>
        <v>0</v>
      </c>
      <c r="K1215" t="str">
        <f t="shared" ca="1" si="181"/>
        <v>OFI</v>
      </c>
      <c r="L1215" t="str">
        <f t="shared" ca="1" si="182"/>
        <v>dom</v>
      </c>
      <c r="M1215" t="str">
        <f t="shared" ca="1" si="179"/>
        <v>TRD</v>
      </c>
      <c r="N1215">
        <f t="shared" ca="1" si="180"/>
        <v>6.9566097890678273E-6</v>
      </c>
    </row>
    <row r="1216" spans="6:14" x14ac:dyDescent="0.35">
      <c r="F1216">
        <f t="shared" si="188"/>
        <v>18</v>
      </c>
      <c r="G1216">
        <f t="shared" si="184"/>
        <v>26</v>
      </c>
      <c r="H1216">
        <f t="shared" si="185"/>
        <v>0</v>
      </c>
      <c r="K1216" t="str">
        <f t="shared" ca="1" si="181"/>
        <v>RSA</v>
      </c>
      <c r="L1216" t="str">
        <f t="shared" ca="1" si="182"/>
        <v>dom</v>
      </c>
      <c r="M1216" t="str">
        <f t="shared" ca="1" si="179"/>
        <v>TRD</v>
      </c>
      <c r="N1216">
        <f t="shared" ca="1" si="180"/>
        <v>6.9566097890678273E-6</v>
      </c>
    </row>
    <row r="1217" spans="6:14" x14ac:dyDescent="0.35">
      <c r="F1217">
        <f t="shared" si="188"/>
        <v>18</v>
      </c>
      <c r="G1217">
        <f t="shared" si="184"/>
        <v>27</v>
      </c>
      <c r="H1217">
        <f t="shared" si="185"/>
        <v>0</v>
      </c>
      <c r="K1217" t="str">
        <f t="shared" ca="1" si="181"/>
        <v>OBS</v>
      </c>
      <c r="L1217" t="str">
        <f t="shared" ca="1" si="182"/>
        <v>dom</v>
      </c>
      <c r="M1217" t="str">
        <f t="shared" ca="1" si="179"/>
        <v>TRD</v>
      </c>
      <c r="N1217">
        <f t="shared" ca="1" si="180"/>
        <v>6.9566097890678273E-6</v>
      </c>
    </row>
    <row r="1218" spans="6:14" x14ac:dyDescent="0.35">
      <c r="F1218">
        <f t="shared" si="188"/>
        <v>18</v>
      </c>
      <c r="G1218">
        <f t="shared" si="184"/>
        <v>28</v>
      </c>
      <c r="H1218">
        <f t="shared" si="185"/>
        <v>0</v>
      </c>
      <c r="K1218" t="str">
        <f t="shared" ca="1" si="181"/>
        <v>GOV</v>
      </c>
      <c r="L1218" t="str">
        <f t="shared" ca="1" si="182"/>
        <v>dom</v>
      </c>
      <c r="M1218" t="str">
        <f t="shared" ref="M1218:M1281" ca="1" si="189">OFFSET(A$2,F1218,0)</f>
        <v>TRD</v>
      </c>
      <c r="N1218">
        <f t="shared" ref="N1218:N1281" ca="1" si="190">SUMIFS(C:C,A:A,K1218,B:B,L1218)*SUMIFS(U:U,S:S,M1218)</f>
        <v>6.9566097890678273E-6</v>
      </c>
    </row>
    <row r="1219" spans="6:14" x14ac:dyDescent="0.35">
      <c r="F1219">
        <f t="shared" si="188"/>
        <v>18</v>
      </c>
      <c r="G1219">
        <f t="shared" si="184"/>
        <v>29</v>
      </c>
      <c r="H1219">
        <f t="shared" si="185"/>
        <v>0</v>
      </c>
      <c r="K1219" t="str">
        <f t="shared" ref="K1219:K1282" ca="1" si="191">OFFSET(A$2,G1219,0)</f>
        <v>EDU</v>
      </c>
      <c r="L1219" t="str">
        <f t="shared" ref="L1219:L1282" ca="1" si="192">OFFSET($V$3,H1219,0)</f>
        <v>dom</v>
      </c>
      <c r="M1219" t="str">
        <f t="shared" ca="1" si="189"/>
        <v>TRD</v>
      </c>
      <c r="N1219">
        <f t="shared" ca="1" si="190"/>
        <v>6.9566097890678273E-6</v>
      </c>
    </row>
    <row r="1220" spans="6:14" x14ac:dyDescent="0.35">
      <c r="F1220">
        <f t="shared" si="188"/>
        <v>18</v>
      </c>
      <c r="G1220">
        <f t="shared" si="184"/>
        <v>30</v>
      </c>
      <c r="H1220">
        <f t="shared" si="185"/>
        <v>0</v>
      </c>
      <c r="K1220" t="str">
        <f t="shared" ca="1" si="191"/>
        <v>HHT</v>
      </c>
      <c r="L1220" t="str">
        <f t="shared" ca="1" si="192"/>
        <v>dom</v>
      </c>
      <c r="M1220" t="str">
        <f t="shared" ca="1" si="189"/>
        <v>TRD</v>
      </c>
      <c r="N1220">
        <f t="shared" ca="1" si="190"/>
        <v>6.9566097890678273E-6</v>
      </c>
    </row>
    <row r="1221" spans="6:14" x14ac:dyDescent="0.35">
      <c r="F1221">
        <f t="shared" ref="F1221:F1236" si="193">F1155+1</f>
        <v>18</v>
      </c>
      <c r="G1221">
        <f t="shared" ref="G1221:G1284" si="194">G1188</f>
        <v>31</v>
      </c>
      <c r="H1221">
        <f t="shared" ref="H1221:H1284" si="195">H1155</f>
        <v>0</v>
      </c>
      <c r="K1221" t="str">
        <f t="shared" ca="1" si="191"/>
        <v>REC</v>
      </c>
      <c r="L1221" t="str">
        <f t="shared" ca="1" si="192"/>
        <v>dom</v>
      </c>
      <c r="M1221" t="str">
        <f t="shared" ca="1" si="189"/>
        <v>TRD</v>
      </c>
      <c r="N1221">
        <f t="shared" ca="1" si="190"/>
        <v>6.9566097890678273E-6</v>
      </c>
    </row>
    <row r="1222" spans="6:14" x14ac:dyDescent="0.35">
      <c r="F1222">
        <f t="shared" si="193"/>
        <v>18</v>
      </c>
      <c r="G1222">
        <f t="shared" si="194"/>
        <v>32</v>
      </c>
      <c r="H1222">
        <f t="shared" si="195"/>
        <v>0</v>
      </c>
      <c r="K1222" t="str">
        <f t="shared" ca="1" si="191"/>
        <v>DWE</v>
      </c>
      <c r="L1222" t="str">
        <f t="shared" ca="1" si="192"/>
        <v>dom</v>
      </c>
      <c r="M1222" t="str">
        <f t="shared" ca="1" si="189"/>
        <v>TRD</v>
      </c>
      <c r="N1222">
        <f t="shared" ca="1" si="190"/>
        <v>6.9566097890678273E-6</v>
      </c>
    </row>
    <row r="1223" spans="6:14" x14ac:dyDescent="0.35">
      <c r="F1223">
        <f t="shared" si="193"/>
        <v>18</v>
      </c>
      <c r="G1223">
        <f t="shared" si="194"/>
        <v>0</v>
      </c>
      <c r="H1223">
        <f t="shared" si="195"/>
        <v>1</v>
      </c>
      <c r="K1223" t="str">
        <f t="shared" ca="1" si="191"/>
        <v>AG</v>
      </c>
      <c r="L1223" t="str">
        <f t="shared" ca="1" si="192"/>
        <v>imp</v>
      </c>
      <c r="M1223" t="str">
        <f t="shared" ca="1" si="189"/>
        <v>TRD</v>
      </c>
      <c r="N1223">
        <f t="shared" ca="1" si="190"/>
        <v>64.361329695642226</v>
      </c>
    </row>
    <row r="1224" spans="6:14" x14ac:dyDescent="0.35">
      <c r="F1224">
        <f t="shared" si="193"/>
        <v>18</v>
      </c>
      <c r="G1224">
        <f t="shared" si="194"/>
        <v>1</v>
      </c>
      <c r="H1224">
        <f t="shared" si="195"/>
        <v>1</v>
      </c>
      <c r="K1224" t="str">
        <f t="shared" ca="1" si="191"/>
        <v>MIN</v>
      </c>
      <c r="L1224" t="str">
        <f t="shared" ca="1" si="192"/>
        <v>imp</v>
      </c>
      <c r="M1224" t="str">
        <f t="shared" ca="1" si="189"/>
        <v>TRD</v>
      </c>
      <c r="N1224">
        <f t="shared" ca="1" si="190"/>
        <v>101.53847335059167</v>
      </c>
    </row>
    <row r="1225" spans="6:14" x14ac:dyDescent="0.35">
      <c r="F1225">
        <f t="shared" si="193"/>
        <v>18</v>
      </c>
      <c r="G1225">
        <f t="shared" si="194"/>
        <v>2</v>
      </c>
      <c r="H1225">
        <f t="shared" si="195"/>
        <v>1</v>
      </c>
      <c r="K1225" t="str">
        <f t="shared" ca="1" si="191"/>
        <v>FBT</v>
      </c>
      <c r="L1225" t="str">
        <f t="shared" ca="1" si="192"/>
        <v>imp</v>
      </c>
      <c r="M1225" t="str">
        <f t="shared" ca="1" si="189"/>
        <v>TRD</v>
      </c>
      <c r="N1225">
        <f t="shared" ca="1" si="190"/>
        <v>25.408040547973389</v>
      </c>
    </row>
    <row r="1226" spans="6:14" x14ac:dyDescent="0.35">
      <c r="F1226">
        <f t="shared" si="193"/>
        <v>18</v>
      </c>
      <c r="G1226">
        <f t="shared" si="194"/>
        <v>3</v>
      </c>
      <c r="H1226">
        <f t="shared" si="195"/>
        <v>1</v>
      </c>
      <c r="K1226" t="str">
        <f t="shared" ca="1" si="191"/>
        <v>TEX</v>
      </c>
      <c r="L1226" t="str">
        <f t="shared" ca="1" si="192"/>
        <v>imp</v>
      </c>
      <c r="M1226" t="str">
        <f t="shared" ca="1" si="189"/>
        <v>TRD</v>
      </c>
      <c r="N1226">
        <f t="shared" ca="1" si="190"/>
        <v>498.60779221644958</v>
      </c>
    </row>
    <row r="1227" spans="6:14" x14ac:dyDescent="0.35">
      <c r="F1227">
        <f t="shared" si="193"/>
        <v>18</v>
      </c>
      <c r="G1227">
        <f t="shared" si="194"/>
        <v>4</v>
      </c>
      <c r="H1227">
        <f t="shared" si="195"/>
        <v>1</v>
      </c>
      <c r="K1227" t="str">
        <f t="shared" ca="1" si="191"/>
        <v>LEATHER</v>
      </c>
      <c r="L1227" t="str">
        <f t="shared" ca="1" si="192"/>
        <v>imp</v>
      </c>
      <c r="M1227" t="str">
        <f t="shared" ca="1" si="189"/>
        <v>TRD</v>
      </c>
      <c r="N1227">
        <f t="shared" ca="1" si="190"/>
        <v>259.8591628052788</v>
      </c>
    </row>
    <row r="1228" spans="6:14" x14ac:dyDescent="0.35">
      <c r="F1228">
        <f t="shared" si="193"/>
        <v>18</v>
      </c>
      <c r="G1228">
        <f t="shared" si="194"/>
        <v>5</v>
      </c>
      <c r="H1228">
        <f t="shared" si="195"/>
        <v>1</v>
      </c>
      <c r="K1228" t="str">
        <f t="shared" ca="1" si="191"/>
        <v>WOOD</v>
      </c>
      <c r="L1228" t="str">
        <f t="shared" ca="1" si="192"/>
        <v>imp</v>
      </c>
      <c r="M1228" t="str">
        <f t="shared" ca="1" si="189"/>
        <v>TRD</v>
      </c>
      <c r="N1228">
        <f t="shared" ca="1" si="190"/>
        <v>4.6512888641057311</v>
      </c>
    </row>
    <row r="1229" spans="6:14" x14ac:dyDescent="0.35">
      <c r="F1229">
        <f t="shared" si="193"/>
        <v>18</v>
      </c>
      <c r="G1229">
        <f t="shared" si="194"/>
        <v>6</v>
      </c>
      <c r="H1229">
        <f t="shared" si="195"/>
        <v>1</v>
      </c>
      <c r="K1229" t="str">
        <f t="shared" ca="1" si="191"/>
        <v>PPP</v>
      </c>
      <c r="L1229" t="str">
        <f t="shared" ca="1" si="192"/>
        <v>imp</v>
      </c>
      <c r="M1229" t="str">
        <f t="shared" ca="1" si="189"/>
        <v>TRD</v>
      </c>
      <c r="N1229">
        <f t="shared" ca="1" si="190"/>
        <v>66.978090311925342</v>
      </c>
    </row>
    <row r="1230" spans="6:14" x14ac:dyDescent="0.35">
      <c r="F1230">
        <f t="shared" si="193"/>
        <v>18</v>
      </c>
      <c r="G1230">
        <f t="shared" si="194"/>
        <v>7</v>
      </c>
      <c r="H1230">
        <f t="shared" si="195"/>
        <v>1</v>
      </c>
      <c r="K1230" t="str">
        <f t="shared" ca="1" si="191"/>
        <v>PC</v>
      </c>
      <c r="L1230" t="str">
        <f t="shared" ca="1" si="192"/>
        <v>imp</v>
      </c>
      <c r="M1230" t="str">
        <f t="shared" ca="1" si="189"/>
        <v>TRD</v>
      </c>
      <c r="N1230">
        <f t="shared" ca="1" si="190"/>
        <v>16.865870729430743</v>
      </c>
    </row>
    <row r="1231" spans="6:14" x14ac:dyDescent="0.35">
      <c r="F1231">
        <f t="shared" si="193"/>
        <v>18</v>
      </c>
      <c r="G1231">
        <f t="shared" si="194"/>
        <v>8</v>
      </c>
      <c r="H1231">
        <f t="shared" si="195"/>
        <v>1</v>
      </c>
      <c r="K1231" t="str">
        <f t="shared" ca="1" si="191"/>
        <v>CHM</v>
      </c>
      <c r="L1231" t="str">
        <f t="shared" ca="1" si="192"/>
        <v>imp</v>
      </c>
      <c r="M1231" t="str">
        <f t="shared" ca="1" si="189"/>
        <v>TRD</v>
      </c>
      <c r="N1231">
        <f t="shared" ca="1" si="190"/>
        <v>231.20292666438434</v>
      </c>
    </row>
    <row r="1232" spans="6:14" x14ac:dyDescent="0.35">
      <c r="F1232">
        <f t="shared" si="193"/>
        <v>18</v>
      </c>
      <c r="G1232">
        <f t="shared" si="194"/>
        <v>9</v>
      </c>
      <c r="H1232">
        <f t="shared" si="195"/>
        <v>1</v>
      </c>
      <c r="K1232" t="str">
        <f t="shared" ca="1" si="191"/>
        <v>RUBBER</v>
      </c>
      <c r="L1232" t="str">
        <f t="shared" ca="1" si="192"/>
        <v>imp</v>
      </c>
      <c r="M1232" t="str">
        <f t="shared" ca="1" si="189"/>
        <v>TRD</v>
      </c>
      <c r="N1232">
        <f t="shared" ca="1" si="190"/>
        <v>177.07071176172528</v>
      </c>
    </row>
    <row r="1233" spans="6:14" x14ac:dyDescent="0.35">
      <c r="F1233">
        <f t="shared" si="193"/>
        <v>18</v>
      </c>
      <c r="G1233">
        <f t="shared" si="194"/>
        <v>10</v>
      </c>
      <c r="H1233">
        <f t="shared" si="195"/>
        <v>1</v>
      </c>
      <c r="K1233" t="str">
        <f t="shared" ca="1" si="191"/>
        <v>NMM</v>
      </c>
      <c r="L1233" t="str">
        <f t="shared" ca="1" si="192"/>
        <v>imp</v>
      </c>
      <c r="M1233" t="str">
        <f t="shared" ca="1" si="189"/>
        <v>TRD</v>
      </c>
      <c r="N1233">
        <f t="shared" ca="1" si="190"/>
        <v>66.841958422580603</v>
      </c>
    </row>
    <row r="1234" spans="6:14" x14ac:dyDescent="0.35">
      <c r="F1234">
        <f t="shared" si="193"/>
        <v>18</v>
      </c>
      <c r="G1234">
        <f t="shared" si="194"/>
        <v>11</v>
      </c>
      <c r="H1234">
        <f t="shared" si="195"/>
        <v>1</v>
      </c>
      <c r="K1234" t="str">
        <f t="shared" ca="1" si="191"/>
        <v>METAL</v>
      </c>
      <c r="L1234" t="str">
        <f t="shared" ca="1" si="192"/>
        <v>imp</v>
      </c>
      <c r="M1234" t="str">
        <f t="shared" ca="1" si="189"/>
        <v>TRD</v>
      </c>
      <c r="N1234">
        <f t="shared" ca="1" si="190"/>
        <v>836.67000047362603</v>
      </c>
    </row>
    <row r="1235" spans="6:14" x14ac:dyDescent="0.35">
      <c r="F1235">
        <f t="shared" si="193"/>
        <v>18</v>
      </c>
      <c r="G1235">
        <f t="shared" si="194"/>
        <v>12</v>
      </c>
      <c r="H1235">
        <f t="shared" si="195"/>
        <v>1</v>
      </c>
      <c r="K1235" t="str">
        <f t="shared" ca="1" si="191"/>
        <v>MACH</v>
      </c>
      <c r="L1235" t="str">
        <f t="shared" ca="1" si="192"/>
        <v>imp</v>
      </c>
      <c r="M1235" t="str">
        <f t="shared" ca="1" si="189"/>
        <v>TRD</v>
      </c>
      <c r="N1235">
        <f t="shared" ca="1" si="190"/>
        <v>3205.0919074651788</v>
      </c>
    </row>
    <row r="1236" spans="6:14" x14ac:dyDescent="0.35">
      <c r="F1236">
        <f t="shared" si="193"/>
        <v>18</v>
      </c>
      <c r="G1236">
        <f t="shared" si="194"/>
        <v>13</v>
      </c>
      <c r="H1236">
        <f t="shared" si="195"/>
        <v>1</v>
      </c>
      <c r="K1236" t="str">
        <f t="shared" ca="1" si="191"/>
        <v>ELEC</v>
      </c>
      <c r="L1236" t="str">
        <f t="shared" ca="1" si="192"/>
        <v>imp</v>
      </c>
      <c r="M1236" t="str">
        <f t="shared" ca="1" si="189"/>
        <v>TRD</v>
      </c>
      <c r="N1236">
        <f t="shared" ca="1" si="190"/>
        <v>1718.4725125947712</v>
      </c>
    </row>
    <row r="1237" spans="6:14" x14ac:dyDescent="0.35">
      <c r="F1237">
        <f t="shared" ref="F1237:F1252" si="196">F1171+1</f>
        <v>18</v>
      </c>
      <c r="G1237">
        <f t="shared" si="194"/>
        <v>14</v>
      </c>
      <c r="H1237">
        <f t="shared" si="195"/>
        <v>1</v>
      </c>
      <c r="K1237" t="str">
        <f t="shared" ca="1" si="191"/>
        <v>TRNEQUIP</v>
      </c>
      <c r="L1237" t="str">
        <f t="shared" ca="1" si="192"/>
        <v>imp</v>
      </c>
      <c r="M1237" t="str">
        <f t="shared" ca="1" si="189"/>
        <v>TRD</v>
      </c>
      <c r="N1237">
        <f t="shared" ca="1" si="190"/>
        <v>2742.4888376773065</v>
      </c>
    </row>
    <row r="1238" spans="6:14" x14ac:dyDescent="0.35">
      <c r="F1238">
        <f t="shared" si="196"/>
        <v>18</v>
      </c>
      <c r="G1238">
        <f t="shared" si="194"/>
        <v>15</v>
      </c>
      <c r="H1238">
        <f t="shared" si="195"/>
        <v>1</v>
      </c>
      <c r="K1238" t="str">
        <f t="shared" ca="1" si="191"/>
        <v>ROMAN</v>
      </c>
      <c r="L1238" t="str">
        <f t="shared" ca="1" si="192"/>
        <v>imp</v>
      </c>
      <c r="M1238" t="str">
        <f t="shared" ca="1" si="189"/>
        <v>TRD</v>
      </c>
      <c r="N1238">
        <f t="shared" ca="1" si="190"/>
        <v>1040.5953473935826</v>
      </c>
    </row>
    <row r="1239" spans="6:14" x14ac:dyDescent="0.35">
      <c r="F1239">
        <f t="shared" si="196"/>
        <v>18</v>
      </c>
      <c r="G1239">
        <f t="shared" si="194"/>
        <v>16</v>
      </c>
      <c r="H1239">
        <f t="shared" si="195"/>
        <v>1</v>
      </c>
      <c r="K1239" t="str">
        <f t="shared" ca="1" si="191"/>
        <v>ELYGASWTR</v>
      </c>
      <c r="L1239" t="str">
        <f t="shared" ca="1" si="192"/>
        <v>imp</v>
      </c>
      <c r="M1239" t="str">
        <f t="shared" ca="1" si="189"/>
        <v>TRD</v>
      </c>
      <c r="N1239">
        <f t="shared" ca="1" si="190"/>
        <v>6.9566097890678273E-6</v>
      </c>
    </row>
    <row r="1240" spans="6:14" x14ac:dyDescent="0.35">
      <c r="F1240">
        <f t="shared" si="196"/>
        <v>18</v>
      </c>
      <c r="G1240">
        <f t="shared" si="194"/>
        <v>17</v>
      </c>
      <c r="H1240">
        <f t="shared" si="195"/>
        <v>1</v>
      </c>
      <c r="K1240" t="str">
        <f t="shared" ca="1" si="191"/>
        <v>CNS</v>
      </c>
      <c r="L1240" t="str">
        <f t="shared" ca="1" si="192"/>
        <v>imp</v>
      </c>
      <c r="M1240" t="str">
        <f t="shared" ca="1" si="189"/>
        <v>TRD</v>
      </c>
      <c r="N1240">
        <f t="shared" ca="1" si="190"/>
        <v>203.70253640367676</v>
      </c>
    </row>
    <row r="1241" spans="6:14" x14ac:dyDescent="0.35">
      <c r="F1241">
        <f t="shared" si="196"/>
        <v>18</v>
      </c>
      <c r="G1241">
        <f t="shared" si="194"/>
        <v>18</v>
      </c>
      <c r="H1241">
        <f t="shared" si="195"/>
        <v>1</v>
      </c>
      <c r="K1241" t="str">
        <f t="shared" ca="1" si="191"/>
        <v>TRD</v>
      </c>
      <c r="L1241" t="str">
        <f t="shared" ca="1" si="192"/>
        <v>imp</v>
      </c>
      <c r="M1241" t="str">
        <f t="shared" ca="1" si="189"/>
        <v>TRD</v>
      </c>
      <c r="N1241">
        <f t="shared" ca="1" si="190"/>
        <v>17.822595737433822</v>
      </c>
    </row>
    <row r="1242" spans="6:14" x14ac:dyDescent="0.35">
      <c r="F1242">
        <f t="shared" si="196"/>
        <v>18</v>
      </c>
      <c r="G1242">
        <f t="shared" si="194"/>
        <v>19</v>
      </c>
      <c r="H1242">
        <f t="shared" si="195"/>
        <v>1</v>
      </c>
      <c r="K1242" t="str">
        <f t="shared" ca="1" si="191"/>
        <v>AFS</v>
      </c>
      <c r="L1242" t="str">
        <f t="shared" ca="1" si="192"/>
        <v>imp</v>
      </c>
      <c r="M1242" t="str">
        <f t="shared" ca="1" si="189"/>
        <v>TRD</v>
      </c>
      <c r="N1242">
        <f t="shared" ca="1" si="190"/>
        <v>6.9566097890678273E-6</v>
      </c>
    </row>
    <row r="1243" spans="6:14" x14ac:dyDescent="0.35">
      <c r="F1243">
        <f t="shared" si="196"/>
        <v>18</v>
      </c>
      <c r="G1243">
        <f t="shared" si="194"/>
        <v>20</v>
      </c>
      <c r="H1243">
        <f t="shared" si="195"/>
        <v>1</v>
      </c>
      <c r="K1243" t="str">
        <f t="shared" ca="1" si="191"/>
        <v>OTP</v>
      </c>
      <c r="L1243" t="str">
        <f t="shared" ca="1" si="192"/>
        <v>imp</v>
      </c>
      <c r="M1243" t="str">
        <f t="shared" ca="1" si="189"/>
        <v>TRD</v>
      </c>
      <c r="N1243">
        <f t="shared" ca="1" si="190"/>
        <v>6.9566097890678273E-6</v>
      </c>
    </row>
    <row r="1244" spans="6:14" x14ac:dyDescent="0.35">
      <c r="F1244">
        <f t="shared" si="196"/>
        <v>18</v>
      </c>
      <c r="G1244">
        <f t="shared" si="194"/>
        <v>21</v>
      </c>
      <c r="H1244">
        <f t="shared" si="195"/>
        <v>1</v>
      </c>
      <c r="K1244" t="str">
        <f t="shared" ca="1" si="191"/>
        <v>WTP</v>
      </c>
      <c r="L1244" t="str">
        <f t="shared" ca="1" si="192"/>
        <v>imp</v>
      </c>
      <c r="M1244" t="str">
        <f t="shared" ca="1" si="189"/>
        <v>TRD</v>
      </c>
      <c r="N1244">
        <f t="shared" ca="1" si="190"/>
        <v>6.9566097890678273E-6</v>
      </c>
    </row>
    <row r="1245" spans="6:14" x14ac:dyDescent="0.35">
      <c r="F1245">
        <f t="shared" si="196"/>
        <v>18</v>
      </c>
      <c r="G1245">
        <f t="shared" si="194"/>
        <v>22</v>
      </c>
      <c r="H1245">
        <f t="shared" si="195"/>
        <v>1</v>
      </c>
      <c r="K1245" t="str">
        <f t="shared" ca="1" si="191"/>
        <v>ATP</v>
      </c>
      <c r="L1245" t="str">
        <f t="shared" ca="1" si="192"/>
        <v>imp</v>
      </c>
      <c r="M1245" t="str">
        <f t="shared" ca="1" si="189"/>
        <v>TRD</v>
      </c>
      <c r="N1245">
        <f t="shared" ca="1" si="190"/>
        <v>6.9566097890678273E-6</v>
      </c>
    </row>
    <row r="1246" spans="6:14" x14ac:dyDescent="0.35">
      <c r="F1246">
        <f t="shared" si="196"/>
        <v>18</v>
      </c>
      <c r="G1246">
        <f t="shared" si="194"/>
        <v>23</v>
      </c>
      <c r="H1246">
        <f t="shared" si="195"/>
        <v>1</v>
      </c>
      <c r="K1246" t="str">
        <f t="shared" ca="1" si="191"/>
        <v>WHS</v>
      </c>
      <c r="L1246" t="str">
        <f t="shared" ca="1" si="192"/>
        <v>imp</v>
      </c>
      <c r="M1246" t="str">
        <f t="shared" ca="1" si="189"/>
        <v>TRD</v>
      </c>
      <c r="N1246">
        <f t="shared" ca="1" si="190"/>
        <v>6.9566097890678273E-6</v>
      </c>
    </row>
    <row r="1247" spans="6:14" x14ac:dyDescent="0.35">
      <c r="F1247">
        <f t="shared" si="196"/>
        <v>18</v>
      </c>
      <c r="G1247">
        <f t="shared" si="194"/>
        <v>24</v>
      </c>
      <c r="H1247">
        <f t="shared" si="195"/>
        <v>1</v>
      </c>
      <c r="K1247" t="str">
        <f t="shared" ca="1" si="191"/>
        <v>CMN</v>
      </c>
      <c r="L1247" t="str">
        <f t="shared" ca="1" si="192"/>
        <v>imp</v>
      </c>
      <c r="M1247" t="str">
        <f t="shared" ca="1" si="189"/>
        <v>TRD</v>
      </c>
      <c r="N1247">
        <f t="shared" ca="1" si="190"/>
        <v>6.9566097890678273E-6</v>
      </c>
    </row>
    <row r="1248" spans="6:14" x14ac:dyDescent="0.35">
      <c r="F1248">
        <f t="shared" si="196"/>
        <v>18</v>
      </c>
      <c r="G1248">
        <f t="shared" si="194"/>
        <v>25</v>
      </c>
      <c r="H1248">
        <f t="shared" si="195"/>
        <v>1</v>
      </c>
      <c r="K1248" t="str">
        <f t="shared" ca="1" si="191"/>
        <v>OFI</v>
      </c>
      <c r="L1248" t="str">
        <f t="shared" ca="1" si="192"/>
        <v>imp</v>
      </c>
      <c r="M1248" t="str">
        <f t="shared" ca="1" si="189"/>
        <v>TRD</v>
      </c>
      <c r="N1248">
        <f t="shared" ca="1" si="190"/>
        <v>6.9566097890678273E-6</v>
      </c>
    </row>
    <row r="1249" spans="6:14" x14ac:dyDescent="0.35">
      <c r="F1249">
        <f t="shared" si="196"/>
        <v>18</v>
      </c>
      <c r="G1249">
        <f t="shared" si="194"/>
        <v>26</v>
      </c>
      <c r="H1249">
        <f t="shared" si="195"/>
        <v>1</v>
      </c>
      <c r="K1249" t="str">
        <f t="shared" ca="1" si="191"/>
        <v>RSA</v>
      </c>
      <c r="L1249" t="str">
        <f t="shared" ca="1" si="192"/>
        <v>imp</v>
      </c>
      <c r="M1249" t="str">
        <f t="shared" ca="1" si="189"/>
        <v>TRD</v>
      </c>
      <c r="N1249">
        <f t="shared" ca="1" si="190"/>
        <v>6.9566097890678273E-6</v>
      </c>
    </row>
    <row r="1250" spans="6:14" x14ac:dyDescent="0.35">
      <c r="F1250">
        <f t="shared" si="196"/>
        <v>18</v>
      </c>
      <c r="G1250">
        <f t="shared" si="194"/>
        <v>27</v>
      </c>
      <c r="H1250">
        <f t="shared" si="195"/>
        <v>1</v>
      </c>
      <c r="K1250" t="str">
        <f t="shared" ca="1" si="191"/>
        <v>OBS</v>
      </c>
      <c r="L1250" t="str">
        <f t="shared" ca="1" si="192"/>
        <v>imp</v>
      </c>
      <c r="M1250" t="str">
        <f t="shared" ca="1" si="189"/>
        <v>TRD</v>
      </c>
      <c r="N1250">
        <f t="shared" ca="1" si="190"/>
        <v>6.9566097890678273E-6</v>
      </c>
    </row>
    <row r="1251" spans="6:14" x14ac:dyDescent="0.35">
      <c r="F1251">
        <f t="shared" si="196"/>
        <v>18</v>
      </c>
      <c r="G1251">
        <f t="shared" si="194"/>
        <v>28</v>
      </c>
      <c r="H1251">
        <f t="shared" si="195"/>
        <v>1</v>
      </c>
      <c r="K1251" t="str">
        <f t="shared" ca="1" si="191"/>
        <v>GOV</v>
      </c>
      <c r="L1251" t="str">
        <f t="shared" ca="1" si="192"/>
        <v>imp</v>
      </c>
      <c r="M1251" t="str">
        <f t="shared" ca="1" si="189"/>
        <v>TRD</v>
      </c>
      <c r="N1251">
        <f t="shared" ca="1" si="190"/>
        <v>6.9566097890678273E-6</v>
      </c>
    </row>
    <row r="1252" spans="6:14" x14ac:dyDescent="0.35">
      <c r="F1252">
        <f t="shared" si="196"/>
        <v>18</v>
      </c>
      <c r="G1252">
        <f t="shared" si="194"/>
        <v>29</v>
      </c>
      <c r="H1252">
        <f t="shared" si="195"/>
        <v>1</v>
      </c>
      <c r="K1252" t="str">
        <f t="shared" ca="1" si="191"/>
        <v>EDU</v>
      </c>
      <c r="L1252" t="str">
        <f t="shared" ca="1" si="192"/>
        <v>imp</v>
      </c>
      <c r="M1252" t="str">
        <f t="shared" ca="1" si="189"/>
        <v>TRD</v>
      </c>
      <c r="N1252">
        <f t="shared" ca="1" si="190"/>
        <v>6.9566097890678273E-6</v>
      </c>
    </row>
    <row r="1253" spans="6:14" x14ac:dyDescent="0.35">
      <c r="F1253">
        <f t="shared" ref="F1253:F1268" si="197">F1187+1</f>
        <v>18</v>
      </c>
      <c r="G1253">
        <f t="shared" si="194"/>
        <v>30</v>
      </c>
      <c r="H1253">
        <f t="shared" si="195"/>
        <v>1</v>
      </c>
      <c r="K1253" t="str">
        <f t="shared" ca="1" si="191"/>
        <v>HHT</v>
      </c>
      <c r="L1253" t="str">
        <f t="shared" ca="1" si="192"/>
        <v>imp</v>
      </c>
      <c r="M1253" t="str">
        <f t="shared" ca="1" si="189"/>
        <v>TRD</v>
      </c>
      <c r="N1253">
        <f t="shared" ca="1" si="190"/>
        <v>6.9566097890678273E-6</v>
      </c>
    </row>
    <row r="1254" spans="6:14" x14ac:dyDescent="0.35">
      <c r="F1254">
        <f t="shared" si="197"/>
        <v>18</v>
      </c>
      <c r="G1254">
        <f t="shared" si="194"/>
        <v>31</v>
      </c>
      <c r="H1254">
        <f t="shared" si="195"/>
        <v>1</v>
      </c>
      <c r="K1254" t="str">
        <f t="shared" ca="1" si="191"/>
        <v>REC</v>
      </c>
      <c r="L1254" t="str">
        <f t="shared" ca="1" si="192"/>
        <v>imp</v>
      </c>
      <c r="M1254" t="str">
        <f t="shared" ca="1" si="189"/>
        <v>TRD</v>
      </c>
      <c r="N1254">
        <f t="shared" ca="1" si="190"/>
        <v>6.9566097890678273E-6</v>
      </c>
    </row>
    <row r="1255" spans="6:14" x14ac:dyDescent="0.35">
      <c r="F1255">
        <f t="shared" si="197"/>
        <v>18</v>
      </c>
      <c r="G1255">
        <f t="shared" si="194"/>
        <v>32</v>
      </c>
      <c r="H1255">
        <f t="shared" si="195"/>
        <v>1</v>
      </c>
      <c r="K1255" t="str">
        <f t="shared" ca="1" si="191"/>
        <v>DWE</v>
      </c>
      <c r="L1255" t="str">
        <f t="shared" ca="1" si="192"/>
        <v>imp</v>
      </c>
      <c r="M1255" t="str">
        <f t="shared" ca="1" si="189"/>
        <v>TRD</v>
      </c>
      <c r="N1255">
        <f t="shared" ca="1" si="190"/>
        <v>6.9566097890678273E-6</v>
      </c>
    </row>
    <row r="1256" spans="6:14" x14ac:dyDescent="0.35">
      <c r="F1256">
        <f t="shared" si="197"/>
        <v>19</v>
      </c>
      <c r="G1256">
        <f t="shared" si="194"/>
        <v>0</v>
      </c>
      <c r="H1256">
        <f t="shared" si="195"/>
        <v>0</v>
      </c>
      <c r="K1256" t="str">
        <f t="shared" ca="1" si="191"/>
        <v>AG</v>
      </c>
      <c r="L1256" t="str">
        <f t="shared" ca="1" si="192"/>
        <v>dom</v>
      </c>
      <c r="M1256" t="str">
        <f t="shared" ca="1" si="189"/>
        <v>AFS</v>
      </c>
      <c r="N1256">
        <f t="shared" ca="1" si="190"/>
        <v>1.6427101478831254</v>
      </c>
    </row>
    <row r="1257" spans="6:14" x14ac:dyDescent="0.35">
      <c r="F1257">
        <f t="shared" si="197"/>
        <v>19</v>
      </c>
      <c r="G1257">
        <f t="shared" si="194"/>
        <v>1</v>
      </c>
      <c r="H1257">
        <f t="shared" si="195"/>
        <v>0</v>
      </c>
      <c r="K1257" t="str">
        <f t="shared" ca="1" si="191"/>
        <v>MIN</v>
      </c>
      <c r="L1257" t="str">
        <f t="shared" ca="1" si="192"/>
        <v>dom</v>
      </c>
      <c r="M1257" t="str">
        <f t="shared" ca="1" si="189"/>
        <v>AFS</v>
      </c>
      <c r="N1257">
        <f t="shared" ca="1" si="190"/>
        <v>2.8655717332044968</v>
      </c>
    </row>
    <row r="1258" spans="6:14" x14ac:dyDescent="0.35">
      <c r="F1258">
        <f t="shared" si="197"/>
        <v>19</v>
      </c>
      <c r="G1258">
        <f t="shared" si="194"/>
        <v>2</v>
      </c>
      <c r="H1258">
        <f t="shared" si="195"/>
        <v>0</v>
      </c>
      <c r="K1258" t="str">
        <f t="shared" ca="1" si="191"/>
        <v>FBT</v>
      </c>
      <c r="L1258" t="str">
        <f t="shared" ca="1" si="192"/>
        <v>dom</v>
      </c>
      <c r="M1258" t="str">
        <f t="shared" ca="1" si="189"/>
        <v>AFS</v>
      </c>
      <c r="N1258">
        <f t="shared" ca="1" si="190"/>
        <v>4.8250177685797553</v>
      </c>
    </row>
    <row r="1259" spans="6:14" x14ac:dyDescent="0.35">
      <c r="F1259">
        <f t="shared" si="197"/>
        <v>19</v>
      </c>
      <c r="G1259">
        <f t="shared" si="194"/>
        <v>3</v>
      </c>
      <c r="H1259">
        <f t="shared" si="195"/>
        <v>0</v>
      </c>
      <c r="K1259" t="str">
        <f t="shared" ca="1" si="191"/>
        <v>TEX</v>
      </c>
      <c r="L1259" t="str">
        <f t="shared" ca="1" si="192"/>
        <v>dom</v>
      </c>
      <c r="M1259" t="str">
        <f t="shared" ca="1" si="189"/>
        <v>AFS</v>
      </c>
      <c r="N1259">
        <f t="shared" ca="1" si="190"/>
        <v>25.132808429811057</v>
      </c>
    </row>
    <row r="1260" spans="6:14" x14ac:dyDescent="0.35">
      <c r="F1260">
        <f t="shared" si="197"/>
        <v>19</v>
      </c>
      <c r="G1260">
        <f t="shared" si="194"/>
        <v>4</v>
      </c>
      <c r="H1260">
        <f t="shared" si="195"/>
        <v>0</v>
      </c>
      <c r="K1260" t="str">
        <f t="shared" ca="1" si="191"/>
        <v>LEATHER</v>
      </c>
      <c r="L1260" t="str">
        <f t="shared" ca="1" si="192"/>
        <v>dom</v>
      </c>
      <c r="M1260" t="str">
        <f t="shared" ca="1" si="189"/>
        <v>AFS</v>
      </c>
      <c r="N1260">
        <f t="shared" ca="1" si="190"/>
        <v>0.17833783800740546</v>
      </c>
    </row>
    <row r="1261" spans="6:14" x14ac:dyDescent="0.35">
      <c r="F1261">
        <f t="shared" si="197"/>
        <v>19</v>
      </c>
      <c r="G1261">
        <f t="shared" si="194"/>
        <v>5</v>
      </c>
      <c r="H1261">
        <f t="shared" si="195"/>
        <v>0</v>
      </c>
      <c r="K1261" t="str">
        <f t="shared" ca="1" si="191"/>
        <v>WOOD</v>
      </c>
      <c r="L1261" t="str">
        <f t="shared" ca="1" si="192"/>
        <v>dom</v>
      </c>
      <c r="M1261" t="str">
        <f t="shared" ca="1" si="189"/>
        <v>AFS</v>
      </c>
      <c r="N1261">
        <f t="shared" ca="1" si="190"/>
        <v>1.0978331156673489</v>
      </c>
    </row>
    <row r="1262" spans="6:14" x14ac:dyDescent="0.35">
      <c r="F1262">
        <f t="shared" si="197"/>
        <v>19</v>
      </c>
      <c r="G1262">
        <f t="shared" si="194"/>
        <v>6</v>
      </c>
      <c r="H1262">
        <f t="shared" si="195"/>
        <v>0</v>
      </c>
      <c r="K1262" t="str">
        <f t="shared" ca="1" si="191"/>
        <v>PPP</v>
      </c>
      <c r="L1262" t="str">
        <f t="shared" ca="1" si="192"/>
        <v>dom</v>
      </c>
      <c r="M1262" t="str">
        <f t="shared" ca="1" si="189"/>
        <v>AFS</v>
      </c>
      <c r="N1262">
        <f t="shared" ca="1" si="190"/>
        <v>21.97376628624632</v>
      </c>
    </row>
    <row r="1263" spans="6:14" x14ac:dyDescent="0.35">
      <c r="F1263">
        <f t="shared" si="197"/>
        <v>19</v>
      </c>
      <c r="G1263">
        <f t="shared" si="194"/>
        <v>7</v>
      </c>
      <c r="H1263">
        <f t="shared" si="195"/>
        <v>0</v>
      </c>
      <c r="K1263" t="str">
        <f t="shared" ca="1" si="191"/>
        <v>PC</v>
      </c>
      <c r="L1263" t="str">
        <f t="shared" ca="1" si="192"/>
        <v>dom</v>
      </c>
      <c r="M1263" t="str">
        <f t="shared" ca="1" si="189"/>
        <v>AFS</v>
      </c>
      <c r="N1263">
        <f t="shared" ca="1" si="190"/>
        <v>3.3483787625761803</v>
      </c>
    </row>
    <row r="1264" spans="6:14" x14ac:dyDescent="0.35">
      <c r="F1264">
        <f t="shared" si="197"/>
        <v>19</v>
      </c>
      <c r="G1264">
        <f t="shared" si="194"/>
        <v>8</v>
      </c>
      <c r="H1264">
        <f t="shared" si="195"/>
        <v>0</v>
      </c>
      <c r="K1264" t="str">
        <f t="shared" ca="1" si="191"/>
        <v>CHM</v>
      </c>
      <c r="L1264" t="str">
        <f t="shared" ca="1" si="192"/>
        <v>dom</v>
      </c>
      <c r="M1264" t="str">
        <f t="shared" ca="1" si="189"/>
        <v>AFS</v>
      </c>
      <c r="N1264">
        <f t="shared" ca="1" si="190"/>
        <v>20.85102628524789</v>
      </c>
    </row>
    <row r="1265" spans="6:14" x14ac:dyDescent="0.35">
      <c r="F1265">
        <f t="shared" si="197"/>
        <v>19</v>
      </c>
      <c r="G1265">
        <f t="shared" si="194"/>
        <v>9</v>
      </c>
      <c r="H1265">
        <f t="shared" si="195"/>
        <v>0</v>
      </c>
      <c r="K1265" t="str">
        <f t="shared" ca="1" si="191"/>
        <v>RUBBER</v>
      </c>
      <c r="L1265" t="str">
        <f t="shared" ca="1" si="192"/>
        <v>dom</v>
      </c>
      <c r="M1265" t="str">
        <f t="shared" ca="1" si="189"/>
        <v>AFS</v>
      </c>
      <c r="N1265">
        <f t="shared" ca="1" si="190"/>
        <v>32.640269646736819</v>
      </c>
    </row>
    <row r="1266" spans="6:14" x14ac:dyDescent="0.35">
      <c r="F1266">
        <f t="shared" si="197"/>
        <v>19</v>
      </c>
      <c r="G1266">
        <f t="shared" si="194"/>
        <v>10</v>
      </c>
      <c r="H1266">
        <f t="shared" si="195"/>
        <v>0</v>
      </c>
      <c r="K1266" t="str">
        <f t="shared" ca="1" si="191"/>
        <v>NMM</v>
      </c>
      <c r="L1266" t="str">
        <f t="shared" ca="1" si="192"/>
        <v>dom</v>
      </c>
      <c r="M1266" t="str">
        <f t="shared" ca="1" si="189"/>
        <v>AFS</v>
      </c>
      <c r="N1266">
        <f t="shared" ca="1" si="190"/>
        <v>30.237152902664665</v>
      </c>
    </row>
    <row r="1267" spans="6:14" x14ac:dyDescent="0.35">
      <c r="F1267">
        <f t="shared" si="197"/>
        <v>19</v>
      </c>
      <c r="G1267">
        <f t="shared" si="194"/>
        <v>11</v>
      </c>
      <c r="H1267">
        <f t="shared" si="195"/>
        <v>0</v>
      </c>
      <c r="K1267" t="str">
        <f t="shared" ca="1" si="191"/>
        <v>METAL</v>
      </c>
      <c r="L1267" t="str">
        <f t="shared" ca="1" si="192"/>
        <v>dom</v>
      </c>
      <c r="M1267" t="str">
        <f t="shared" ca="1" si="189"/>
        <v>AFS</v>
      </c>
      <c r="N1267">
        <f t="shared" ca="1" si="190"/>
        <v>88.438439843464153</v>
      </c>
    </row>
    <row r="1268" spans="6:14" x14ac:dyDescent="0.35">
      <c r="F1268">
        <f t="shared" si="197"/>
        <v>19</v>
      </c>
      <c r="G1268">
        <f t="shared" si="194"/>
        <v>12</v>
      </c>
      <c r="H1268">
        <f t="shared" si="195"/>
        <v>0</v>
      </c>
      <c r="K1268" t="str">
        <f t="shared" ca="1" si="191"/>
        <v>MACH</v>
      </c>
      <c r="L1268" t="str">
        <f t="shared" ca="1" si="192"/>
        <v>dom</v>
      </c>
      <c r="M1268" t="str">
        <f t="shared" ca="1" si="189"/>
        <v>AFS</v>
      </c>
      <c r="N1268">
        <f t="shared" ca="1" si="190"/>
        <v>128.00766972407408</v>
      </c>
    </row>
    <row r="1269" spans="6:14" x14ac:dyDescent="0.35">
      <c r="F1269">
        <f t="shared" ref="F1269:F1284" si="198">F1203+1</f>
        <v>19</v>
      </c>
      <c r="G1269">
        <f t="shared" si="194"/>
        <v>13</v>
      </c>
      <c r="H1269">
        <f t="shared" si="195"/>
        <v>0</v>
      </c>
      <c r="K1269" t="str">
        <f t="shared" ca="1" si="191"/>
        <v>ELEC</v>
      </c>
      <c r="L1269" t="str">
        <f t="shared" ca="1" si="192"/>
        <v>dom</v>
      </c>
      <c r="M1269" t="str">
        <f t="shared" ca="1" si="189"/>
        <v>AFS</v>
      </c>
      <c r="N1269">
        <f t="shared" ca="1" si="190"/>
        <v>26.628374588945011</v>
      </c>
    </row>
    <row r="1270" spans="6:14" x14ac:dyDescent="0.35">
      <c r="F1270">
        <f t="shared" si="198"/>
        <v>19</v>
      </c>
      <c r="G1270">
        <f t="shared" si="194"/>
        <v>14</v>
      </c>
      <c r="H1270">
        <f t="shared" si="195"/>
        <v>0</v>
      </c>
      <c r="K1270" t="str">
        <f t="shared" ca="1" si="191"/>
        <v>TRNEQUIP</v>
      </c>
      <c r="L1270" t="str">
        <f t="shared" ca="1" si="192"/>
        <v>dom</v>
      </c>
      <c r="M1270" t="str">
        <f t="shared" ca="1" si="189"/>
        <v>AFS</v>
      </c>
      <c r="N1270">
        <f t="shared" ca="1" si="190"/>
        <v>38.464898078924712</v>
      </c>
    </row>
    <row r="1271" spans="6:14" x14ac:dyDescent="0.35">
      <c r="F1271">
        <f t="shared" si="198"/>
        <v>19</v>
      </c>
      <c r="G1271">
        <f t="shared" si="194"/>
        <v>15</v>
      </c>
      <c r="H1271">
        <f t="shared" si="195"/>
        <v>0</v>
      </c>
      <c r="K1271" t="str">
        <f t="shared" ca="1" si="191"/>
        <v>ROMAN</v>
      </c>
      <c r="L1271" t="str">
        <f t="shared" ca="1" si="192"/>
        <v>dom</v>
      </c>
      <c r="M1271" t="str">
        <f t="shared" ca="1" si="189"/>
        <v>AFS</v>
      </c>
      <c r="N1271">
        <f t="shared" ca="1" si="190"/>
        <v>104.7374199489462</v>
      </c>
    </row>
    <row r="1272" spans="6:14" x14ac:dyDescent="0.35">
      <c r="F1272">
        <f t="shared" si="198"/>
        <v>19</v>
      </c>
      <c r="G1272">
        <f t="shared" si="194"/>
        <v>16</v>
      </c>
      <c r="H1272">
        <f t="shared" si="195"/>
        <v>0</v>
      </c>
      <c r="K1272" t="str">
        <f t="shared" ca="1" si="191"/>
        <v>ELYGASWTR</v>
      </c>
      <c r="L1272" t="str">
        <f t="shared" ca="1" si="192"/>
        <v>dom</v>
      </c>
      <c r="M1272" t="str">
        <f t="shared" ca="1" si="189"/>
        <v>AFS</v>
      </c>
      <c r="N1272">
        <f t="shared" ca="1" si="190"/>
        <v>2.3900384741674906E-6</v>
      </c>
    </row>
    <row r="1273" spans="6:14" x14ac:dyDescent="0.35">
      <c r="F1273">
        <f t="shared" si="198"/>
        <v>19</v>
      </c>
      <c r="G1273">
        <f t="shared" si="194"/>
        <v>17</v>
      </c>
      <c r="H1273">
        <f t="shared" si="195"/>
        <v>0</v>
      </c>
      <c r="K1273" t="str">
        <f t="shared" ca="1" si="191"/>
        <v>CNS</v>
      </c>
      <c r="L1273" t="str">
        <f t="shared" ca="1" si="192"/>
        <v>dom</v>
      </c>
      <c r="M1273" t="str">
        <f t="shared" ca="1" si="189"/>
        <v>AFS</v>
      </c>
      <c r="N1273">
        <f t="shared" ca="1" si="190"/>
        <v>3479.2136721280631</v>
      </c>
    </row>
    <row r="1274" spans="6:14" x14ac:dyDescent="0.35">
      <c r="F1274">
        <f t="shared" si="198"/>
        <v>19</v>
      </c>
      <c r="G1274">
        <f t="shared" si="194"/>
        <v>18</v>
      </c>
      <c r="H1274">
        <f t="shared" si="195"/>
        <v>0</v>
      </c>
      <c r="K1274" t="str">
        <f t="shared" ca="1" si="191"/>
        <v>TRD</v>
      </c>
      <c r="L1274" t="str">
        <f t="shared" ca="1" si="192"/>
        <v>dom</v>
      </c>
      <c r="M1274" t="str">
        <f t="shared" ca="1" si="189"/>
        <v>AFS</v>
      </c>
      <c r="N1274">
        <f t="shared" ca="1" si="190"/>
        <v>556.30307005207749</v>
      </c>
    </row>
    <row r="1275" spans="6:14" x14ac:dyDescent="0.35">
      <c r="F1275">
        <f t="shared" si="198"/>
        <v>19</v>
      </c>
      <c r="G1275">
        <f t="shared" si="194"/>
        <v>19</v>
      </c>
      <c r="H1275">
        <f t="shared" si="195"/>
        <v>0</v>
      </c>
      <c r="K1275" t="str">
        <f t="shared" ca="1" si="191"/>
        <v>AFS</v>
      </c>
      <c r="L1275" t="str">
        <f t="shared" ca="1" si="192"/>
        <v>dom</v>
      </c>
      <c r="M1275" t="str">
        <f t="shared" ca="1" si="189"/>
        <v>AFS</v>
      </c>
      <c r="N1275">
        <f t="shared" ca="1" si="190"/>
        <v>2.3900384741674906E-6</v>
      </c>
    </row>
    <row r="1276" spans="6:14" x14ac:dyDescent="0.35">
      <c r="F1276">
        <f t="shared" si="198"/>
        <v>19</v>
      </c>
      <c r="G1276">
        <f t="shared" si="194"/>
        <v>20</v>
      </c>
      <c r="H1276">
        <f t="shared" si="195"/>
        <v>0</v>
      </c>
      <c r="K1276" t="str">
        <f t="shared" ca="1" si="191"/>
        <v>OTP</v>
      </c>
      <c r="L1276" t="str">
        <f t="shared" ca="1" si="192"/>
        <v>dom</v>
      </c>
      <c r="M1276" t="str">
        <f t="shared" ca="1" si="189"/>
        <v>AFS</v>
      </c>
      <c r="N1276">
        <f t="shared" ca="1" si="190"/>
        <v>2.3900384741674906E-6</v>
      </c>
    </row>
    <row r="1277" spans="6:14" x14ac:dyDescent="0.35">
      <c r="F1277">
        <f t="shared" si="198"/>
        <v>19</v>
      </c>
      <c r="G1277">
        <f t="shared" si="194"/>
        <v>21</v>
      </c>
      <c r="H1277">
        <f t="shared" si="195"/>
        <v>0</v>
      </c>
      <c r="K1277" t="str">
        <f t="shared" ca="1" si="191"/>
        <v>WTP</v>
      </c>
      <c r="L1277" t="str">
        <f t="shared" ca="1" si="192"/>
        <v>dom</v>
      </c>
      <c r="M1277" t="str">
        <f t="shared" ca="1" si="189"/>
        <v>AFS</v>
      </c>
      <c r="N1277">
        <f t="shared" ca="1" si="190"/>
        <v>2.3900384741674906E-6</v>
      </c>
    </row>
    <row r="1278" spans="6:14" x14ac:dyDescent="0.35">
      <c r="F1278">
        <f t="shared" si="198"/>
        <v>19</v>
      </c>
      <c r="G1278">
        <f t="shared" si="194"/>
        <v>22</v>
      </c>
      <c r="H1278">
        <f t="shared" si="195"/>
        <v>0</v>
      </c>
      <c r="K1278" t="str">
        <f t="shared" ca="1" si="191"/>
        <v>ATP</v>
      </c>
      <c r="L1278" t="str">
        <f t="shared" ca="1" si="192"/>
        <v>dom</v>
      </c>
      <c r="M1278" t="str">
        <f t="shared" ca="1" si="189"/>
        <v>AFS</v>
      </c>
      <c r="N1278">
        <f t="shared" ca="1" si="190"/>
        <v>2.3900384741674906E-6</v>
      </c>
    </row>
    <row r="1279" spans="6:14" x14ac:dyDescent="0.35">
      <c r="F1279">
        <f t="shared" si="198"/>
        <v>19</v>
      </c>
      <c r="G1279">
        <f t="shared" si="194"/>
        <v>23</v>
      </c>
      <c r="H1279">
        <f t="shared" si="195"/>
        <v>0</v>
      </c>
      <c r="K1279" t="str">
        <f t="shared" ca="1" si="191"/>
        <v>WHS</v>
      </c>
      <c r="L1279" t="str">
        <f t="shared" ca="1" si="192"/>
        <v>dom</v>
      </c>
      <c r="M1279" t="str">
        <f t="shared" ca="1" si="189"/>
        <v>AFS</v>
      </c>
      <c r="N1279">
        <f t="shared" ca="1" si="190"/>
        <v>2.3900384741674906E-6</v>
      </c>
    </row>
    <row r="1280" spans="6:14" x14ac:dyDescent="0.35">
      <c r="F1280">
        <f t="shared" si="198"/>
        <v>19</v>
      </c>
      <c r="G1280">
        <f t="shared" si="194"/>
        <v>24</v>
      </c>
      <c r="H1280">
        <f t="shared" si="195"/>
        <v>0</v>
      </c>
      <c r="K1280" t="str">
        <f t="shared" ca="1" si="191"/>
        <v>CMN</v>
      </c>
      <c r="L1280" t="str">
        <f t="shared" ca="1" si="192"/>
        <v>dom</v>
      </c>
      <c r="M1280" t="str">
        <f t="shared" ca="1" si="189"/>
        <v>AFS</v>
      </c>
      <c r="N1280">
        <f t="shared" ca="1" si="190"/>
        <v>2.3900384741674906E-6</v>
      </c>
    </row>
    <row r="1281" spans="6:14" x14ac:dyDescent="0.35">
      <c r="F1281">
        <f t="shared" si="198"/>
        <v>19</v>
      </c>
      <c r="G1281">
        <f t="shared" si="194"/>
        <v>25</v>
      </c>
      <c r="H1281">
        <f t="shared" si="195"/>
        <v>0</v>
      </c>
      <c r="K1281" t="str">
        <f t="shared" ca="1" si="191"/>
        <v>OFI</v>
      </c>
      <c r="L1281" t="str">
        <f t="shared" ca="1" si="192"/>
        <v>dom</v>
      </c>
      <c r="M1281" t="str">
        <f t="shared" ca="1" si="189"/>
        <v>AFS</v>
      </c>
      <c r="N1281">
        <f t="shared" ca="1" si="190"/>
        <v>2.3900384741674906E-6</v>
      </c>
    </row>
    <row r="1282" spans="6:14" x14ac:dyDescent="0.35">
      <c r="F1282">
        <f t="shared" si="198"/>
        <v>19</v>
      </c>
      <c r="G1282">
        <f t="shared" si="194"/>
        <v>26</v>
      </c>
      <c r="H1282">
        <f t="shared" si="195"/>
        <v>0</v>
      </c>
      <c r="K1282" t="str">
        <f t="shared" ca="1" si="191"/>
        <v>RSA</v>
      </c>
      <c r="L1282" t="str">
        <f t="shared" ca="1" si="192"/>
        <v>dom</v>
      </c>
      <c r="M1282" t="str">
        <f t="shared" ref="M1282:M1345" ca="1" si="199">OFFSET(A$2,F1282,0)</f>
        <v>AFS</v>
      </c>
      <c r="N1282">
        <f t="shared" ref="N1282:N1345" ca="1" si="200">SUMIFS(C:C,A:A,K1282,B:B,L1282)*SUMIFS(U:U,S:S,M1282)</f>
        <v>2.3900384741674906E-6</v>
      </c>
    </row>
    <row r="1283" spans="6:14" x14ac:dyDescent="0.35">
      <c r="F1283">
        <f t="shared" si="198"/>
        <v>19</v>
      </c>
      <c r="G1283">
        <f t="shared" si="194"/>
        <v>27</v>
      </c>
      <c r="H1283">
        <f t="shared" si="195"/>
        <v>0</v>
      </c>
      <c r="K1283" t="str">
        <f t="shared" ref="K1283:K1346" ca="1" si="201">OFFSET(A$2,G1283,0)</f>
        <v>OBS</v>
      </c>
      <c r="L1283" t="str">
        <f t="shared" ref="L1283:L1346" ca="1" si="202">OFFSET($V$3,H1283,0)</f>
        <v>dom</v>
      </c>
      <c r="M1283" t="str">
        <f t="shared" ca="1" si="199"/>
        <v>AFS</v>
      </c>
      <c r="N1283">
        <f t="shared" ca="1" si="200"/>
        <v>2.3900384741674906E-6</v>
      </c>
    </row>
    <row r="1284" spans="6:14" x14ac:dyDescent="0.35">
      <c r="F1284">
        <f t="shared" si="198"/>
        <v>19</v>
      </c>
      <c r="G1284">
        <f t="shared" si="194"/>
        <v>28</v>
      </c>
      <c r="H1284">
        <f t="shared" si="195"/>
        <v>0</v>
      </c>
      <c r="K1284" t="str">
        <f t="shared" ca="1" si="201"/>
        <v>GOV</v>
      </c>
      <c r="L1284" t="str">
        <f t="shared" ca="1" si="202"/>
        <v>dom</v>
      </c>
      <c r="M1284" t="str">
        <f t="shared" ca="1" si="199"/>
        <v>AFS</v>
      </c>
      <c r="N1284">
        <f t="shared" ca="1" si="200"/>
        <v>2.3900384741674906E-6</v>
      </c>
    </row>
    <row r="1285" spans="6:14" x14ac:dyDescent="0.35">
      <c r="F1285">
        <f t="shared" ref="F1285:F1300" si="203">F1219+1</f>
        <v>19</v>
      </c>
      <c r="G1285">
        <f t="shared" ref="G1285:G1348" si="204">G1252</f>
        <v>29</v>
      </c>
      <c r="H1285">
        <f t="shared" ref="H1285:H1348" si="205">H1219</f>
        <v>0</v>
      </c>
      <c r="K1285" t="str">
        <f t="shared" ca="1" si="201"/>
        <v>EDU</v>
      </c>
      <c r="L1285" t="str">
        <f t="shared" ca="1" si="202"/>
        <v>dom</v>
      </c>
      <c r="M1285" t="str">
        <f t="shared" ca="1" si="199"/>
        <v>AFS</v>
      </c>
      <c r="N1285">
        <f t="shared" ca="1" si="200"/>
        <v>2.3900384741674906E-6</v>
      </c>
    </row>
    <row r="1286" spans="6:14" x14ac:dyDescent="0.35">
      <c r="F1286">
        <f t="shared" si="203"/>
        <v>19</v>
      </c>
      <c r="G1286">
        <f t="shared" si="204"/>
        <v>30</v>
      </c>
      <c r="H1286">
        <f t="shared" si="205"/>
        <v>0</v>
      </c>
      <c r="K1286" t="str">
        <f t="shared" ca="1" si="201"/>
        <v>HHT</v>
      </c>
      <c r="L1286" t="str">
        <f t="shared" ca="1" si="202"/>
        <v>dom</v>
      </c>
      <c r="M1286" t="str">
        <f t="shared" ca="1" si="199"/>
        <v>AFS</v>
      </c>
      <c r="N1286">
        <f t="shared" ca="1" si="200"/>
        <v>2.3900384741674906E-6</v>
      </c>
    </row>
    <row r="1287" spans="6:14" x14ac:dyDescent="0.35">
      <c r="F1287">
        <f t="shared" si="203"/>
        <v>19</v>
      </c>
      <c r="G1287">
        <f t="shared" si="204"/>
        <v>31</v>
      </c>
      <c r="H1287">
        <f t="shared" si="205"/>
        <v>0</v>
      </c>
      <c r="K1287" t="str">
        <f t="shared" ca="1" si="201"/>
        <v>REC</v>
      </c>
      <c r="L1287" t="str">
        <f t="shared" ca="1" si="202"/>
        <v>dom</v>
      </c>
      <c r="M1287" t="str">
        <f t="shared" ca="1" si="199"/>
        <v>AFS</v>
      </c>
      <c r="N1287">
        <f t="shared" ca="1" si="200"/>
        <v>2.3900384741674906E-6</v>
      </c>
    </row>
    <row r="1288" spans="6:14" x14ac:dyDescent="0.35">
      <c r="F1288">
        <f t="shared" si="203"/>
        <v>19</v>
      </c>
      <c r="G1288">
        <f t="shared" si="204"/>
        <v>32</v>
      </c>
      <c r="H1288">
        <f t="shared" si="205"/>
        <v>0</v>
      </c>
      <c r="K1288" t="str">
        <f t="shared" ca="1" si="201"/>
        <v>DWE</v>
      </c>
      <c r="L1288" t="str">
        <f t="shared" ca="1" si="202"/>
        <v>dom</v>
      </c>
      <c r="M1288" t="str">
        <f t="shared" ca="1" si="199"/>
        <v>AFS</v>
      </c>
      <c r="N1288">
        <f t="shared" ca="1" si="200"/>
        <v>2.3900384741674906E-6</v>
      </c>
    </row>
    <row r="1289" spans="6:14" x14ac:dyDescent="0.35">
      <c r="F1289">
        <f t="shared" si="203"/>
        <v>19</v>
      </c>
      <c r="G1289">
        <f t="shared" si="204"/>
        <v>0</v>
      </c>
      <c r="H1289">
        <f t="shared" si="205"/>
        <v>1</v>
      </c>
      <c r="K1289" t="str">
        <f t="shared" ca="1" si="201"/>
        <v>AG</v>
      </c>
      <c r="L1289" t="str">
        <f t="shared" ca="1" si="202"/>
        <v>imp</v>
      </c>
      <c r="M1289" t="str">
        <f t="shared" ca="1" si="199"/>
        <v>AFS</v>
      </c>
      <c r="N1289">
        <f t="shared" ca="1" si="200"/>
        <v>22.112215416034704</v>
      </c>
    </row>
    <row r="1290" spans="6:14" x14ac:dyDescent="0.35">
      <c r="F1290">
        <f t="shared" si="203"/>
        <v>19</v>
      </c>
      <c r="G1290">
        <f t="shared" si="204"/>
        <v>1</v>
      </c>
      <c r="H1290">
        <f t="shared" si="205"/>
        <v>1</v>
      </c>
      <c r="K1290" t="str">
        <f t="shared" ca="1" si="201"/>
        <v>MIN</v>
      </c>
      <c r="L1290" t="str">
        <f t="shared" ca="1" si="202"/>
        <v>imp</v>
      </c>
      <c r="M1290" t="str">
        <f t="shared" ca="1" si="199"/>
        <v>AFS</v>
      </c>
      <c r="N1290">
        <f t="shared" ca="1" si="200"/>
        <v>34.88493178063726</v>
      </c>
    </row>
    <row r="1291" spans="6:14" x14ac:dyDescent="0.35">
      <c r="F1291">
        <f t="shared" si="203"/>
        <v>19</v>
      </c>
      <c r="G1291">
        <f t="shared" si="204"/>
        <v>2</v>
      </c>
      <c r="H1291">
        <f t="shared" si="205"/>
        <v>1</v>
      </c>
      <c r="K1291" t="str">
        <f t="shared" ca="1" si="201"/>
        <v>FBT</v>
      </c>
      <c r="L1291" t="str">
        <f t="shared" ca="1" si="202"/>
        <v>imp</v>
      </c>
      <c r="M1291" t="str">
        <f t="shared" ca="1" si="199"/>
        <v>AFS</v>
      </c>
      <c r="N1291">
        <f t="shared" ca="1" si="200"/>
        <v>8.7292799659820002</v>
      </c>
    </row>
    <row r="1292" spans="6:14" x14ac:dyDescent="0.35">
      <c r="F1292">
        <f t="shared" si="203"/>
        <v>19</v>
      </c>
      <c r="G1292">
        <f t="shared" si="204"/>
        <v>3</v>
      </c>
      <c r="H1292">
        <f t="shared" si="205"/>
        <v>1</v>
      </c>
      <c r="K1292" t="str">
        <f t="shared" ca="1" si="201"/>
        <v>TEX</v>
      </c>
      <c r="L1292" t="str">
        <f t="shared" ca="1" si="202"/>
        <v>imp</v>
      </c>
      <c r="M1292" t="str">
        <f t="shared" ca="1" si="199"/>
        <v>AFS</v>
      </c>
      <c r="N1292">
        <f t="shared" ca="1" si="200"/>
        <v>171.30352902497768</v>
      </c>
    </row>
    <row r="1293" spans="6:14" x14ac:dyDescent="0.35">
      <c r="F1293">
        <f t="shared" si="203"/>
        <v>19</v>
      </c>
      <c r="G1293">
        <f t="shared" si="204"/>
        <v>4</v>
      </c>
      <c r="H1293">
        <f t="shared" si="205"/>
        <v>1</v>
      </c>
      <c r="K1293" t="str">
        <f t="shared" ca="1" si="201"/>
        <v>LEATHER</v>
      </c>
      <c r="L1293" t="str">
        <f t="shared" ca="1" si="202"/>
        <v>imp</v>
      </c>
      <c r="M1293" t="str">
        <f t="shared" ca="1" si="199"/>
        <v>AFS</v>
      </c>
      <c r="N1293">
        <f t="shared" ca="1" si="200"/>
        <v>89.278170804631671</v>
      </c>
    </row>
    <row r="1294" spans="6:14" x14ac:dyDescent="0.35">
      <c r="F1294">
        <f t="shared" si="203"/>
        <v>19</v>
      </c>
      <c r="G1294">
        <f t="shared" si="204"/>
        <v>5</v>
      </c>
      <c r="H1294">
        <f t="shared" si="205"/>
        <v>1</v>
      </c>
      <c r="K1294" t="str">
        <f t="shared" ca="1" si="201"/>
        <v>WOOD</v>
      </c>
      <c r="L1294" t="str">
        <f t="shared" ca="1" si="202"/>
        <v>imp</v>
      </c>
      <c r="M1294" t="str">
        <f t="shared" ca="1" si="199"/>
        <v>AFS</v>
      </c>
      <c r="N1294">
        <f t="shared" ca="1" si="200"/>
        <v>1.5980139287313866</v>
      </c>
    </row>
    <row r="1295" spans="6:14" x14ac:dyDescent="0.35">
      <c r="F1295">
        <f t="shared" si="203"/>
        <v>19</v>
      </c>
      <c r="G1295">
        <f t="shared" si="204"/>
        <v>6</v>
      </c>
      <c r="H1295">
        <f t="shared" si="205"/>
        <v>1</v>
      </c>
      <c r="K1295" t="str">
        <f t="shared" ca="1" si="201"/>
        <v>PPP</v>
      </c>
      <c r="L1295" t="str">
        <f t="shared" ca="1" si="202"/>
        <v>imp</v>
      </c>
      <c r="M1295" t="str">
        <f t="shared" ca="1" si="199"/>
        <v>AFS</v>
      </c>
      <c r="N1295">
        <f t="shared" ca="1" si="200"/>
        <v>23.011239328577734</v>
      </c>
    </row>
    <row r="1296" spans="6:14" x14ac:dyDescent="0.35">
      <c r="F1296">
        <f t="shared" si="203"/>
        <v>19</v>
      </c>
      <c r="G1296">
        <f t="shared" si="204"/>
        <v>7</v>
      </c>
      <c r="H1296">
        <f t="shared" si="205"/>
        <v>1</v>
      </c>
      <c r="K1296" t="str">
        <f t="shared" ca="1" si="201"/>
        <v>PC</v>
      </c>
      <c r="L1296" t="str">
        <f t="shared" ca="1" si="202"/>
        <v>imp</v>
      </c>
      <c r="M1296" t="str">
        <f t="shared" ca="1" si="199"/>
        <v>AFS</v>
      </c>
      <c r="N1296">
        <f t="shared" ca="1" si="200"/>
        <v>5.7945006498742071</v>
      </c>
    </row>
    <row r="1297" spans="6:14" x14ac:dyDescent="0.35">
      <c r="F1297">
        <f t="shared" si="203"/>
        <v>19</v>
      </c>
      <c r="G1297">
        <f t="shared" si="204"/>
        <v>8</v>
      </c>
      <c r="H1297">
        <f t="shared" si="205"/>
        <v>1</v>
      </c>
      <c r="K1297" t="str">
        <f t="shared" ca="1" si="201"/>
        <v>CHM</v>
      </c>
      <c r="L1297" t="str">
        <f t="shared" ca="1" si="202"/>
        <v>imp</v>
      </c>
      <c r="M1297" t="str">
        <f t="shared" ca="1" si="199"/>
        <v>AFS</v>
      </c>
      <c r="N1297">
        <f t="shared" ca="1" si="200"/>
        <v>79.432928800516876</v>
      </c>
    </row>
    <row r="1298" spans="6:14" x14ac:dyDescent="0.35">
      <c r="F1298">
        <f t="shared" si="203"/>
        <v>19</v>
      </c>
      <c r="G1298">
        <f t="shared" si="204"/>
        <v>9</v>
      </c>
      <c r="H1298">
        <f t="shared" si="205"/>
        <v>1</v>
      </c>
      <c r="K1298" t="str">
        <f t="shared" ca="1" si="201"/>
        <v>RUBBER</v>
      </c>
      <c r="L1298" t="str">
        <f t="shared" ca="1" si="202"/>
        <v>imp</v>
      </c>
      <c r="M1298" t="str">
        <f t="shared" ca="1" si="199"/>
        <v>AFS</v>
      </c>
      <c r="N1298">
        <f t="shared" ca="1" si="200"/>
        <v>60.835065727533674</v>
      </c>
    </row>
    <row r="1299" spans="6:14" x14ac:dyDescent="0.35">
      <c r="F1299">
        <f t="shared" si="203"/>
        <v>19</v>
      </c>
      <c r="G1299">
        <f t="shared" si="204"/>
        <v>10</v>
      </c>
      <c r="H1299">
        <f t="shared" si="205"/>
        <v>1</v>
      </c>
      <c r="K1299" t="str">
        <f t="shared" ca="1" si="201"/>
        <v>NMM</v>
      </c>
      <c r="L1299" t="str">
        <f t="shared" ca="1" si="202"/>
        <v>imp</v>
      </c>
      <c r="M1299" t="str">
        <f t="shared" ca="1" si="199"/>
        <v>AFS</v>
      </c>
      <c r="N1299">
        <f t="shared" ca="1" si="200"/>
        <v>22.964469355421219</v>
      </c>
    </row>
    <row r="1300" spans="6:14" x14ac:dyDescent="0.35">
      <c r="F1300">
        <f t="shared" si="203"/>
        <v>19</v>
      </c>
      <c r="G1300">
        <f t="shared" si="204"/>
        <v>11</v>
      </c>
      <c r="H1300">
        <f t="shared" si="205"/>
        <v>1</v>
      </c>
      <c r="K1300" t="str">
        <f t="shared" ca="1" si="201"/>
        <v>METAL</v>
      </c>
      <c r="L1300" t="str">
        <f t="shared" ca="1" si="202"/>
        <v>imp</v>
      </c>
      <c r="M1300" t="str">
        <f t="shared" ca="1" si="199"/>
        <v>AFS</v>
      </c>
      <c r="N1300">
        <f t="shared" ca="1" si="200"/>
        <v>287.44942607764858</v>
      </c>
    </row>
    <row r="1301" spans="6:14" x14ac:dyDescent="0.35">
      <c r="F1301">
        <f t="shared" ref="F1301:F1316" si="206">F1235+1</f>
        <v>19</v>
      </c>
      <c r="G1301">
        <f t="shared" si="204"/>
        <v>12</v>
      </c>
      <c r="H1301">
        <f t="shared" si="205"/>
        <v>1</v>
      </c>
      <c r="K1301" t="str">
        <f t="shared" ca="1" si="201"/>
        <v>MACH</v>
      </c>
      <c r="L1301" t="str">
        <f t="shared" ca="1" si="202"/>
        <v>imp</v>
      </c>
      <c r="M1301" t="str">
        <f t="shared" ca="1" si="199"/>
        <v>AFS</v>
      </c>
      <c r="N1301">
        <f t="shared" ca="1" si="200"/>
        <v>1101.1531772448477</v>
      </c>
    </row>
    <row r="1302" spans="6:14" x14ac:dyDescent="0.35">
      <c r="F1302">
        <f t="shared" si="206"/>
        <v>19</v>
      </c>
      <c r="G1302">
        <f t="shared" si="204"/>
        <v>13</v>
      </c>
      <c r="H1302">
        <f t="shared" si="205"/>
        <v>1</v>
      </c>
      <c r="K1302" t="str">
        <f t="shared" ca="1" si="201"/>
        <v>ELEC</v>
      </c>
      <c r="L1302" t="str">
        <f t="shared" ca="1" si="202"/>
        <v>imp</v>
      </c>
      <c r="M1302" t="str">
        <f t="shared" ca="1" si="199"/>
        <v>AFS</v>
      </c>
      <c r="N1302">
        <f t="shared" ca="1" si="200"/>
        <v>590.40474404000463</v>
      </c>
    </row>
    <row r="1303" spans="6:14" x14ac:dyDescent="0.35">
      <c r="F1303">
        <f t="shared" si="206"/>
        <v>19</v>
      </c>
      <c r="G1303">
        <f t="shared" si="204"/>
        <v>14</v>
      </c>
      <c r="H1303">
        <f t="shared" si="205"/>
        <v>1</v>
      </c>
      <c r="K1303" t="str">
        <f t="shared" ca="1" si="201"/>
        <v>TRNEQUIP</v>
      </c>
      <c r="L1303" t="str">
        <f t="shared" ca="1" si="202"/>
        <v>imp</v>
      </c>
      <c r="M1303" t="str">
        <f t="shared" ca="1" si="199"/>
        <v>AFS</v>
      </c>
      <c r="N1303">
        <f t="shared" ca="1" si="200"/>
        <v>942.21956323095071</v>
      </c>
    </row>
    <row r="1304" spans="6:14" x14ac:dyDescent="0.35">
      <c r="F1304">
        <f t="shared" si="206"/>
        <v>19</v>
      </c>
      <c r="G1304">
        <f t="shared" si="204"/>
        <v>15</v>
      </c>
      <c r="H1304">
        <f t="shared" si="205"/>
        <v>1</v>
      </c>
      <c r="K1304" t="str">
        <f t="shared" ca="1" si="201"/>
        <v>ROMAN</v>
      </c>
      <c r="L1304" t="str">
        <f t="shared" ca="1" si="202"/>
        <v>imp</v>
      </c>
      <c r="M1304" t="str">
        <f t="shared" ca="1" si="199"/>
        <v>AFS</v>
      </c>
      <c r="N1304">
        <f t="shared" ca="1" si="200"/>
        <v>357.51076914199183</v>
      </c>
    </row>
    <row r="1305" spans="6:14" x14ac:dyDescent="0.35">
      <c r="F1305">
        <f t="shared" si="206"/>
        <v>19</v>
      </c>
      <c r="G1305">
        <f t="shared" si="204"/>
        <v>16</v>
      </c>
      <c r="H1305">
        <f t="shared" si="205"/>
        <v>1</v>
      </c>
      <c r="K1305" t="str">
        <f t="shared" ca="1" si="201"/>
        <v>ELYGASWTR</v>
      </c>
      <c r="L1305" t="str">
        <f t="shared" ca="1" si="202"/>
        <v>imp</v>
      </c>
      <c r="M1305" t="str">
        <f t="shared" ca="1" si="199"/>
        <v>AFS</v>
      </c>
      <c r="N1305">
        <f t="shared" ca="1" si="200"/>
        <v>2.3900384741674906E-6</v>
      </c>
    </row>
    <row r="1306" spans="6:14" x14ac:dyDescent="0.35">
      <c r="F1306">
        <f t="shared" si="206"/>
        <v>19</v>
      </c>
      <c r="G1306">
        <f t="shared" si="204"/>
        <v>17</v>
      </c>
      <c r="H1306">
        <f t="shared" si="205"/>
        <v>1</v>
      </c>
      <c r="K1306" t="str">
        <f t="shared" ca="1" si="201"/>
        <v>CNS</v>
      </c>
      <c r="L1306" t="str">
        <f t="shared" ca="1" si="202"/>
        <v>imp</v>
      </c>
      <c r="M1306" t="str">
        <f t="shared" ca="1" si="199"/>
        <v>AFS</v>
      </c>
      <c r="N1306">
        <f t="shared" ca="1" si="200"/>
        <v>69.984793462956219</v>
      </c>
    </row>
    <row r="1307" spans="6:14" x14ac:dyDescent="0.35">
      <c r="F1307">
        <f t="shared" si="206"/>
        <v>19</v>
      </c>
      <c r="G1307">
        <f t="shared" si="204"/>
        <v>18</v>
      </c>
      <c r="H1307">
        <f t="shared" si="205"/>
        <v>1</v>
      </c>
      <c r="K1307" t="str">
        <f t="shared" ca="1" si="201"/>
        <v>TRD</v>
      </c>
      <c r="L1307" t="str">
        <f t="shared" ca="1" si="202"/>
        <v>imp</v>
      </c>
      <c r="M1307" t="str">
        <f t="shared" ca="1" si="199"/>
        <v>AFS</v>
      </c>
      <c r="N1307">
        <f t="shared" ca="1" si="200"/>
        <v>6.1231966163949867</v>
      </c>
    </row>
    <row r="1308" spans="6:14" x14ac:dyDescent="0.35">
      <c r="F1308">
        <f t="shared" si="206"/>
        <v>19</v>
      </c>
      <c r="G1308">
        <f t="shared" si="204"/>
        <v>19</v>
      </c>
      <c r="H1308">
        <f t="shared" si="205"/>
        <v>1</v>
      </c>
      <c r="K1308" t="str">
        <f t="shared" ca="1" si="201"/>
        <v>AFS</v>
      </c>
      <c r="L1308" t="str">
        <f t="shared" ca="1" si="202"/>
        <v>imp</v>
      </c>
      <c r="M1308" t="str">
        <f t="shared" ca="1" si="199"/>
        <v>AFS</v>
      </c>
      <c r="N1308">
        <f t="shared" ca="1" si="200"/>
        <v>2.3900384741674906E-6</v>
      </c>
    </row>
    <row r="1309" spans="6:14" x14ac:dyDescent="0.35">
      <c r="F1309">
        <f t="shared" si="206"/>
        <v>19</v>
      </c>
      <c r="G1309">
        <f t="shared" si="204"/>
        <v>20</v>
      </c>
      <c r="H1309">
        <f t="shared" si="205"/>
        <v>1</v>
      </c>
      <c r="K1309" t="str">
        <f t="shared" ca="1" si="201"/>
        <v>OTP</v>
      </c>
      <c r="L1309" t="str">
        <f t="shared" ca="1" si="202"/>
        <v>imp</v>
      </c>
      <c r="M1309" t="str">
        <f t="shared" ca="1" si="199"/>
        <v>AFS</v>
      </c>
      <c r="N1309">
        <f t="shared" ca="1" si="200"/>
        <v>2.3900384741674906E-6</v>
      </c>
    </row>
    <row r="1310" spans="6:14" x14ac:dyDescent="0.35">
      <c r="F1310">
        <f t="shared" si="206"/>
        <v>19</v>
      </c>
      <c r="G1310">
        <f t="shared" si="204"/>
        <v>21</v>
      </c>
      <c r="H1310">
        <f t="shared" si="205"/>
        <v>1</v>
      </c>
      <c r="K1310" t="str">
        <f t="shared" ca="1" si="201"/>
        <v>WTP</v>
      </c>
      <c r="L1310" t="str">
        <f t="shared" ca="1" si="202"/>
        <v>imp</v>
      </c>
      <c r="M1310" t="str">
        <f t="shared" ca="1" si="199"/>
        <v>AFS</v>
      </c>
      <c r="N1310">
        <f t="shared" ca="1" si="200"/>
        <v>2.3900384741674906E-6</v>
      </c>
    </row>
    <row r="1311" spans="6:14" x14ac:dyDescent="0.35">
      <c r="F1311">
        <f t="shared" si="206"/>
        <v>19</v>
      </c>
      <c r="G1311">
        <f t="shared" si="204"/>
        <v>22</v>
      </c>
      <c r="H1311">
        <f t="shared" si="205"/>
        <v>1</v>
      </c>
      <c r="K1311" t="str">
        <f t="shared" ca="1" si="201"/>
        <v>ATP</v>
      </c>
      <c r="L1311" t="str">
        <f t="shared" ca="1" si="202"/>
        <v>imp</v>
      </c>
      <c r="M1311" t="str">
        <f t="shared" ca="1" si="199"/>
        <v>AFS</v>
      </c>
      <c r="N1311">
        <f t="shared" ca="1" si="200"/>
        <v>2.3900384741674906E-6</v>
      </c>
    </row>
    <row r="1312" spans="6:14" x14ac:dyDescent="0.35">
      <c r="F1312">
        <f t="shared" si="206"/>
        <v>19</v>
      </c>
      <c r="G1312">
        <f t="shared" si="204"/>
        <v>23</v>
      </c>
      <c r="H1312">
        <f t="shared" si="205"/>
        <v>1</v>
      </c>
      <c r="K1312" t="str">
        <f t="shared" ca="1" si="201"/>
        <v>WHS</v>
      </c>
      <c r="L1312" t="str">
        <f t="shared" ca="1" si="202"/>
        <v>imp</v>
      </c>
      <c r="M1312" t="str">
        <f t="shared" ca="1" si="199"/>
        <v>AFS</v>
      </c>
      <c r="N1312">
        <f t="shared" ca="1" si="200"/>
        <v>2.3900384741674906E-6</v>
      </c>
    </row>
    <row r="1313" spans="6:14" x14ac:dyDescent="0.35">
      <c r="F1313">
        <f t="shared" si="206"/>
        <v>19</v>
      </c>
      <c r="G1313">
        <f t="shared" si="204"/>
        <v>24</v>
      </c>
      <c r="H1313">
        <f t="shared" si="205"/>
        <v>1</v>
      </c>
      <c r="K1313" t="str">
        <f t="shared" ca="1" si="201"/>
        <v>CMN</v>
      </c>
      <c r="L1313" t="str">
        <f t="shared" ca="1" si="202"/>
        <v>imp</v>
      </c>
      <c r="M1313" t="str">
        <f t="shared" ca="1" si="199"/>
        <v>AFS</v>
      </c>
      <c r="N1313">
        <f t="shared" ca="1" si="200"/>
        <v>2.3900384741674906E-6</v>
      </c>
    </row>
    <row r="1314" spans="6:14" x14ac:dyDescent="0.35">
      <c r="F1314">
        <f t="shared" si="206"/>
        <v>19</v>
      </c>
      <c r="G1314">
        <f t="shared" si="204"/>
        <v>25</v>
      </c>
      <c r="H1314">
        <f t="shared" si="205"/>
        <v>1</v>
      </c>
      <c r="K1314" t="str">
        <f t="shared" ca="1" si="201"/>
        <v>OFI</v>
      </c>
      <c r="L1314" t="str">
        <f t="shared" ca="1" si="202"/>
        <v>imp</v>
      </c>
      <c r="M1314" t="str">
        <f t="shared" ca="1" si="199"/>
        <v>AFS</v>
      </c>
      <c r="N1314">
        <f t="shared" ca="1" si="200"/>
        <v>2.3900384741674906E-6</v>
      </c>
    </row>
    <row r="1315" spans="6:14" x14ac:dyDescent="0.35">
      <c r="F1315">
        <f t="shared" si="206"/>
        <v>19</v>
      </c>
      <c r="G1315">
        <f t="shared" si="204"/>
        <v>26</v>
      </c>
      <c r="H1315">
        <f t="shared" si="205"/>
        <v>1</v>
      </c>
      <c r="K1315" t="str">
        <f t="shared" ca="1" si="201"/>
        <v>RSA</v>
      </c>
      <c r="L1315" t="str">
        <f t="shared" ca="1" si="202"/>
        <v>imp</v>
      </c>
      <c r="M1315" t="str">
        <f t="shared" ca="1" si="199"/>
        <v>AFS</v>
      </c>
      <c r="N1315">
        <f t="shared" ca="1" si="200"/>
        <v>2.3900384741674906E-6</v>
      </c>
    </row>
    <row r="1316" spans="6:14" x14ac:dyDescent="0.35">
      <c r="F1316">
        <f t="shared" si="206"/>
        <v>19</v>
      </c>
      <c r="G1316">
        <f t="shared" si="204"/>
        <v>27</v>
      </c>
      <c r="H1316">
        <f t="shared" si="205"/>
        <v>1</v>
      </c>
      <c r="K1316" t="str">
        <f t="shared" ca="1" si="201"/>
        <v>OBS</v>
      </c>
      <c r="L1316" t="str">
        <f t="shared" ca="1" si="202"/>
        <v>imp</v>
      </c>
      <c r="M1316" t="str">
        <f t="shared" ca="1" si="199"/>
        <v>AFS</v>
      </c>
      <c r="N1316">
        <f t="shared" ca="1" si="200"/>
        <v>2.3900384741674906E-6</v>
      </c>
    </row>
    <row r="1317" spans="6:14" x14ac:dyDescent="0.35">
      <c r="F1317">
        <f t="shared" ref="F1317:F1332" si="207">F1251+1</f>
        <v>19</v>
      </c>
      <c r="G1317">
        <f t="shared" si="204"/>
        <v>28</v>
      </c>
      <c r="H1317">
        <f t="shared" si="205"/>
        <v>1</v>
      </c>
      <c r="K1317" t="str">
        <f t="shared" ca="1" si="201"/>
        <v>GOV</v>
      </c>
      <c r="L1317" t="str">
        <f t="shared" ca="1" si="202"/>
        <v>imp</v>
      </c>
      <c r="M1317" t="str">
        <f t="shared" ca="1" si="199"/>
        <v>AFS</v>
      </c>
      <c r="N1317">
        <f t="shared" ca="1" si="200"/>
        <v>2.3900384741674906E-6</v>
      </c>
    </row>
    <row r="1318" spans="6:14" x14ac:dyDescent="0.35">
      <c r="F1318">
        <f t="shared" si="207"/>
        <v>19</v>
      </c>
      <c r="G1318">
        <f t="shared" si="204"/>
        <v>29</v>
      </c>
      <c r="H1318">
        <f t="shared" si="205"/>
        <v>1</v>
      </c>
      <c r="K1318" t="str">
        <f t="shared" ca="1" si="201"/>
        <v>EDU</v>
      </c>
      <c r="L1318" t="str">
        <f t="shared" ca="1" si="202"/>
        <v>imp</v>
      </c>
      <c r="M1318" t="str">
        <f t="shared" ca="1" si="199"/>
        <v>AFS</v>
      </c>
      <c r="N1318">
        <f t="shared" ca="1" si="200"/>
        <v>2.3900384741674906E-6</v>
      </c>
    </row>
    <row r="1319" spans="6:14" x14ac:dyDescent="0.35">
      <c r="F1319">
        <f t="shared" si="207"/>
        <v>19</v>
      </c>
      <c r="G1319">
        <f t="shared" si="204"/>
        <v>30</v>
      </c>
      <c r="H1319">
        <f t="shared" si="205"/>
        <v>1</v>
      </c>
      <c r="K1319" t="str">
        <f t="shared" ca="1" si="201"/>
        <v>HHT</v>
      </c>
      <c r="L1319" t="str">
        <f t="shared" ca="1" si="202"/>
        <v>imp</v>
      </c>
      <c r="M1319" t="str">
        <f t="shared" ca="1" si="199"/>
        <v>AFS</v>
      </c>
      <c r="N1319">
        <f t="shared" ca="1" si="200"/>
        <v>2.3900384741674906E-6</v>
      </c>
    </row>
    <row r="1320" spans="6:14" x14ac:dyDescent="0.35">
      <c r="F1320">
        <f t="shared" si="207"/>
        <v>19</v>
      </c>
      <c r="G1320">
        <f t="shared" si="204"/>
        <v>31</v>
      </c>
      <c r="H1320">
        <f t="shared" si="205"/>
        <v>1</v>
      </c>
      <c r="K1320" t="str">
        <f t="shared" ca="1" si="201"/>
        <v>REC</v>
      </c>
      <c r="L1320" t="str">
        <f t="shared" ca="1" si="202"/>
        <v>imp</v>
      </c>
      <c r="M1320" t="str">
        <f t="shared" ca="1" si="199"/>
        <v>AFS</v>
      </c>
      <c r="N1320">
        <f t="shared" ca="1" si="200"/>
        <v>2.3900384741674906E-6</v>
      </c>
    </row>
    <row r="1321" spans="6:14" x14ac:dyDescent="0.35">
      <c r="F1321">
        <f t="shared" si="207"/>
        <v>19</v>
      </c>
      <c r="G1321">
        <f t="shared" si="204"/>
        <v>32</v>
      </c>
      <c r="H1321">
        <f t="shared" si="205"/>
        <v>1</v>
      </c>
      <c r="K1321" t="str">
        <f t="shared" ca="1" si="201"/>
        <v>DWE</v>
      </c>
      <c r="L1321" t="str">
        <f t="shared" ca="1" si="202"/>
        <v>imp</v>
      </c>
      <c r="M1321" t="str">
        <f t="shared" ca="1" si="199"/>
        <v>AFS</v>
      </c>
      <c r="N1321">
        <f t="shared" ca="1" si="200"/>
        <v>2.3900384741674906E-6</v>
      </c>
    </row>
    <row r="1322" spans="6:14" x14ac:dyDescent="0.35">
      <c r="F1322">
        <f t="shared" si="207"/>
        <v>20</v>
      </c>
      <c r="G1322">
        <f t="shared" si="204"/>
        <v>0</v>
      </c>
      <c r="H1322">
        <f t="shared" si="205"/>
        <v>0</v>
      </c>
      <c r="K1322" t="str">
        <f t="shared" ca="1" si="201"/>
        <v>AG</v>
      </c>
      <c r="L1322" t="str">
        <f t="shared" ca="1" si="202"/>
        <v>dom</v>
      </c>
      <c r="M1322" t="str">
        <f t="shared" ca="1" si="199"/>
        <v>OTP</v>
      </c>
      <c r="N1322">
        <f t="shared" ca="1" si="200"/>
        <v>0.44564183267615365</v>
      </c>
    </row>
    <row r="1323" spans="6:14" x14ac:dyDescent="0.35">
      <c r="F1323">
        <f t="shared" si="207"/>
        <v>20</v>
      </c>
      <c r="G1323">
        <f t="shared" si="204"/>
        <v>1</v>
      </c>
      <c r="H1323">
        <f t="shared" si="205"/>
        <v>0</v>
      </c>
      <c r="K1323" t="str">
        <f t="shared" ca="1" si="201"/>
        <v>MIN</v>
      </c>
      <c r="L1323" t="str">
        <f t="shared" ca="1" si="202"/>
        <v>dom</v>
      </c>
      <c r="M1323" t="str">
        <f t="shared" ca="1" si="199"/>
        <v>OTP</v>
      </c>
      <c r="N1323">
        <f t="shared" ca="1" si="200"/>
        <v>0.77738524991512403</v>
      </c>
    </row>
    <row r="1324" spans="6:14" x14ac:dyDescent="0.35">
      <c r="F1324">
        <f t="shared" si="207"/>
        <v>20</v>
      </c>
      <c r="G1324">
        <f t="shared" si="204"/>
        <v>2</v>
      </c>
      <c r="H1324">
        <f t="shared" si="205"/>
        <v>0</v>
      </c>
      <c r="K1324" t="str">
        <f t="shared" ca="1" si="201"/>
        <v>FBT</v>
      </c>
      <c r="L1324" t="str">
        <f t="shared" ca="1" si="202"/>
        <v>dom</v>
      </c>
      <c r="M1324" t="str">
        <f t="shared" ca="1" si="199"/>
        <v>OTP</v>
      </c>
      <c r="N1324">
        <f t="shared" ca="1" si="200"/>
        <v>1.3089526255473469</v>
      </c>
    </row>
    <row r="1325" spans="6:14" x14ac:dyDescent="0.35">
      <c r="F1325">
        <f t="shared" si="207"/>
        <v>20</v>
      </c>
      <c r="G1325">
        <f t="shared" si="204"/>
        <v>3</v>
      </c>
      <c r="H1325">
        <f t="shared" si="205"/>
        <v>0</v>
      </c>
      <c r="K1325" t="str">
        <f t="shared" ca="1" si="201"/>
        <v>TEX</v>
      </c>
      <c r="L1325" t="str">
        <f t="shared" ca="1" si="202"/>
        <v>dom</v>
      </c>
      <c r="M1325" t="str">
        <f t="shared" ca="1" si="199"/>
        <v>OTP</v>
      </c>
      <c r="N1325">
        <f t="shared" ca="1" si="200"/>
        <v>6.8181418513745919</v>
      </c>
    </row>
    <row r="1326" spans="6:14" x14ac:dyDescent="0.35">
      <c r="F1326">
        <f t="shared" si="207"/>
        <v>20</v>
      </c>
      <c r="G1326">
        <f t="shared" si="204"/>
        <v>4</v>
      </c>
      <c r="H1326">
        <f t="shared" si="205"/>
        <v>0</v>
      </c>
      <c r="K1326" t="str">
        <f t="shared" ca="1" si="201"/>
        <v>LEATHER</v>
      </c>
      <c r="L1326" t="str">
        <f t="shared" ca="1" si="202"/>
        <v>dom</v>
      </c>
      <c r="M1326" t="str">
        <f t="shared" ca="1" si="199"/>
        <v>OTP</v>
      </c>
      <c r="N1326">
        <f t="shared" ca="1" si="200"/>
        <v>4.8380294641472928E-2</v>
      </c>
    </row>
    <row r="1327" spans="6:14" x14ac:dyDescent="0.35">
      <c r="F1327">
        <f t="shared" si="207"/>
        <v>20</v>
      </c>
      <c r="G1327">
        <f t="shared" si="204"/>
        <v>5</v>
      </c>
      <c r="H1327">
        <f t="shared" si="205"/>
        <v>0</v>
      </c>
      <c r="K1327" t="str">
        <f t="shared" ca="1" si="201"/>
        <v>WOOD</v>
      </c>
      <c r="L1327" t="str">
        <f t="shared" ca="1" si="202"/>
        <v>dom</v>
      </c>
      <c r="M1327" t="str">
        <f t="shared" ca="1" si="199"/>
        <v>OTP</v>
      </c>
      <c r="N1327">
        <f t="shared" ca="1" si="200"/>
        <v>0.29782512896083801</v>
      </c>
    </row>
    <row r="1328" spans="6:14" x14ac:dyDescent="0.35">
      <c r="F1328">
        <f t="shared" si="207"/>
        <v>20</v>
      </c>
      <c r="G1328">
        <f t="shared" si="204"/>
        <v>6</v>
      </c>
      <c r="H1328">
        <f t="shared" si="205"/>
        <v>0</v>
      </c>
      <c r="K1328" t="str">
        <f t="shared" ca="1" si="201"/>
        <v>PPP</v>
      </c>
      <c r="L1328" t="str">
        <f t="shared" ca="1" si="202"/>
        <v>dom</v>
      </c>
      <c r="M1328" t="str">
        <f t="shared" ca="1" si="199"/>
        <v>OTP</v>
      </c>
      <c r="N1328">
        <f t="shared" ca="1" si="200"/>
        <v>5.9611426222814048</v>
      </c>
    </row>
    <row r="1329" spans="6:14" x14ac:dyDescent="0.35">
      <c r="F1329">
        <f t="shared" si="207"/>
        <v>20</v>
      </c>
      <c r="G1329">
        <f t="shared" si="204"/>
        <v>7</v>
      </c>
      <c r="H1329">
        <f t="shared" si="205"/>
        <v>0</v>
      </c>
      <c r="K1329" t="str">
        <f t="shared" ca="1" si="201"/>
        <v>PC</v>
      </c>
      <c r="L1329" t="str">
        <f t="shared" ca="1" si="202"/>
        <v>dom</v>
      </c>
      <c r="M1329" t="str">
        <f t="shared" ca="1" si="199"/>
        <v>OTP</v>
      </c>
      <c r="N1329">
        <f t="shared" ca="1" si="200"/>
        <v>0.90836332275127885</v>
      </c>
    </row>
    <row r="1330" spans="6:14" x14ac:dyDescent="0.35">
      <c r="F1330">
        <f t="shared" si="207"/>
        <v>20</v>
      </c>
      <c r="G1330">
        <f t="shared" si="204"/>
        <v>8</v>
      </c>
      <c r="H1330">
        <f t="shared" si="205"/>
        <v>0</v>
      </c>
      <c r="K1330" t="str">
        <f t="shared" ca="1" si="201"/>
        <v>CHM</v>
      </c>
      <c r="L1330" t="str">
        <f t="shared" ca="1" si="202"/>
        <v>dom</v>
      </c>
      <c r="M1330" t="str">
        <f t="shared" ca="1" si="199"/>
        <v>OTP</v>
      </c>
      <c r="N1330">
        <f t="shared" ca="1" si="200"/>
        <v>5.6565606409084097</v>
      </c>
    </row>
    <row r="1331" spans="6:14" x14ac:dyDescent="0.35">
      <c r="F1331">
        <f t="shared" si="207"/>
        <v>20</v>
      </c>
      <c r="G1331">
        <f t="shared" si="204"/>
        <v>9</v>
      </c>
      <c r="H1331">
        <f t="shared" si="205"/>
        <v>0</v>
      </c>
      <c r="K1331" t="str">
        <f t="shared" ca="1" si="201"/>
        <v>RUBBER</v>
      </c>
      <c r="L1331" t="str">
        <f t="shared" ca="1" si="202"/>
        <v>dom</v>
      </c>
      <c r="M1331" t="str">
        <f t="shared" ca="1" si="199"/>
        <v>OTP</v>
      </c>
      <c r="N1331">
        <f t="shared" ca="1" si="200"/>
        <v>8.8547998581247729</v>
      </c>
    </row>
    <row r="1332" spans="6:14" x14ac:dyDescent="0.35">
      <c r="F1332">
        <f t="shared" si="207"/>
        <v>20</v>
      </c>
      <c r="G1332">
        <f t="shared" si="204"/>
        <v>10</v>
      </c>
      <c r="H1332">
        <f t="shared" si="205"/>
        <v>0</v>
      </c>
      <c r="K1332" t="str">
        <f t="shared" ca="1" si="201"/>
        <v>NMM</v>
      </c>
      <c r="L1332" t="str">
        <f t="shared" ca="1" si="202"/>
        <v>dom</v>
      </c>
      <c r="M1332" t="str">
        <f t="shared" ca="1" si="199"/>
        <v>OTP</v>
      </c>
      <c r="N1332">
        <f t="shared" ca="1" si="200"/>
        <v>8.2028714875944555</v>
      </c>
    </row>
    <row r="1333" spans="6:14" x14ac:dyDescent="0.35">
      <c r="F1333">
        <f t="shared" ref="F1333:F1348" si="208">F1267+1</f>
        <v>20</v>
      </c>
      <c r="G1333">
        <f t="shared" si="204"/>
        <v>11</v>
      </c>
      <c r="H1333">
        <f t="shared" si="205"/>
        <v>0</v>
      </c>
      <c r="K1333" t="str">
        <f t="shared" ca="1" si="201"/>
        <v>METAL</v>
      </c>
      <c r="L1333" t="str">
        <f t="shared" ca="1" si="202"/>
        <v>dom</v>
      </c>
      <c r="M1333" t="str">
        <f t="shared" ca="1" si="199"/>
        <v>OTP</v>
      </c>
      <c r="N1333">
        <f t="shared" ca="1" si="200"/>
        <v>23.99197963295542</v>
      </c>
    </row>
    <row r="1334" spans="6:14" x14ac:dyDescent="0.35">
      <c r="F1334">
        <f t="shared" si="208"/>
        <v>20</v>
      </c>
      <c r="G1334">
        <f t="shared" si="204"/>
        <v>12</v>
      </c>
      <c r="H1334">
        <f t="shared" si="205"/>
        <v>0</v>
      </c>
      <c r="K1334" t="str">
        <f t="shared" ca="1" si="201"/>
        <v>MACH</v>
      </c>
      <c r="L1334" t="str">
        <f t="shared" ca="1" si="202"/>
        <v>dom</v>
      </c>
      <c r="M1334" t="str">
        <f t="shared" ca="1" si="199"/>
        <v>OTP</v>
      </c>
      <c r="N1334">
        <f t="shared" ca="1" si="200"/>
        <v>34.726499136778209</v>
      </c>
    </row>
    <row r="1335" spans="6:14" x14ac:dyDescent="0.35">
      <c r="F1335">
        <f t="shared" si="208"/>
        <v>20</v>
      </c>
      <c r="G1335">
        <f t="shared" si="204"/>
        <v>13</v>
      </c>
      <c r="H1335">
        <f t="shared" si="205"/>
        <v>0</v>
      </c>
      <c r="K1335" t="str">
        <f t="shared" ca="1" si="201"/>
        <v>ELEC</v>
      </c>
      <c r="L1335" t="str">
        <f t="shared" ca="1" si="202"/>
        <v>dom</v>
      </c>
      <c r="M1335" t="str">
        <f t="shared" ca="1" si="199"/>
        <v>OTP</v>
      </c>
      <c r="N1335">
        <f t="shared" ca="1" si="200"/>
        <v>7.2238657978077221</v>
      </c>
    </row>
    <row r="1336" spans="6:14" x14ac:dyDescent="0.35">
      <c r="F1336">
        <f t="shared" si="208"/>
        <v>20</v>
      </c>
      <c r="G1336">
        <f t="shared" si="204"/>
        <v>14</v>
      </c>
      <c r="H1336">
        <f t="shared" si="205"/>
        <v>0</v>
      </c>
      <c r="K1336" t="str">
        <f t="shared" ca="1" si="201"/>
        <v>TRNEQUIP</v>
      </c>
      <c r="L1336" t="str">
        <f t="shared" ca="1" si="202"/>
        <v>dom</v>
      </c>
      <c r="M1336" t="str">
        <f t="shared" ca="1" si="199"/>
        <v>OTP</v>
      </c>
      <c r="N1336">
        <f t="shared" ca="1" si="200"/>
        <v>10.434931381950072</v>
      </c>
    </row>
    <row r="1337" spans="6:14" x14ac:dyDescent="0.35">
      <c r="F1337">
        <f t="shared" si="208"/>
        <v>20</v>
      </c>
      <c r="G1337">
        <f t="shared" si="204"/>
        <v>15</v>
      </c>
      <c r="H1337">
        <f t="shared" si="205"/>
        <v>0</v>
      </c>
      <c r="K1337" t="str">
        <f t="shared" ca="1" si="201"/>
        <v>ROMAN</v>
      </c>
      <c r="L1337" t="str">
        <f t="shared" ca="1" si="202"/>
        <v>dom</v>
      </c>
      <c r="M1337" t="str">
        <f t="shared" ca="1" si="199"/>
        <v>OTP</v>
      </c>
      <c r="N1337">
        <f t="shared" ca="1" si="200"/>
        <v>28.4136406145469</v>
      </c>
    </row>
    <row r="1338" spans="6:14" x14ac:dyDescent="0.35">
      <c r="F1338">
        <f t="shared" si="208"/>
        <v>20</v>
      </c>
      <c r="G1338">
        <f t="shared" si="204"/>
        <v>16</v>
      </c>
      <c r="H1338">
        <f t="shared" si="205"/>
        <v>0</v>
      </c>
      <c r="K1338" t="str">
        <f t="shared" ca="1" si="201"/>
        <v>ELYGASWTR</v>
      </c>
      <c r="L1338" t="str">
        <f t="shared" ca="1" si="202"/>
        <v>dom</v>
      </c>
      <c r="M1338" t="str">
        <f t="shared" ca="1" si="199"/>
        <v>OTP</v>
      </c>
      <c r="N1338">
        <f t="shared" ca="1" si="200"/>
        <v>6.4838043836708416E-7</v>
      </c>
    </row>
    <row r="1339" spans="6:14" x14ac:dyDescent="0.35">
      <c r="F1339">
        <f t="shared" si="208"/>
        <v>20</v>
      </c>
      <c r="G1339">
        <f t="shared" si="204"/>
        <v>17</v>
      </c>
      <c r="H1339">
        <f t="shared" si="205"/>
        <v>0</v>
      </c>
      <c r="K1339" t="str">
        <f t="shared" ca="1" si="201"/>
        <v>CNS</v>
      </c>
      <c r="L1339" t="str">
        <f t="shared" ca="1" si="202"/>
        <v>dom</v>
      </c>
      <c r="M1339" t="str">
        <f t="shared" ca="1" si="199"/>
        <v>OTP</v>
      </c>
      <c r="N1339">
        <f t="shared" ca="1" si="200"/>
        <v>943.85680828544639</v>
      </c>
    </row>
    <row r="1340" spans="6:14" x14ac:dyDescent="0.35">
      <c r="F1340">
        <f t="shared" si="208"/>
        <v>20</v>
      </c>
      <c r="G1340">
        <f t="shared" si="204"/>
        <v>18</v>
      </c>
      <c r="H1340">
        <f t="shared" si="205"/>
        <v>0</v>
      </c>
      <c r="K1340" t="str">
        <f t="shared" ca="1" si="201"/>
        <v>TRD</v>
      </c>
      <c r="L1340" t="str">
        <f t="shared" ca="1" si="202"/>
        <v>dom</v>
      </c>
      <c r="M1340" t="str">
        <f t="shared" ca="1" si="199"/>
        <v>OTP</v>
      </c>
      <c r="N1340">
        <f t="shared" ca="1" si="200"/>
        <v>150.91641089625554</v>
      </c>
    </row>
    <row r="1341" spans="6:14" x14ac:dyDescent="0.35">
      <c r="F1341">
        <f t="shared" si="208"/>
        <v>20</v>
      </c>
      <c r="G1341">
        <f t="shared" si="204"/>
        <v>19</v>
      </c>
      <c r="H1341">
        <f t="shared" si="205"/>
        <v>0</v>
      </c>
      <c r="K1341" t="str">
        <f t="shared" ca="1" si="201"/>
        <v>AFS</v>
      </c>
      <c r="L1341" t="str">
        <f t="shared" ca="1" si="202"/>
        <v>dom</v>
      </c>
      <c r="M1341" t="str">
        <f t="shared" ca="1" si="199"/>
        <v>OTP</v>
      </c>
      <c r="N1341">
        <f t="shared" ca="1" si="200"/>
        <v>6.4838043836708416E-7</v>
      </c>
    </row>
    <row r="1342" spans="6:14" x14ac:dyDescent="0.35">
      <c r="F1342">
        <f t="shared" si="208"/>
        <v>20</v>
      </c>
      <c r="G1342">
        <f t="shared" si="204"/>
        <v>20</v>
      </c>
      <c r="H1342">
        <f t="shared" si="205"/>
        <v>0</v>
      </c>
      <c r="K1342" t="str">
        <f t="shared" ca="1" si="201"/>
        <v>OTP</v>
      </c>
      <c r="L1342" t="str">
        <f t="shared" ca="1" si="202"/>
        <v>dom</v>
      </c>
      <c r="M1342" t="str">
        <f t="shared" ca="1" si="199"/>
        <v>OTP</v>
      </c>
      <c r="N1342">
        <f t="shared" ca="1" si="200"/>
        <v>6.4838043836708416E-7</v>
      </c>
    </row>
    <row r="1343" spans="6:14" x14ac:dyDescent="0.35">
      <c r="F1343">
        <f t="shared" si="208"/>
        <v>20</v>
      </c>
      <c r="G1343">
        <f t="shared" si="204"/>
        <v>21</v>
      </c>
      <c r="H1343">
        <f t="shared" si="205"/>
        <v>0</v>
      </c>
      <c r="K1343" t="str">
        <f t="shared" ca="1" si="201"/>
        <v>WTP</v>
      </c>
      <c r="L1343" t="str">
        <f t="shared" ca="1" si="202"/>
        <v>dom</v>
      </c>
      <c r="M1343" t="str">
        <f t="shared" ca="1" si="199"/>
        <v>OTP</v>
      </c>
      <c r="N1343">
        <f t="shared" ca="1" si="200"/>
        <v>6.4838043836708416E-7</v>
      </c>
    </row>
    <row r="1344" spans="6:14" x14ac:dyDescent="0.35">
      <c r="F1344">
        <f t="shared" si="208"/>
        <v>20</v>
      </c>
      <c r="G1344">
        <f t="shared" si="204"/>
        <v>22</v>
      </c>
      <c r="H1344">
        <f t="shared" si="205"/>
        <v>0</v>
      </c>
      <c r="K1344" t="str">
        <f t="shared" ca="1" si="201"/>
        <v>ATP</v>
      </c>
      <c r="L1344" t="str">
        <f t="shared" ca="1" si="202"/>
        <v>dom</v>
      </c>
      <c r="M1344" t="str">
        <f t="shared" ca="1" si="199"/>
        <v>OTP</v>
      </c>
      <c r="N1344">
        <f t="shared" ca="1" si="200"/>
        <v>6.4838043836708416E-7</v>
      </c>
    </row>
    <row r="1345" spans="6:14" x14ac:dyDescent="0.35">
      <c r="F1345">
        <f t="shared" si="208"/>
        <v>20</v>
      </c>
      <c r="G1345">
        <f t="shared" si="204"/>
        <v>23</v>
      </c>
      <c r="H1345">
        <f t="shared" si="205"/>
        <v>0</v>
      </c>
      <c r="K1345" t="str">
        <f t="shared" ca="1" si="201"/>
        <v>WHS</v>
      </c>
      <c r="L1345" t="str">
        <f t="shared" ca="1" si="202"/>
        <v>dom</v>
      </c>
      <c r="M1345" t="str">
        <f t="shared" ca="1" si="199"/>
        <v>OTP</v>
      </c>
      <c r="N1345">
        <f t="shared" ca="1" si="200"/>
        <v>6.4838043836708416E-7</v>
      </c>
    </row>
    <row r="1346" spans="6:14" x14ac:dyDescent="0.35">
      <c r="F1346">
        <f t="shared" si="208"/>
        <v>20</v>
      </c>
      <c r="G1346">
        <f t="shared" si="204"/>
        <v>24</v>
      </c>
      <c r="H1346">
        <f t="shared" si="205"/>
        <v>0</v>
      </c>
      <c r="K1346" t="str">
        <f t="shared" ca="1" si="201"/>
        <v>CMN</v>
      </c>
      <c r="L1346" t="str">
        <f t="shared" ca="1" si="202"/>
        <v>dom</v>
      </c>
      <c r="M1346" t="str">
        <f t="shared" ref="M1346:M1409" ca="1" si="209">OFFSET(A$2,F1346,0)</f>
        <v>OTP</v>
      </c>
      <c r="N1346">
        <f t="shared" ref="N1346:N1409" ca="1" si="210">SUMIFS(C:C,A:A,K1346,B:B,L1346)*SUMIFS(U:U,S:S,M1346)</f>
        <v>6.4838043836708416E-7</v>
      </c>
    </row>
    <row r="1347" spans="6:14" x14ac:dyDescent="0.35">
      <c r="F1347">
        <f t="shared" si="208"/>
        <v>20</v>
      </c>
      <c r="G1347">
        <f t="shared" si="204"/>
        <v>25</v>
      </c>
      <c r="H1347">
        <f t="shared" si="205"/>
        <v>0</v>
      </c>
      <c r="K1347" t="str">
        <f t="shared" ref="K1347:K1410" ca="1" si="211">OFFSET(A$2,G1347,0)</f>
        <v>OFI</v>
      </c>
      <c r="L1347" t="str">
        <f t="shared" ref="L1347:L1410" ca="1" si="212">OFFSET($V$3,H1347,0)</f>
        <v>dom</v>
      </c>
      <c r="M1347" t="str">
        <f t="shared" ca="1" si="209"/>
        <v>OTP</v>
      </c>
      <c r="N1347">
        <f t="shared" ca="1" si="210"/>
        <v>6.4838043836708416E-7</v>
      </c>
    </row>
    <row r="1348" spans="6:14" x14ac:dyDescent="0.35">
      <c r="F1348">
        <f t="shared" si="208"/>
        <v>20</v>
      </c>
      <c r="G1348">
        <f t="shared" si="204"/>
        <v>26</v>
      </c>
      <c r="H1348">
        <f t="shared" si="205"/>
        <v>0</v>
      </c>
      <c r="K1348" t="str">
        <f t="shared" ca="1" si="211"/>
        <v>RSA</v>
      </c>
      <c r="L1348" t="str">
        <f t="shared" ca="1" si="212"/>
        <v>dom</v>
      </c>
      <c r="M1348" t="str">
        <f t="shared" ca="1" si="209"/>
        <v>OTP</v>
      </c>
      <c r="N1348">
        <f t="shared" ca="1" si="210"/>
        <v>6.4838043836708416E-7</v>
      </c>
    </row>
    <row r="1349" spans="6:14" x14ac:dyDescent="0.35">
      <c r="F1349">
        <f t="shared" ref="F1349:F1364" si="213">F1283+1</f>
        <v>20</v>
      </c>
      <c r="G1349">
        <f t="shared" ref="G1349:G1412" si="214">G1316</f>
        <v>27</v>
      </c>
      <c r="H1349">
        <f t="shared" ref="H1349:H1412" si="215">H1283</f>
        <v>0</v>
      </c>
      <c r="K1349" t="str">
        <f t="shared" ca="1" si="211"/>
        <v>OBS</v>
      </c>
      <c r="L1349" t="str">
        <f t="shared" ca="1" si="212"/>
        <v>dom</v>
      </c>
      <c r="M1349" t="str">
        <f t="shared" ca="1" si="209"/>
        <v>OTP</v>
      </c>
      <c r="N1349">
        <f t="shared" ca="1" si="210"/>
        <v>6.4838043836708416E-7</v>
      </c>
    </row>
    <row r="1350" spans="6:14" x14ac:dyDescent="0.35">
      <c r="F1350">
        <f t="shared" si="213"/>
        <v>20</v>
      </c>
      <c r="G1350">
        <f t="shared" si="214"/>
        <v>28</v>
      </c>
      <c r="H1350">
        <f t="shared" si="215"/>
        <v>0</v>
      </c>
      <c r="K1350" t="str">
        <f t="shared" ca="1" si="211"/>
        <v>GOV</v>
      </c>
      <c r="L1350" t="str">
        <f t="shared" ca="1" si="212"/>
        <v>dom</v>
      </c>
      <c r="M1350" t="str">
        <f t="shared" ca="1" si="209"/>
        <v>OTP</v>
      </c>
      <c r="N1350">
        <f t="shared" ca="1" si="210"/>
        <v>6.4838043836708416E-7</v>
      </c>
    </row>
    <row r="1351" spans="6:14" x14ac:dyDescent="0.35">
      <c r="F1351">
        <f t="shared" si="213"/>
        <v>20</v>
      </c>
      <c r="G1351">
        <f t="shared" si="214"/>
        <v>29</v>
      </c>
      <c r="H1351">
        <f t="shared" si="215"/>
        <v>0</v>
      </c>
      <c r="K1351" t="str">
        <f t="shared" ca="1" si="211"/>
        <v>EDU</v>
      </c>
      <c r="L1351" t="str">
        <f t="shared" ca="1" si="212"/>
        <v>dom</v>
      </c>
      <c r="M1351" t="str">
        <f t="shared" ca="1" si="209"/>
        <v>OTP</v>
      </c>
      <c r="N1351">
        <f t="shared" ca="1" si="210"/>
        <v>6.4838043836708416E-7</v>
      </c>
    </row>
    <row r="1352" spans="6:14" x14ac:dyDescent="0.35">
      <c r="F1352">
        <f t="shared" si="213"/>
        <v>20</v>
      </c>
      <c r="G1352">
        <f t="shared" si="214"/>
        <v>30</v>
      </c>
      <c r="H1352">
        <f t="shared" si="215"/>
        <v>0</v>
      </c>
      <c r="K1352" t="str">
        <f t="shared" ca="1" si="211"/>
        <v>HHT</v>
      </c>
      <c r="L1352" t="str">
        <f t="shared" ca="1" si="212"/>
        <v>dom</v>
      </c>
      <c r="M1352" t="str">
        <f t="shared" ca="1" si="209"/>
        <v>OTP</v>
      </c>
      <c r="N1352">
        <f t="shared" ca="1" si="210"/>
        <v>6.4838043836708416E-7</v>
      </c>
    </row>
    <row r="1353" spans="6:14" x14ac:dyDescent="0.35">
      <c r="F1353">
        <f t="shared" si="213"/>
        <v>20</v>
      </c>
      <c r="G1353">
        <f t="shared" si="214"/>
        <v>31</v>
      </c>
      <c r="H1353">
        <f t="shared" si="215"/>
        <v>0</v>
      </c>
      <c r="K1353" t="str">
        <f t="shared" ca="1" si="211"/>
        <v>REC</v>
      </c>
      <c r="L1353" t="str">
        <f t="shared" ca="1" si="212"/>
        <v>dom</v>
      </c>
      <c r="M1353" t="str">
        <f t="shared" ca="1" si="209"/>
        <v>OTP</v>
      </c>
      <c r="N1353">
        <f t="shared" ca="1" si="210"/>
        <v>6.4838043836708416E-7</v>
      </c>
    </row>
    <row r="1354" spans="6:14" x14ac:dyDescent="0.35">
      <c r="F1354">
        <f t="shared" si="213"/>
        <v>20</v>
      </c>
      <c r="G1354">
        <f t="shared" si="214"/>
        <v>32</v>
      </c>
      <c r="H1354">
        <f t="shared" si="215"/>
        <v>0</v>
      </c>
      <c r="K1354" t="str">
        <f t="shared" ca="1" si="211"/>
        <v>DWE</v>
      </c>
      <c r="L1354" t="str">
        <f t="shared" ca="1" si="212"/>
        <v>dom</v>
      </c>
      <c r="M1354" t="str">
        <f t="shared" ca="1" si="209"/>
        <v>OTP</v>
      </c>
      <c r="N1354">
        <f t="shared" ca="1" si="210"/>
        <v>6.4838043836708416E-7</v>
      </c>
    </row>
    <row r="1355" spans="6:14" x14ac:dyDescent="0.35">
      <c r="F1355">
        <f t="shared" si="213"/>
        <v>20</v>
      </c>
      <c r="G1355">
        <f t="shared" si="214"/>
        <v>0</v>
      </c>
      <c r="H1355">
        <f t="shared" si="215"/>
        <v>1</v>
      </c>
      <c r="K1355" t="str">
        <f t="shared" ca="1" si="211"/>
        <v>AG</v>
      </c>
      <c r="L1355" t="str">
        <f t="shared" ca="1" si="212"/>
        <v>imp</v>
      </c>
      <c r="M1355" t="str">
        <f t="shared" ca="1" si="209"/>
        <v>OTP</v>
      </c>
      <c r="N1355">
        <f t="shared" ca="1" si="210"/>
        <v>5.9987017278916204</v>
      </c>
    </row>
    <row r="1356" spans="6:14" x14ac:dyDescent="0.35">
      <c r="F1356">
        <f t="shared" si="213"/>
        <v>20</v>
      </c>
      <c r="G1356">
        <f t="shared" si="214"/>
        <v>1</v>
      </c>
      <c r="H1356">
        <f t="shared" si="215"/>
        <v>1</v>
      </c>
      <c r="K1356" t="str">
        <f t="shared" ca="1" si="211"/>
        <v>MIN</v>
      </c>
      <c r="L1356" t="str">
        <f t="shared" ca="1" si="212"/>
        <v>imp</v>
      </c>
      <c r="M1356" t="str">
        <f t="shared" ca="1" si="209"/>
        <v>OTP</v>
      </c>
      <c r="N1356">
        <f t="shared" ca="1" si="210"/>
        <v>9.4637419459174463</v>
      </c>
    </row>
    <row r="1357" spans="6:14" x14ac:dyDescent="0.35">
      <c r="F1357">
        <f t="shared" si="213"/>
        <v>20</v>
      </c>
      <c r="G1357">
        <f t="shared" si="214"/>
        <v>2</v>
      </c>
      <c r="H1357">
        <f t="shared" si="215"/>
        <v>1</v>
      </c>
      <c r="K1357" t="str">
        <f t="shared" ca="1" si="211"/>
        <v>FBT</v>
      </c>
      <c r="L1357" t="str">
        <f t="shared" ca="1" si="212"/>
        <v>imp</v>
      </c>
      <c r="M1357" t="str">
        <f t="shared" ca="1" si="209"/>
        <v>OTP</v>
      </c>
      <c r="N1357">
        <f t="shared" ca="1" si="210"/>
        <v>2.3681185186543474</v>
      </c>
    </row>
    <row r="1358" spans="6:14" x14ac:dyDescent="0.35">
      <c r="F1358">
        <f t="shared" si="213"/>
        <v>20</v>
      </c>
      <c r="G1358">
        <f t="shared" si="214"/>
        <v>3</v>
      </c>
      <c r="H1358">
        <f t="shared" si="215"/>
        <v>1</v>
      </c>
      <c r="K1358" t="str">
        <f t="shared" ca="1" si="211"/>
        <v>TEX</v>
      </c>
      <c r="L1358" t="str">
        <f t="shared" ca="1" si="212"/>
        <v>imp</v>
      </c>
      <c r="M1358" t="str">
        <f t="shared" ca="1" si="209"/>
        <v>OTP</v>
      </c>
      <c r="N1358">
        <f t="shared" ca="1" si="210"/>
        <v>46.471995511173482</v>
      </c>
    </row>
    <row r="1359" spans="6:14" x14ac:dyDescent="0.35">
      <c r="F1359">
        <f t="shared" si="213"/>
        <v>20</v>
      </c>
      <c r="G1359">
        <f t="shared" si="214"/>
        <v>4</v>
      </c>
      <c r="H1359">
        <f t="shared" si="215"/>
        <v>1</v>
      </c>
      <c r="K1359" t="str">
        <f t="shared" ca="1" si="211"/>
        <v>LEATHER</v>
      </c>
      <c r="L1359" t="str">
        <f t="shared" ca="1" si="212"/>
        <v>imp</v>
      </c>
      <c r="M1359" t="str">
        <f t="shared" ca="1" si="209"/>
        <v>OTP</v>
      </c>
      <c r="N1359">
        <f t="shared" ca="1" si="210"/>
        <v>24.219785643024718</v>
      </c>
    </row>
    <row r="1360" spans="6:14" x14ac:dyDescent="0.35">
      <c r="F1360">
        <f t="shared" si="213"/>
        <v>20</v>
      </c>
      <c r="G1360">
        <f t="shared" si="214"/>
        <v>5</v>
      </c>
      <c r="H1360">
        <f t="shared" si="215"/>
        <v>1</v>
      </c>
      <c r="K1360" t="str">
        <f t="shared" ca="1" si="211"/>
        <v>WOOD</v>
      </c>
      <c r="L1360" t="str">
        <f t="shared" ca="1" si="212"/>
        <v>imp</v>
      </c>
      <c r="M1360" t="str">
        <f t="shared" ca="1" si="209"/>
        <v>OTP</v>
      </c>
      <c r="N1360">
        <f t="shared" ca="1" si="210"/>
        <v>0.43351644035289816</v>
      </c>
    </row>
    <row r="1361" spans="6:14" x14ac:dyDescent="0.35">
      <c r="F1361">
        <f t="shared" si="213"/>
        <v>20</v>
      </c>
      <c r="G1361">
        <f t="shared" si="214"/>
        <v>6</v>
      </c>
      <c r="H1361">
        <f t="shared" si="215"/>
        <v>1</v>
      </c>
      <c r="K1361" t="str">
        <f t="shared" ca="1" si="211"/>
        <v>PPP</v>
      </c>
      <c r="L1361" t="str">
        <f t="shared" ca="1" si="212"/>
        <v>imp</v>
      </c>
      <c r="M1361" t="str">
        <f t="shared" ca="1" si="209"/>
        <v>OTP</v>
      </c>
      <c r="N1361">
        <f t="shared" ca="1" si="210"/>
        <v>6.2425929977675922</v>
      </c>
    </row>
    <row r="1362" spans="6:14" x14ac:dyDescent="0.35">
      <c r="F1362">
        <f t="shared" si="213"/>
        <v>20</v>
      </c>
      <c r="G1362">
        <f t="shared" si="214"/>
        <v>7</v>
      </c>
      <c r="H1362">
        <f t="shared" si="215"/>
        <v>1</v>
      </c>
      <c r="K1362" t="str">
        <f t="shared" ca="1" si="211"/>
        <v>PC</v>
      </c>
      <c r="L1362" t="str">
        <f t="shared" ca="1" si="212"/>
        <v>imp</v>
      </c>
      <c r="M1362" t="str">
        <f t="shared" ca="1" si="209"/>
        <v>OTP</v>
      </c>
      <c r="N1362">
        <f t="shared" ca="1" si="210"/>
        <v>1.5719583228853511</v>
      </c>
    </row>
    <row r="1363" spans="6:14" x14ac:dyDescent="0.35">
      <c r="F1363">
        <f t="shared" si="213"/>
        <v>20</v>
      </c>
      <c r="G1363">
        <f t="shared" si="214"/>
        <v>8</v>
      </c>
      <c r="H1363">
        <f t="shared" si="215"/>
        <v>1</v>
      </c>
      <c r="K1363" t="str">
        <f t="shared" ca="1" si="211"/>
        <v>CHM</v>
      </c>
      <c r="L1363" t="str">
        <f t="shared" ca="1" si="212"/>
        <v>imp</v>
      </c>
      <c r="M1363" t="str">
        <f t="shared" ca="1" si="209"/>
        <v>OTP</v>
      </c>
      <c r="N1363">
        <f t="shared" ca="1" si="210"/>
        <v>21.548923899394627</v>
      </c>
    </row>
    <row r="1364" spans="6:14" x14ac:dyDescent="0.35">
      <c r="F1364">
        <f t="shared" si="213"/>
        <v>20</v>
      </c>
      <c r="G1364">
        <f t="shared" si="214"/>
        <v>9</v>
      </c>
      <c r="H1364">
        <f t="shared" si="215"/>
        <v>1</v>
      </c>
      <c r="K1364" t="str">
        <f t="shared" ca="1" si="211"/>
        <v>RUBBER</v>
      </c>
      <c r="L1364" t="str">
        <f t="shared" ca="1" si="212"/>
        <v>imp</v>
      </c>
      <c r="M1364" t="str">
        <f t="shared" ca="1" si="209"/>
        <v>OTP</v>
      </c>
      <c r="N1364">
        <f t="shared" ca="1" si="210"/>
        <v>16.503611557235736</v>
      </c>
    </row>
    <row r="1365" spans="6:14" x14ac:dyDescent="0.35">
      <c r="F1365">
        <f t="shared" ref="F1365:F1380" si="216">F1299+1</f>
        <v>20</v>
      </c>
      <c r="G1365">
        <f t="shared" si="214"/>
        <v>10</v>
      </c>
      <c r="H1365">
        <f t="shared" si="215"/>
        <v>1</v>
      </c>
      <c r="K1365" t="str">
        <f t="shared" ca="1" si="211"/>
        <v>NMM</v>
      </c>
      <c r="L1365" t="str">
        <f t="shared" ca="1" si="212"/>
        <v>imp</v>
      </c>
      <c r="M1365" t="str">
        <f t="shared" ca="1" si="209"/>
        <v>OTP</v>
      </c>
      <c r="N1365">
        <f t="shared" ca="1" si="210"/>
        <v>6.2299050280861827</v>
      </c>
    </row>
    <row r="1366" spans="6:14" x14ac:dyDescent="0.35">
      <c r="F1366">
        <f t="shared" si="216"/>
        <v>20</v>
      </c>
      <c r="G1366">
        <f t="shared" si="214"/>
        <v>11</v>
      </c>
      <c r="H1366">
        <f t="shared" si="215"/>
        <v>1</v>
      </c>
      <c r="K1366" t="str">
        <f t="shared" ca="1" si="211"/>
        <v>METAL</v>
      </c>
      <c r="L1366" t="str">
        <f t="shared" ca="1" si="212"/>
        <v>imp</v>
      </c>
      <c r="M1366" t="str">
        <f t="shared" ca="1" si="209"/>
        <v>OTP</v>
      </c>
      <c r="N1366">
        <f t="shared" ca="1" si="210"/>
        <v>77.980579351766323</v>
      </c>
    </row>
    <row r="1367" spans="6:14" x14ac:dyDescent="0.35">
      <c r="F1367">
        <f t="shared" si="216"/>
        <v>20</v>
      </c>
      <c r="G1367">
        <f t="shared" si="214"/>
        <v>12</v>
      </c>
      <c r="H1367">
        <f t="shared" si="215"/>
        <v>1</v>
      </c>
      <c r="K1367" t="str">
        <f t="shared" ca="1" si="211"/>
        <v>MACH</v>
      </c>
      <c r="L1367" t="str">
        <f t="shared" ca="1" si="212"/>
        <v>imp</v>
      </c>
      <c r="M1367" t="str">
        <f t="shared" ca="1" si="209"/>
        <v>OTP</v>
      </c>
      <c r="N1367">
        <f t="shared" ca="1" si="210"/>
        <v>298.72581026965008</v>
      </c>
    </row>
    <row r="1368" spans="6:14" x14ac:dyDescent="0.35">
      <c r="F1368">
        <f t="shared" si="216"/>
        <v>20</v>
      </c>
      <c r="G1368">
        <f t="shared" si="214"/>
        <v>13</v>
      </c>
      <c r="H1368">
        <f t="shared" si="215"/>
        <v>1</v>
      </c>
      <c r="K1368" t="str">
        <f t="shared" ca="1" si="211"/>
        <v>ELEC</v>
      </c>
      <c r="L1368" t="str">
        <f t="shared" ca="1" si="212"/>
        <v>imp</v>
      </c>
      <c r="M1368" t="str">
        <f t="shared" ca="1" si="209"/>
        <v>OTP</v>
      </c>
      <c r="N1368">
        <f t="shared" ca="1" si="210"/>
        <v>160.16766712845714</v>
      </c>
    </row>
    <row r="1369" spans="6:14" x14ac:dyDescent="0.35">
      <c r="F1369">
        <f t="shared" si="216"/>
        <v>20</v>
      </c>
      <c r="G1369">
        <f t="shared" si="214"/>
        <v>14</v>
      </c>
      <c r="H1369">
        <f t="shared" si="215"/>
        <v>1</v>
      </c>
      <c r="K1369" t="str">
        <f t="shared" ca="1" si="211"/>
        <v>TRNEQUIP</v>
      </c>
      <c r="L1369" t="str">
        <f t="shared" ca="1" si="212"/>
        <v>imp</v>
      </c>
      <c r="M1369" t="str">
        <f t="shared" ca="1" si="209"/>
        <v>OTP</v>
      </c>
      <c r="N1369">
        <f t="shared" ca="1" si="210"/>
        <v>255.60958120497358</v>
      </c>
    </row>
    <row r="1370" spans="6:14" x14ac:dyDescent="0.35">
      <c r="F1370">
        <f t="shared" si="216"/>
        <v>20</v>
      </c>
      <c r="G1370">
        <f t="shared" si="214"/>
        <v>15</v>
      </c>
      <c r="H1370">
        <f t="shared" si="215"/>
        <v>1</v>
      </c>
      <c r="K1370" t="str">
        <f t="shared" ca="1" si="211"/>
        <v>ROMAN</v>
      </c>
      <c r="L1370" t="str">
        <f t="shared" ca="1" si="212"/>
        <v>imp</v>
      </c>
      <c r="M1370" t="str">
        <f t="shared" ca="1" si="209"/>
        <v>OTP</v>
      </c>
      <c r="N1370">
        <f t="shared" ca="1" si="210"/>
        <v>96.987137120451905</v>
      </c>
    </row>
    <row r="1371" spans="6:14" x14ac:dyDescent="0.35">
      <c r="F1371">
        <f t="shared" si="216"/>
        <v>20</v>
      </c>
      <c r="G1371">
        <f t="shared" si="214"/>
        <v>16</v>
      </c>
      <c r="H1371">
        <f t="shared" si="215"/>
        <v>1</v>
      </c>
      <c r="K1371" t="str">
        <f t="shared" ca="1" si="211"/>
        <v>ELYGASWTR</v>
      </c>
      <c r="L1371" t="str">
        <f t="shared" ca="1" si="212"/>
        <v>imp</v>
      </c>
      <c r="M1371" t="str">
        <f t="shared" ca="1" si="209"/>
        <v>OTP</v>
      </c>
      <c r="N1371">
        <f t="shared" ca="1" si="210"/>
        <v>6.4838043836708416E-7</v>
      </c>
    </row>
    <row r="1372" spans="6:14" x14ac:dyDescent="0.35">
      <c r="F1372">
        <f t="shared" si="216"/>
        <v>20</v>
      </c>
      <c r="G1372">
        <f t="shared" si="214"/>
        <v>17</v>
      </c>
      <c r="H1372">
        <f t="shared" si="215"/>
        <v>1</v>
      </c>
      <c r="K1372" t="str">
        <f t="shared" ca="1" si="211"/>
        <v>CNS</v>
      </c>
      <c r="L1372" t="str">
        <f t="shared" ca="1" si="212"/>
        <v>imp</v>
      </c>
      <c r="M1372" t="str">
        <f t="shared" ca="1" si="209"/>
        <v>OTP</v>
      </c>
      <c r="N1372">
        <f t="shared" ca="1" si="210"/>
        <v>18.985791046877289</v>
      </c>
    </row>
    <row r="1373" spans="6:14" x14ac:dyDescent="0.35">
      <c r="F1373">
        <f t="shared" si="216"/>
        <v>20</v>
      </c>
      <c r="G1373">
        <f t="shared" si="214"/>
        <v>18</v>
      </c>
      <c r="H1373">
        <f t="shared" si="215"/>
        <v>1</v>
      </c>
      <c r="K1373" t="str">
        <f t="shared" ca="1" si="211"/>
        <v>TRD</v>
      </c>
      <c r="L1373" t="str">
        <f t="shared" ca="1" si="212"/>
        <v>imp</v>
      </c>
      <c r="M1373" t="str">
        <f t="shared" ca="1" si="209"/>
        <v>OTP</v>
      </c>
      <c r="N1373">
        <f t="shared" ca="1" si="210"/>
        <v>1.6611284501304659</v>
      </c>
    </row>
    <row r="1374" spans="6:14" x14ac:dyDescent="0.35">
      <c r="F1374">
        <f t="shared" si="216"/>
        <v>20</v>
      </c>
      <c r="G1374">
        <f t="shared" si="214"/>
        <v>19</v>
      </c>
      <c r="H1374">
        <f t="shared" si="215"/>
        <v>1</v>
      </c>
      <c r="K1374" t="str">
        <f t="shared" ca="1" si="211"/>
        <v>AFS</v>
      </c>
      <c r="L1374" t="str">
        <f t="shared" ca="1" si="212"/>
        <v>imp</v>
      </c>
      <c r="M1374" t="str">
        <f t="shared" ca="1" si="209"/>
        <v>OTP</v>
      </c>
      <c r="N1374">
        <f t="shared" ca="1" si="210"/>
        <v>6.4838043836708416E-7</v>
      </c>
    </row>
    <row r="1375" spans="6:14" x14ac:dyDescent="0.35">
      <c r="F1375">
        <f t="shared" si="216"/>
        <v>20</v>
      </c>
      <c r="G1375">
        <f t="shared" si="214"/>
        <v>20</v>
      </c>
      <c r="H1375">
        <f t="shared" si="215"/>
        <v>1</v>
      </c>
      <c r="K1375" t="str">
        <f t="shared" ca="1" si="211"/>
        <v>OTP</v>
      </c>
      <c r="L1375" t="str">
        <f t="shared" ca="1" si="212"/>
        <v>imp</v>
      </c>
      <c r="M1375" t="str">
        <f t="shared" ca="1" si="209"/>
        <v>OTP</v>
      </c>
      <c r="N1375">
        <f t="shared" ca="1" si="210"/>
        <v>6.4838043836708416E-7</v>
      </c>
    </row>
    <row r="1376" spans="6:14" x14ac:dyDescent="0.35">
      <c r="F1376">
        <f t="shared" si="216"/>
        <v>20</v>
      </c>
      <c r="G1376">
        <f t="shared" si="214"/>
        <v>21</v>
      </c>
      <c r="H1376">
        <f t="shared" si="215"/>
        <v>1</v>
      </c>
      <c r="K1376" t="str">
        <f t="shared" ca="1" si="211"/>
        <v>WTP</v>
      </c>
      <c r="L1376" t="str">
        <f t="shared" ca="1" si="212"/>
        <v>imp</v>
      </c>
      <c r="M1376" t="str">
        <f t="shared" ca="1" si="209"/>
        <v>OTP</v>
      </c>
      <c r="N1376">
        <f t="shared" ca="1" si="210"/>
        <v>6.4838043836708416E-7</v>
      </c>
    </row>
    <row r="1377" spans="6:14" x14ac:dyDescent="0.35">
      <c r="F1377">
        <f t="shared" si="216"/>
        <v>20</v>
      </c>
      <c r="G1377">
        <f t="shared" si="214"/>
        <v>22</v>
      </c>
      <c r="H1377">
        <f t="shared" si="215"/>
        <v>1</v>
      </c>
      <c r="K1377" t="str">
        <f t="shared" ca="1" si="211"/>
        <v>ATP</v>
      </c>
      <c r="L1377" t="str">
        <f t="shared" ca="1" si="212"/>
        <v>imp</v>
      </c>
      <c r="M1377" t="str">
        <f t="shared" ca="1" si="209"/>
        <v>OTP</v>
      </c>
      <c r="N1377">
        <f t="shared" ca="1" si="210"/>
        <v>6.4838043836708416E-7</v>
      </c>
    </row>
    <row r="1378" spans="6:14" x14ac:dyDescent="0.35">
      <c r="F1378">
        <f t="shared" si="216"/>
        <v>20</v>
      </c>
      <c r="G1378">
        <f t="shared" si="214"/>
        <v>23</v>
      </c>
      <c r="H1378">
        <f t="shared" si="215"/>
        <v>1</v>
      </c>
      <c r="K1378" t="str">
        <f t="shared" ca="1" si="211"/>
        <v>WHS</v>
      </c>
      <c r="L1378" t="str">
        <f t="shared" ca="1" si="212"/>
        <v>imp</v>
      </c>
      <c r="M1378" t="str">
        <f t="shared" ca="1" si="209"/>
        <v>OTP</v>
      </c>
      <c r="N1378">
        <f t="shared" ca="1" si="210"/>
        <v>6.4838043836708416E-7</v>
      </c>
    </row>
    <row r="1379" spans="6:14" x14ac:dyDescent="0.35">
      <c r="F1379">
        <f t="shared" si="216"/>
        <v>20</v>
      </c>
      <c r="G1379">
        <f t="shared" si="214"/>
        <v>24</v>
      </c>
      <c r="H1379">
        <f t="shared" si="215"/>
        <v>1</v>
      </c>
      <c r="K1379" t="str">
        <f t="shared" ca="1" si="211"/>
        <v>CMN</v>
      </c>
      <c r="L1379" t="str">
        <f t="shared" ca="1" si="212"/>
        <v>imp</v>
      </c>
      <c r="M1379" t="str">
        <f t="shared" ca="1" si="209"/>
        <v>OTP</v>
      </c>
      <c r="N1379">
        <f t="shared" ca="1" si="210"/>
        <v>6.4838043836708416E-7</v>
      </c>
    </row>
    <row r="1380" spans="6:14" x14ac:dyDescent="0.35">
      <c r="F1380">
        <f t="shared" si="216"/>
        <v>20</v>
      </c>
      <c r="G1380">
        <f t="shared" si="214"/>
        <v>25</v>
      </c>
      <c r="H1380">
        <f t="shared" si="215"/>
        <v>1</v>
      </c>
      <c r="K1380" t="str">
        <f t="shared" ca="1" si="211"/>
        <v>OFI</v>
      </c>
      <c r="L1380" t="str">
        <f t="shared" ca="1" si="212"/>
        <v>imp</v>
      </c>
      <c r="M1380" t="str">
        <f t="shared" ca="1" si="209"/>
        <v>OTP</v>
      </c>
      <c r="N1380">
        <f t="shared" ca="1" si="210"/>
        <v>6.4838043836708416E-7</v>
      </c>
    </row>
    <row r="1381" spans="6:14" x14ac:dyDescent="0.35">
      <c r="F1381">
        <f t="shared" ref="F1381:F1396" si="217">F1315+1</f>
        <v>20</v>
      </c>
      <c r="G1381">
        <f t="shared" si="214"/>
        <v>26</v>
      </c>
      <c r="H1381">
        <f t="shared" si="215"/>
        <v>1</v>
      </c>
      <c r="K1381" t="str">
        <f t="shared" ca="1" si="211"/>
        <v>RSA</v>
      </c>
      <c r="L1381" t="str">
        <f t="shared" ca="1" si="212"/>
        <v>imp</v>
      </c>
      <c r="M1381" t="str">
        <f t="shared" ca="1" si="209"/>
        <v>OTP</v>
      </c>
      <c r="N1381">
        <f t="shared" ca="1" si="210"/>
        <v>6.4838043836708416E-7</v>
      </c>
    </row>
    <row r="1382" spans="6:14" x14ac:dyDescent="0.35">
      <c r="F1382">
        <f t="shared" si="217"/>
        <v>20</v>
      </c>
      <c r="G1382">
        <f t="shared" si="214"/>
        <v>27</v>
      </c>
      <c r="H1382">
        <f t="shared" si="215"/>
        <v>1</v>
      </c>
      <c r="K1382" t="str">
        <f t="shared" ca="1" si="211"/>
        <v>OBS</v>
      </c>
      <c r="L1382" t="str">
        <f t="shared" ca="1" si="212"/>
        <v>imp</v>
      </c>
      <c r="M1382" t="str">
        <f t="shared" ca="1" si="209"/>
        <v>OTP</v>
      </c>
      <c r="N1382">
        <f t="shared" ca="1" si="210"/>
        <v>6.4838043836708416E-7</v>
      </c>
    </row>
    <row r="1383" spans="6:14" x14ac:dyDescent="0.35">
      <c r="F1383">
        <f t="shared" si="217"/>
        <v>20</v>
      </c>
      <c r="G1383">
        <f t="shared" si="214"/>
        <v>28</v>
      </c>
      <c r="H1383">
        <f t="shared" si="215"/>
        <v>1</v>
      </c>
      <c r="K1383" t="str">
        <f t="shared" ca="1" si="211"/>
        <v>GOV</v>
      </c>
      <c r="L1383" t="str">
        <f t="shared" ca="1" si="212"/>
        <v>imp</v>
      </c>
      <c r="M1383" t="str">
        <f t="shared" ca="1" si="209"/>
        <v>OTP</v>
      </c>
      <c r="N1383">
        <f t="shared" ca="1" si="210"/>
        <v>6.4838043836708416E-7</v>
      </c>
    </row>
    <row r="1384" spans="6:14" x14ac:dyDescent="0.35">
      <c r="F1384">
        <f t="shared" si="217"/>
        <v>20</v>
      </c>
      <c r="G1384">
        <f t="shared" si="214"/>
        <v>29</v>
      </c>
      <c r="H1384">
        <f t="shared" si="215"/>
        <v>1</v>
      </c>
      <c r="K1384" t="str">
        <f t="shared" ca="1" si="211"/>
        <v>EDU</v>
      </c>
      <c r="L1384" t="str">
        <f t="shared" ca="1" si="212"/>
        <v>imp</v>
      </c>
      <c r="M1384" t="str">
        <f t="shared" ca="1" si="209"/>
        <v>OTP</v>
      </c>
      <c r="N1384">
        <f t="shared" ca="1" si="210"/>
        <v>6.4838043836708416E-7</v>
      </c>
    </row>
    <row r="1385" spans="6:14" x14ac:dyDescent="0.35">
      <c r="F1385">
        <f t="shared" si="217"/>
        <v>20</v>
      </c>
      <c r="G1385">
        <f t="shared" si="214"/>
        <v>30</v>
      </c>
      <c r="H1385">
        <f t="shared" si="215"/>
        <v>1</v>
      </c>
      <c r="K1385" t="str">
        <f t="shared" ca="1" si="211"/>
        <v>HHT</v>
      </c>
      <c r="L1385" t="str">
        <f t="shared" ca="1" si="212"/>
        <v>imp</v>
      </c>
      <c r="M1385" t="str">
        <f t="shared" ca="1" si="209"/>
        <v>OTP</v>
      </c>
      <c r="N1385">
        <f t="shared" ca="1" si="210"/>
        <v>6.4838043836708416E-7</v>
      </c>
    </row>
    <row r="1386" spans="6:14" x14ac:dyDescent="0.35">
      <c r="F1386">
        <f t="shared" si="217"/>
        <v>20</v>
      </c>
      <c r="G1386">
        <f t="shared" si="214"/>
        <v>31</v>
      </c>
      <c r="H1386">
        <f t="shared" si="215"/>
        <v>1</v>
      </c>
      <c r="K1386" t="str">
        <f t="shared" ca="1" si="211"/>
        <v>REC</v>
      </c>
      <c r="L1386" t="str">
        <f t="shared" ca="1" si="212"/>
        <v>imp</v>
      </c>
      <c r="M1386" t="str">
        <f t="shared" ca="1" si="209"/>
        <v>OTP</v>
      </c>
      <c r="N1386">
        <f t="shared" ca="1" si="210"/>
        <v>6.4838043836708416E-7</v>
      </c>
    </row>
    <row r="1387" spans="6:14" x14ac:dyDescent="0.35">
      <c r="F1387">
        <f t="shared" si="217"/>
        <v>20</v>
      </c>
      <c r="G1387">
        <f t="shared" si="214"/>
        <v>32</v>
      </c>
      <c r="H1387">
        <f t="shared" si="215"/>
        <v>1</v>
      </c>
      <c r="K1387" t="str">
        <f t="shared" ca="1" si="211"/>
        <v>DWE</v>
      </c>
      <c r="L1387" t="str">
        <f t="shared" ca="1" si="212"/>
        <v>imp</v>
      </c>
      <c r="M1387" t="str">
        <f t="shared" ca="1" si="209"/>
        <v>OTP</v>
      </c>
      <c r="N1387">
        <f t="shared" ca="1" si="210"/>
        <v>6.4838043836708416E-7</v>
      </c>
    </row>
    <row r="1388" spans="6:14" x14ac:dyDescent="0.35">
      <c r="F1388">
        <f t="shared" si="217"/>
        <v>21</v>
      </c>
      <c r="G1388">
        <f t="shared" si="214"/>
        <v>0</v>
      </c>
      <c r="H1388">
        <f t="shared" si="215"/>
        <v>0</v>
      </c>
      <c r="K1388" t="str">
        <f t="shared" ca="1" si="211"/>
        <v>AG</v>
      </c>
      <c r="L1388" t="str">
        <f t="shared" ca="1" si="212"/>
        <v>dom</v>
      </c>
      <c r="M1388" t="str">
        <f t="shared" ca="1" si="209"/>
        <v>WTP</v>
      </c>
      <c r="N1388">
        <f t="shared" ca="1" si="210"/>
        <v>3.9797971127332674E-2</v>
      </c>
    </row>
    <row r="1389" spans="6:14" x14ac:dyDescent="0.35">
      <c r="F1389">
        <f t="shared" si="217"/>
        <v>21</v>
      </c>
      <c r="G1389">
        <f t="shared" si="214"/>
        <v>1</v>
      </c>
      <c r="H1389">
        <f t="shared" si="215"/>
        <v>0</v>
      </c>
      <c r="K1389" t="str">
        <f t="shared" ca="1" si="211"/>
        <v>MIN</v>
      </c>
      <c r="L1389" t="str">
        <f t="shared" ca="1" si="212"/>
        <v>dom</v>
      </c>
      <c r="M1389" t="str">
        <f t="shared" ca="1" si="209"/>
        <v>WTP</v>
      </c>
      <c r="N1389">
        <f t="shared" ca="1" si="210"/>
        <v>6.942426285509691E-2</v>
      </c>
    </row>
    <row r="1390" spans="6:14" x14ac:dyDescent="0.35">
      <c r="F1390">
        <f t="shared" si="217"/>
        <v>21</v>
      </c>
      <c r="G1390">
        <f t="shared" si="214"/>
        <v>2</v>
      </c>
      <c r="H1390">
        <f t="shared" si="215"/>
        <v>0</v>
      </c>
      <c r="K1390" t="str">
        <f t="shared" ca="1" si="211"/>
        <v>FBT</v>
      </c>
      <c r="L1390" t="str">
        <f t="shared" ca="1" si="212"/>
        <v>dom</v>
      </c>
      <c r="M1390" t="str">
        <f t="shared" ca="1" si="209"/>
        <v>WTP</v>
      </c>
      <c r="N1390">
        <f t="shared" ca="1" si="210"/>
        <v>0.11689580057093941</v>
      </c>
    </row>
    <row r="1391" spans="6:14" x14ac:dyDescent="0.35">
      <c r="F1391">
        <f t="shared" si="217"/>
        <v>21</v>
      </c>
      <c r="G1391">
        <f t="shared" si="214"/>
        <v>3</v>
      </c>
      <c r="H1391">
        <f t="shared" si="215"/>
        <v>0</v>
      </c>
      <c r="K1391" t="str">
        <f t="shared" ca="1" si="211"/>
        <v>TEX</v>
      </c>
      <c r="L1391" t="str">
        <f t="shared" ca="1" si="212"/>
        <v>dom</v>
      </c>
      <c r="M1391" t="str">
        <f t="shared" ca="1" si="209"/>
        <v>WTP</v>
      </c>
      <c r="N1391">
        <f t="shared" ca="1" si="210"/>
        <v>0.60889304514698095</v>
      </c>
    </row>
    <row r="1392" spans="6:14" x14ac:dyDescent="0.35">
      <c r="F1392">
        <f t="shared" si="217"/>
        <v>21</v>
      </c>
      <c r="G1392">
        <f t="shared" si="214"/>
        <v>4</v>
      </c>
      <c r="H1392">
        <f t="shared" si="215"/>
        <v>0</v>
      </c>
      <c r="K1392" t="str">
        <f t="shared" ca="1" si="211"/>
        <v>LEATHER</v>
      </c>
      <c r="L1392" t="str">
        <f t="shared" ca="1" si="212"/>
        <v>dom</v>
      </c>
      <c r="M1392" t="str">
        <f t="shared" ca="1" si="209"/>
        <v>WTP</v>
      </c>
      <c r="N1392">
        <f t="shared" ca="1" si="210"/>
        <v>4.3205943160914972E-3</v>
      </c>
    </row>
    <row r="1393" spans="6:14" x14ac:dyDescent="0.35">
      <c r="F1393">
        <f t="shared" si="217"/>
        <v>21</v>
      </c>
      <c r="G1393">
        <f t="shared" si="214"/>
        <v>5</v>
      </c>
      <c r="H1393">
        <f t="shared" si="215"/>
        <v>0</v>
      </c>
      <c r="K1393" t="str">
        <f t="shared" ca="1" si="211"/>
        <v>WOOD</v>
      </c>
      <c r="L1393" t="str">
        <f t="shared" ca="1" si="212"/>
        <v>dom</v>
      </c>
      <c r="M1393" t="str">
        <f t="shared" ca="1" si="209"/>
        <v>WTP</v>
      </c>
      <c r="N1393">
        <f t="shared" ca="1" si="210"/>
        <v>2.6597224529392366E-2</v>
      </c>
    </row>
    <row r="1394" spans="6:14" x14ac:dyDescent="0.35">
      <c r="F1394">
        <f t="shared" si="217"/>
        <v>21</v>
      </c>
      <c r="G1394">
        <f t="shared" si="214"/>
        <v>6</v>
      </c>
      <c r="H1394">
        <f t="shared" si="215"/>
        <v>0</v>
      </c>
      <c r="K1394" t="str">
        <f t="shared" ca="1" si="211"/>
        <v>PPP</v>
      </c>
      <c r="L1394" t="str">
        <f t="shared" ca="1" si="212"/>
        <v>dom</v>
      </c>
      <c r="M1394" t="str">
        <f t="shared" ca="1" si="209"/>
        <v>WTP</v>
      </c>
      <c r="N1394">
        <f t="shared" ca="1" si="210"/>
        <v>0.53235886887636519</v>
      </c>
    </row>
    <row r="1395" spans="6:14" x14ac:dyDescent="0.35">
      <c r="F1395">
        <f t="shared" si="217"/>
        <v>21</v>
      </c>
      <c r="G1395">
        <f t="shared" si="214"/>
        <v>7</v>
      </c>
      <c r="H1395">
        <f t="shared" si="215"/>
        <v>0</v>
      </c>
      <c r="K1395" t="str">
        <f t="shared" ca="1" si="211"/>
        <v>PC</v>
      </c>
      <c r="L1395" t="str">
        <f t="shared" ca="1" si="212"/>
        <v>dom</v>
      </c>
      <c r="M1395" t="str">
        <f t="shared" ca="1" si="209"/>
        <v>WTP</v>
      </c>
      <c r="N1395">
        <f t="shared" ca="1" si="210"/>
        <v>8.1121238270856377E-2</v>
      </c>
    </row>
    <row r="1396" spans="6:14" x14ac:dyDescent="0.35">
      <c r="F1396">
        <f t="shared" si="217"/>
        <v>21</v>
      </c>
      <c r="G1396">
        <f t="shared" si="214"/>
        <v>8</v>
      </c>
      <c r="H1396">
        <f t="shared" si="215"/>
        <v>0</v>
      </c>
      <c r="K1396" t="str">
        <f t="shared" ca="1" si="211"/>
        <v>CHM</v>
      </c>
      <c r="L1396" t="str">
        <f t="shared" ca="1" si="212"/>
        <v>dom</v>
      </c>
      <c r="M1396" t="str">
        <f t="shared" ca="1" si="209"/>
        <v>WTP</v>
      </c>
      <c r="N1396">
        <f t="shared" ca="1" si="210"/>
        <v>0.50515822474519123</v>
      </c>
    </row>
    <row r="1397" spans="6:14" x14ac:dyDescent="0.35">
      <c r="F1397">
        <f t="shared" ref="F1397:F1412" si="218">F1331+1</f>
        <v>21</v>
      </c>
      <c r="G1397">
        <f t="shared" si="214"/>
        <v>9</v>
      </c>
      <c r="H1397">
        <f t="shared" si="215"/>
        <v>0</v>
      </c>
      <c r="K1397" t="str">
        <f t="shared" ca="1" si="211"/>
        <v>RUBBER</v>
      </c>
      <c r="L1397" t="str">
        <f t="shared" ca="1" si="212"/>
        <v>dom</v>
      </c>
      <c r="M1397" t="str">
        <f t="shared" ca="1" si="209"/>
        <v>WTP</v>
      </c>
      <c r="N1397">
        <f t="shared" ca="1" si="210"/>
        <v>0.79077645600665425</v>
      </c>
    </row>
    <row r="1398" spans="6:14" x14ac:dyDescent="0.35">
      <c r="F1398">
        <f t="shared" si="218"/>
        <v>21</v>
      </c>
      <c r="G1398">
        <f t="shared" si="214"/>
        <v>10</v>
      </c>
      <c r="H1398">
        <f t="shared" si="215"/>
        <v>0</v>
      </c>
      <c r="K1398" t="str">
        <f t="shared" ca="1" si="211"/>
        <v>NMM</v>
      </c>
      <c r="L1398" t="str">
        <f t="shared" ca="1" si="212"/>
        <v>dom</v>
      </c>
      <c r="M1398" t="str">
        <f t="shared" ca="1" si="209"/>
        <v>WTP</v>
      </c>
      <c r="N1398">
        <f t="shared" ca="1" si="210"/>
        <v>0.73255609928734</v>
      </c>
    </row>
    <row r="1399" spans="6:14" x14ac:dyDescent="0.35">
      <c r="F1399">
        <f t="shared" si="218"/>
        <v>21</v>
      </c>
      <c r="G1399">
        <f t="shared" si="214"/>
        <v>11</v>
      </c>
      <c r="H1399">
        <f t="shared" si="215"/>
        <v>0</v>
      </c>
      <c r="K1399" t="str">
        <f t="shared" ca="1" si="211"/>
        <v>METAL</v>
      </c>
      <c r="L1399" t="str">
        <f t="shared" ca="1" si="212"/>
        <v>dom</v>
      </c>
      <c r="M1399" t="str">
        <f t="shared" ca="1" si="209"/>
        <v>WTP</v>
      </c>
      <c r="N1399">
        <f t="shared" ca="1" si="210"/>
        <v>2.142599825034349</v>
      </c>
    </row>
    <row r="1400" spans="6:14" x14ac:dyDescent="0.35">
      <c r="F1400">
        <f t="shared" si="218"/>
        <v>21</v>
      </c>
      <c r="G1400">
        <f t="shared" si="214"/>
        <v>12</v>
      </c>
      <c r="H1400">
        <f t="shared" si="215"/>
        <v>0</v>
      </c>
      <c r="K1400" t="str">
        <f t="shared" ca="1" si="211"/>
        <v>MACH</v>
      </c>
      <c r="L1400" t="str">
        <f t="shared" ca="1" si="212"/>
        <v>dom</v>
      </c>
      <c r="M1400" t="str">
        <f t="shared" ca="1" si="209"/>
        <v>WTP</v>
      </c>
      <c r="N1400">
        <f t="shared" ca="1" si="210"/>
        <v>3.1012443371831497</v>
      </c>
    </row>
    <row r="1401" spans="6:14" x14ac:dyDescent="0.35">
      <c r="F1401">
        <f t="shared" si="218"/>
        <v>21</v>
      </c>
      <c r="G1401">
        <f t="shared" si="214"/>
        <v>13</v>
      </c>
      <c r="H1401">
        <f t="shared" si="215"/>
        <v>0</v>
      </c>
      <c r="K1401" t="str">
        <f t="shared" ca="1" si="211"/>
        <v>ELEC</v>
      </c>
      <c r="L1401" t="str">
        <f t="shared" ca="1" si="212"/>
        <v>dom</v>
      </c>
      <c r="M1401" t="str">
        <f t="shared" ca="1" si="209"/>
        <v>WTP</v>
      </c>
      <c r="N1401">
        <f t="shared" ca="1" si="210"/>
        <v>0.64512615595897049</v>
      </c>
    </row>
    <row r="1402" spans="6:14" x14ac:dyDescent="0.35">
      <c r="F1402">
        <f t="shared" si="218"/>
        <v>21</v>
      </c>
      <c r="G1402">
        <f t="shared" si="214"/>
        <v>14</v>
      </c>
      <c r="H1402">
        <f t="shared" si="215"/>
        <v>0</v>
      </c>
      <c r="K1402" t="str">
        <f t="shared" ca="1" si="211"/>
        <v>TRNEQUIP</v>
      </c>
      <c r="L1402" t="str">
        <f t="shared" ca="1" si="212"/>
        <v>dom</v>
      </c>
      <c r="M1402" t="str">
        <f t="shared" ca="1" si="209"/>
        <v>WTP</v>
      </c>
      <c r="N1402">
        <f t="shared" ca="1" si="210"/>
        <v>0.93188984382517726</v>
      </c>
    </row>
    <row r="1403" spans="6:14" x14ac:dyDescent="0.35">
      <c r="F1403">
        <f t="shared" si="218"/>
        <v>21</v>
      </c>
      <c r="G1403">
        <f t="shared" si="214"/>
        <v>15</v>
      </c>
      <c r="H1403">
        <f t="shared" si="215"/>
        <v>0</v>
      </c>
      <c r="K1403" t="str">
        <f t="shared" ca="1" si="211"/>
        <v>ROMAN</v>
      </c>
      <c r="L1403" t="str">
        <f t="shared" ca="1" si="212"/>
        <v>dom</v>
      </c>
      <c r="M1403" t="str">
        <f t="shared" ca="1" si="209"/>
        <v>WTP</v>
      </c>
      <c r="N1403">
        <f t="shared" ca="1" si="210"/>
        <v>2.5374755372705255</v>
      </c>
    </row>
    <row r="1404" spans="6:14" x14ac:dyDescent="0.35">
      <c r="F1404">
        <f t="shared" si="218"/>
        <v>21</v>
      </c>
      <c r="G1404">
        <f t="shared" si="214"/>
        <v>16</v>
      </c>
      <c r="H1404">
        <f t="shared" si="215"/>
        <v>0</v>
      </c>
      <c r="K1404" t="str">
        <f t="shared" ca="1" si="211"/>
        <v>ELYGASWTR</v>
      </c>
      <c r="L1404" t="str">
        <f t="shared" ca="1" si="212"/>
        <v>dom</v>
      </c>
      <c r="M1404" t="str">
        <f t="shared" ca="1" si="209"/>
        <v>WTP</v>
      </c>
      <c r="N1404">
        <f t="shared" ca="1" si="210"/>
        <v>5.7903509216587297E-8</v>
      </c>
    </row>
    <row r="1405" spans="6:14" x14ac:dyDescent="0.35">
      <c r="F1405">
        <f t="shared" si="218"/>
        <v>21</v>
      </c>
      <c r="G1405">
        <f t="shared" si="214"/>
        <v>17</v>
      </c>
      <c r="H1405">
        <f t="shared" si="215"/>
        <v>0</v>
      </c>
      <c r="K1405" t="str">
        <f t="shared" ca="1" si="211"/>
        <v>CNS</v>
      </c>
      <c r="L1405" t="str">
        <f t="shared" ca="1" si="212"/>
        <v>dom</v>
      </c>
      <c r="M1405" t="str">
        <f t="shared" ca="1" si="209"/>
        <v>WTP</v>
      </c>
      <c r="N1405">
        <f t="shared" ca="1" si="210"/>
        <v>84.290978203067155</v>
      </c>
    </row>
    <row r="1406" spans="6:14" x14ac:dyDescent="0.35">
      <c r="F1406">
        <f t="shared" si="218"/>
        <v>21</v>
      </c>
      <c r="G1406">
        <f t="shared" si="214"/>
        <v>18</v>
      </c>
      <c r="H1406">
        <f t="shared" si="215"/>
        <v>0</v>
      </c>
      <c r="K1406" t="str">
        <f t="shared" ca="1" si="211"/>
        <v>TRD</v>
      </c>
      <c r="L1406" t="str">
        <f t="shared" ca="1" si="212"/>
        <v>dom</v>
      </c>
      <c r="M1406" t="str">
        <f t="shared" ca="1" si="209"/>
        <v>WTP</v>
      </c>
      <c r="N1406">
        <f t="shared" ca="1" si="210"/>
        <v>13.477565441784979</v>
      </c>
    </row>
    <row r="1407" spans="6:14" x14ac:dyDescent="0.35">
      <c r="F1407">
        <f t="shared" si="218"/>
        <v>21</v>
      </c>
      <c r="G1407">
        <f t="shared" si="214"/>
        <v>19</v>
      </c>
      <c r="H1407">
        <f t="shared" si="215"/>
        <v>0</v>
      </c>
      <c r="K1407" t="str">
        <f t="shared" ca="1" si="211"/>
        <v>AFS</v>
      </c>
      <c r="L1407" t="str">
        <f t="shared" ca="1" si="212"/>
        <v>dom</v>
      </c>
      <c r="M1407" t="str">
        <f t="shared" ca="1" si="209"/>
        <v>WTP</v>
      </c>
      <c r="N1407">
        <f t="shared" ca="1" si="210"/>
        <v>5.7903509216587297E-8</v>
      </c>
    </row>
    <row r="1408" spans="6:14" x14ac:dyDescent="0.35">
      <c r="F1408">
        <f t="shared" si="218"/>
        <v>21</v>
      </c>
      <c r="G1408">
        <f t="shared" si="214"/>
        <v>20</v>
      </c>
      <c r="H1408">
        <f t="shared" si="215"/>
        <v>0</v>
      </c>
      <c r="K1408" t="str">
        <f t="shared" ca="1" si="211"/>
        <v>OTP</v>
      </c>
      <c r="L1408" t="str">
        <f t="shared" ca="1" si="212"/>
        <v>dom</v>
      </c>
      <c r="M1408" t="str">
        <f t="shared" ca="1" si="209"/>
        <v>WTP</v>
      </c>
      <c r="N1408">
        <f t="shared" ca="1" si="210"/>
        <v>5.7903509216587297E-8</v>
      </c>
    </row>
    <row r="1409" spans="6:14" x14ac:dyDescent="0.35">
      <c r="F1409">
        <f t="shared" si="218"/>
        <v>21</v>
      </c>
      <c r="G1409">
        <f t="shared" si="214"/>
        <v>21</v>
      </c>
      <c r="H1409">
        <f t="shared" si="215"/>
        <v>0</v>
      </c>
      <c r="K1409" t="str">
        <f t="shared" ca="1" si="211"/>
        <v>WTP</v>
      </c>
      <c r="L1409" t="str">
        <f t="shared" ca="1" si="212"/>
        <v>dom</v>
      </c>
      <c r="M1409" t="str">
        <f t="shared" ca="1" si="209"/>
        <v>WTP</v>
      </c>
      <c r="N1409">
        <f t="shared" ca="1" si="210"/>
        <v>5.7903509216587297E-8</v>
      </c>
    </row>
    <row r="1410" spans="6:14" x14ac:dyDescent="0.35">
      <c r="F1410">
        <f t="shared" si="218"/>
        <v>21</v>
      </c>
      <c r="G1410">
        <f t="shared" si="214"/>
        <v>22</v>
      </c>
      <c r="H1410">
        <f t="shared" si="215"/>
        <v>0</v>
      </c>
      <c r="K1410" t="str">
        <f t="shared" ca="1" si="211"/>
        <v>ATP</v>
      </c>
      <c r="L1410" t="str">
        <f t="shared" ca="1" si="212"/>
        <v>dom</v>
      </c>
      <c r="M1410" t="str">
        <f t="shared" ref="M1410:M1473" ca="1" si="219">OFFSET(A$2,F1410,0)</f>
        <v>WTP</v>
      </c>
      <c r="N1410">
        <f t="shared" ref="N1410:N1473" ca="1" si="220">SUMIFS(C:C,A:A,K1410,B:B,L1410)*SUMIFS(U:U,S:S,M1410)</f>
        <v>5.7903509216587297E-8</v>
      </c>
    </row>
    <row r="1411" spans="6:14" x14ac:dyDescent="0.35">
      <c r="F1411">
        <f t="shared" si="218"/>
        <v>21</v>
      </c>
      <c r="G1411">
        <f t="shared" si="214"/>
        <v>23</v>
      </c>
      <c r="H1411">
        <f t="shared" si="215"/>
        <v>0</v>
      </c>
      <c r="K1411" t="str">
        <f t="shared" ref="K1411:K1474" ca="1" si="221">OFFSET(A$2,G1411,0)</f>
        <v>WHS</v>
      </c>
      <c r="L1411" t="str">
        <f t="shared" ref="L1411:L1474" ca="1" si="222">OFFSET($V$3,H1411,0)</f>
        <v>dom</v>
      </c>
      <c r="M1411" t="str">
        <f t="shared" ca="1" si="219"/>
        <v>WTP</v>
      </c>
      <c r="N1411">
        <f t="shared" ca="1" si="220"/>
        <v>5.7903509216587297E-8</v>
      </c>
    </row>
    <row r="1412" spans="6:14" x14ac:dyDescent="0.35">
      <c r="F1412">
        <f t="shared" si="218"/>
        <v>21</v>
      </c>
      <c r="G1412">
        <f t="shared" si="214"/>
        <v>24</v>
      </c>
      <c r="H1412">
        <f t="shared" si="215"/>
        <v>0</v>
      </c>
      <c r="K1412" t="str">
        <f t="shared" ca="1" si="221"/>
        <v>CMN</v>
      </c>
      <c r="L1412" t="str">
        <f t="shared" ca="1" si="222"/>
        <v>dom</v>
      </c>
      <c r="M1412" t="str">
        <f t="shared" ca="1" si="219"/>
        <v>WTP</v>
      </c>
      <c r="N1412">
        <f t="shared" ca="1" si="220"/>
        <v>5.7903509216587297E-8</v>
      </c>
    </row>
    <row r="1413" spans="6:14" x14ac:dyDescent="0.35">
      <c r="F1413">
        <f t="shared" ref="F1413:F1428" si="223">F1347+1</f>
        <v>21</v>
      </c>
      <c r="G1413">
        <f t="shared" ref="G1413:G1476" si="224">G1380</f>
        <v>25</v>
      </c>
      <c r="H1413">
        <f t="shared" ref="H1413:H1476" si="225">H1347</f>
        <v>0</v>
      </c>
      <c r="K1413" t="str">
        <f t="shared" ca="1" si="221"/>
        <v>OFI</v>
      </c>
      <c r="L1413" t="str">
        <f t="shared" ca="1" si="222"/>
        <v>dom</v>
      </c>
      <c r="M1413" t="str">
        <f t="shared" ca="1" si="219"/>
        <v>WTP</v>
      </c>
      <c r="N1413">
        <f t="shared" ca="1" si="220"/>
        <v>5.7903509216587297E-8</v>
      </c>
    </row>
    <row r="1414" spans="6:14" x14ac:dyDescent="0.35">
      <c r="F1414">
        <f t="shared" si="223"/>
        <v>21</v>
      </c>
      <c r="G1414">
        <f t="shared" si="224"/>
        <v>26</v>
      </c>
      <c r="H1414">
        <f t="shared" si="225"/>
        <v>0</v>
      </c>
      <c r="K1414" t="str">
        <f t="shared" ca="1" si="221"/>
        <v>RSA</v>
      </c>
      <c r="L1414" t="str">
        <f t="shared" ca="1" si="222"/>
        <v>dom</v>
      </c>
      <c r="M1414" t="str">
        <f t="shared" ca="1" si="219"/>
        <v>WTP</v>
      </c>
      <c r="N1414">
        <f t="shared" ca="1" si="220"/>
        <v>5.7903509216587297E-8</v>
      </c>
    </row>
    <row r="1415" spans="6:14" x14ac:dyDescent="0.35">
      <c r="F1415">
        <f t="shared" si="223"/>
        <v>21</v>
      </c>
      <c r="G1415">
        <f t="shared" si="224"/>
        <v>27</v>
      </c>
      <c r="H1415">
        <f t="shared" si="225"/>
        <v>0</v>
      </c>
      <c r="K1415" t="str">
        <f t="shared" ca="1" si="221"/>
        <v>OBS</v>
      </c>
      <c r="L1415" t="str">
        <f t="shared" ca="1" si="222"/>
        <v>dom</v>
      </c>
      <c r="M1415" t="str">
        <f t="shared" ca="1" si="219"/>
        <v>WTP</v>
      </c>
      <c r="N1415">
        <f t="shared" ca="1" si="220"/>
        <v>5.7903509216587297E-8</v>
      </c>
    </row>
    <row r="1416" spans="6:14" x14ac:dyDescent="0.35">
      <c r="F1416">
        <f t="shared" si="223"/>
        <v>21</v>
      </c>
      <c r="G1416">
        <f t="shared" si="224"/>
        <v>28</v>
      </c>
      <c r="H1416">
        <f t="shared" si="225"/>
        <v>0</v>
      </c>
      <c r="K1416" t="str">
        <f t="shared" ca="1" si="221"/>
        <v>GOV</v>
      </c>
      <c r="L1416" t="str">
        <f t="shared" ca="1" si="222"/>
        <v>dom</v>
      </c>
      <c r="M1416" t="str">
        <f t="shared" ca="1" si="219"/>
        <v>WTP</v>
      </c>
      <c r="N1416">
        <f t="shared" ca="1" si="220"/>
        <v>5.7903509216587297E-8</v>
      </c>
    </row>
    <row r="1417" spans="6:14" x14ac:dyDescent="0.35">
      <c r="F1417">
        <f t="shared" si="223"/>
        <v>21</v>
      </c>
      <c r="G1417">
        <f t="shared" si="224"/>
        <v>29</v>
      </c>
      <c r="H1417">
        <f t="shared" si="225"/>
        <v>0</v>
      </c>
      <c r="K1417" t="str">
        <f t="shared" ca="1" si="221"/>
        <v>EDU</v>
      </c>
      <c r="L1417" t="str">
        <f t="shared" ca="1" si="222"/>
        <v>dom</v>
      </c>
      <c r="M1417" t="str">
        <f t="shared" ca="1" si="219"/>
        <v>WTP</v>
      </c>
      <c r="N1417">
        <f t="shared" ca="1" si="220"/>
        <v>5.7903509216587297E-8</v>
      </c>
    </row>
    <row r="1418" spans="6:14" x14ac:dyDescent="0.35">
      <c r="F1418">
        <f t="shared" si="223"/>
        <v>21</v>
      </c>
      <c r="G1418">
        <f t="shared" si="224"/>
        <v>30</v>
      </c>
      <c r="H1418">
        <f t="shared" si="225"/>
        <v>0</v>
      </c>
      <c r="K1418" t="str">
        <f t="shared" ca="1" si="221"/>
        <v>HHT</v>
      </c>
      <c r="L1418" t="str">
        <f t="shared" ca="1" si="222"/>
        <v>dom</v>
      </c>
      <c r="M1418" t="str">
        <f t="shared" ca="1" si="219"/>
        <v>WTP</v>
      </c>
      <c r="N1418">
        <f t="shared" ca="1" si="220"/>
        <v>5.7903509216587297E-8</v>
      </c>
    </row>
    <row r="1419" spans="6:14" x14ac:dyDescent="0.35">
      <c r="F1419">
        <f t="shared" si="223"/>
        <v>21</v>
      </c>
      <c r="G1419">
        <f t="shared" si="224"/>
        <v>31</v>
      </c>
      <c r="H1419">
        <f t="shared" si="225"/>
        <v>0</v>
      </c>
      <c r="K1419" t="str">
        <f t="shared" ca="1" si="221"/>
        <v>REC</v>
      </c>
      <c r="L1419" t="str">
        <f t="shared" ca="1" si="222"/>
        <v>dom</v>
      </c>
      <c r="M1419" t="str">
        <f t="shared" ca="1" si="219"/>
        <v>WTP</v>
      </c>
      <c r="N1419">
        <f t="shared" ca="1" si="220"/>
        <v>5.7903509216587297E-8</v>
      </c>
    </row>
    <row r="1420" spans="6:14" x14ac:dyDescent="0.35">
      <c r="F1420">
        <f t="shared" si="223"/>
        <v>21</v>
      </c>
      <c r="G1420">
        <f t="shared" si="224"/>
        <v>32</v>
      </c>
      <c r="H1420">
        <f t="shared" si="225"/>
        <v>0</v>
      </c>
      <c r="K1420" t="str">
        <f t="shared" ca="1" si="221"/>
        <v>DWE</v>
      </c>
      <c r="L1420" t="str">
        <f t="shared" ca="1" si="222"/>
        <v>dom</v>
      </c>
      <c r="M1420" t="str">
        <f t="shared" ca="1" si="219"/>
        <v>WTP</v>
      </c>
      <c r="N1420">
        <f t="shared" ca="1" si="220"/>
        <v>5.7903509216587297E-8</v>
      </c>
    </row>
    <row r="1421" spans="6:14" x14ac:dyDescent="0.35">
      <c r="F1421">
        <f t="shared" si="223"/>
        <v>21</v>
      </c>
      <c r="G1421">
        <f t="shared" si="224"/>
        <v>0</v>
      </c>
      <c r="H1421">
        <f t="shared" si="225"/>
        <v>1</v>
      </c>
      <c r="K1421" t="str">
        <f t="shared" ca="1" si="221"/>
        <v>AG</v>
      </c>
      <c r="L1421" t="str">
        <f t="shared" ca="1" si="222"/>
        <v>imp</v>
      </c>
      <c r="M1421" t="str">
        <f t="shared" ca="1" si="219"/>
        <v>WTP</v>
      </c>
      <c r="N1421">
        <f t="shared" ca="1" si="220"/>
        <v>0.53571307867230689</v>
      </c>
    </row>
    <row r="1422" spans="6:14" x14ac:dyDescent="0.35">
      <c r="F1422">
        <f t="shared" si="223"/>
        <v>21</v>
      </c>
      <c r="G1422">
        <f t="shared" si="224"/>
        <v>1</v>
      </c>
      <c r="H1422">
        <f t="shared" si="225"/>
        <v>1</v>
      </c>
      <c r="K1422" t="str">
        <f t="shared" ca="1" si="221"/>
        <v>MIN</v>
      </c>
      <c r="L1422" t="str">
        <f t="shared" ca="1" si="222"/>
        <v>imp</v>
      </c>
      <c r="M1422" t="str">
        <f t="shared" ca="1" si="219"/>
        <v>WTP</v>
      </c>
      <c r="N1422">
        <f t="shared" ca="1" si="220"/>
        <v>0.84515792976251169</v>
      </c>
    </row>
    <row r="1423" spans="6:14" x14ac:dyDescent="0.35">
      <c r="F1423">
        <f t="shared" si="223"/>
        <v>21</v>
      </c>
      <c r="G1423">
        <f t="shared" si="224"/>
        <v>2</v>
      </c>
      <c r="H1423">
        <f t="shared" si="225"/>
        <v>1</v>
      </c>
      <c r="K1423" t="str">
        <f t="shared" ca="1" si="221"/>
        <v>FBT</v>
      </c>
      <c r="L1423" t="str">
        <f t="shared" ca="1" si="222"/>
        <v>imp</v>
      </c>
      <c r="M1423" t="str">
        <f t="shared" ca="1" si="219"/>
        <v>WTP</v>
      </c>
      <c r="N1423">
        <f t="shared" ca="1" si="220"/>
        <v>0.21148443777268999</v>
      </c>
    </row>
    <row r="1424" spans="6:14" x14ac:dyDescent="0.35">
      <c r="F1424">
        <f t="shared" si="223"/>
        <v>21</v>
      </c>
      <c r="G1424">
        <f t="shared" si="224"/>
        <v>3</v>
      </c>
      <c r="H1424">
        <f t="shared" si="225"/>
        <v>1</v>
      </c>
      <c r="K1424" t="str">
        <f t="shared" ca="1" si="221"/>
        <v>TEX</v>
      </c>
      <c r="L1424" t="str">
        <f t="shared" ca="1" si="222"/>
        <v>imp</v>
      </c>
      <c r="M1424" t="str">
        <f t="shared" ca="1" si="219"/>
        <v>WTP</v>
      </c>
      <c r="N1424">
        <f t="shared" ca="1" si="220"/>
        <v>4.150173973741901</v>
      </c>
    </row>
    <row r="1425" spans="6:14" x14ac:dyDescent="0.35">
      <c r="F1425">
        <f t="shared" si="223"/>
        <v>21</v>
      </c>
      <c r="G1425">
        <f t="shared" si="224"/>
        <v>4</v>
      </c>
      <c r="H1425">
        <f t="shared" si="225"/>
        <v>1</v>
      </c>
      <c r="K1425" t="str">
        <f t="shared" ca="1" si="221"/>
        <v>LEATHER</v>
      </c>
      <c r="L1425" t="str">
        <f t="shared" ca="1" si="222"/>
        <v>imp</v>
      </c>
      <c r="M1425" t="str">
        <f t="shared" ca="1" si="219"/>
        <v>WTP</v>
      </c>
      <c r="N1425">
        <f t="shared" ca="1" si="220"/>
        <v>2.1629440035799905</v>
      </c>
    </row>
    <row r="1426" spans="6:14" x14ac:dyDescent="0.35">
      <c r="F1426">
        <f t="shared" si="223"/>
        <v>21</v>
      </c>
      <c r="G1426">
        <f t="shared" si="224"/>
        <v>5</v>
      </c>
      <c r="H1426">
        <f t="shared" si="225"/>
        <v>1</v>
      </c>
      <c r="K1426" t="str">
        <f t="shared" ca="1" si="221"/>
        <v>WOOD</v>
      </c>
      <c r="L1426" t="str">
        <f t="shared" ca="1" si="222"/>
        <v>imp</v>
      </c>
      <c r="M1426" t="str">
        <f t="shared" ca="1" si="219"/>
        <v>WTP</v>
      </c>
      <c r="N1426">
        <f t="shared" ca="1" si="220"/>
        <v>3.8715114945069413E-2</v>
      </c>
    </row>
    <row r="1427" spans="6:14" x14ac:dyDescent="0.35">
      <c r="F1427">
        <f t="shared" si="223"/>
        <v>21</v>
      </c>
      <c r="G1427">
        <f t="shared" si="224"/>
        <v>6</v>
      </c>
      <c r="H1427">
        <f t="shared" si="225"/>
        <v>1</v>
      </c>
      <c r="K1427" t="str">
        <f t="shared" ca="1" si="221"/>
        <v>PPP</v>
      </c>
      <c r="L1427" t="str">
        <f t="shared" ca="1" si="222"/>
        <v>imp</v>
      </c>
      <c r="M1427" t="str">
        <f t="shared" ca="1" si="219"/>
        <v>WTP</v>
      </c>
      <c r="N1427">
        <f t="shared" ca="1" si="220"/>
        <v>0.55749374871947011</v>
      </c>
    </row>
    <row r="1428" spans="6:14" x14ac:dyDescent="0.35">
      <c r="F1428">
        <f t="shared" si="223"/>
        <v>21</v>
      </c>
      <c r="G1428">
        <f t="shared" si="224"/>
        <v>7</v>
      </c>
      <c r="H1428">
        <f t="shared" si="225"/>
        <v>1</v>
      </c>
      <c r="K1428" t="str">
        <f t="shared" ca="1" si="221"/>
        <v>PC</v>
      </c>
      <c r="L1428" t="str">
        <f t="shared" ca="1" si="222"/>
        <v>imp</v>
      </c>
      <c r="M1428" t="str">
        <f t="shared" ca="1" si="219"/>
        <v>WTP</v>
      </c>
      <c r="N1428">
        <f t="shared" ca="1" si="220"/>
        <v>0.14038348144265034</v>
      </c>
    </row>
    <row r="1429" spans="6:14" x14ac:dyDescent="0.35">
      <c r="F1429">
        <f t="shared" ref="F1429:F1444" si="226">F1363+1</f>
        <v>21</v>
      </c>
      <c r="G1429">
        <f t="shared" si="224"/>
        <v>8</v>
      </c>
      <c r="H1429">
        <f t="shared" si="225"/>
        <v>1</v>
      </c>
      <c r="K1429" t="str">
        <f t="shared" ca="1" si="221"/>
        <v>CHM</v>
      </c>
      <c r="L1429" t="str">
        <f t="shared" ca="1" si="222"/>
        <v>imp</v>
      </c>
      <c r="M1429" t="str">
        <f t="shared" ca="1" si="219"/>
        <v>WTP</v>
      </c>
      <c r="N1429">
        <f t="shared" ca="1" si="220"/>
        <v>1.9244231315160527</v>
      </c>
    </row>
    <row r="1430" spans="6:14" x14ac:dyDescent="0.35">
      <c r="F1430">
        <f t="shared" si="226"/>
        <v>21</v>
      </c>
      <c r="G1430">
        <f t="shared" si="224"/>
        <v>9</v>
      </c>
      <c r="H1430">
        <f t="shared" si="225"/>
        <v>1</v>
      </c>
      <c r="K1430" t="str">
        <f t="shared" ca="1" si="221"/>
        <v>RUBBER</v>
      </c>
      <c r="L1430" t="str">
        <f t="shared" ca="1" si="222"/>
        <v>imp</v>
      </c>
      <c r="M1430" t="str">
        <f t="shared" ca="1" si="219"/>
        <v>WTP</v>
      </c>
      <c r="N1430">
        <f t="shared" ca="1" si="220"/>
        <v>1.4738523363197891</v>
      </c>
    </row>
    <row r="1431" spans="6:14" x14ac:dyDescent="0.35">
      <c r="F1431">
        <f t="shared" si="226"/>
        <v>21</v>
      </c>
      <c r="G1431">
        <f t="shared" si="224"/>
        <v>10</v>
      </c>
      <c r="H1431">
        <f t="shared" si="225"/>
        <v>1</v>
      </c>
      <c r="K1431" t="str">
        <f t="shared" ca="1" si="221"/>
        <v>NMM</v>
      </c>
      <c r="L1431" t="str">
        <f t="shared" ca="1" si="222"/>
        <v>imp</v>
      </c>
      <c r="M1431" t="str">
        <f t="shared" ca="1" si="219"/>
        <v>WTP</v>
      </c>
      <c r="N1431">
        <f t="shared" ca="1" si="220"/>
        <v>0.55636065165806359</v>
      </c>
    </row>
    <row r="1432" spans="6:14" x14ac:dyDescent="0.35">
      <c r="F1432">
        <f t="shared" si="226"/>
        <v>21</v>
      </c>
      <c r="G1432">
        <f t="shared" si="224"/>
        <v>11</v>
      </c>
      <c r="H1432">
        <f t="shared" si="225"/>
        <v>1</v>
      </c>
      <c r="K1432" t="str">
        <f t="shared" ca="1" si="221"/>
        <v>METAL</v>
      </c>
      <c r="L1432" t="str">
        <f t="shared" ca="1" si="222"/>
        <v>imp</v>
      </c>
      <c r="M1432" t="str">
        <f t="shared" ca="1" si="219"/>
        <v>WTP</v>
      </c>
      <c r="N1432">
        <f t="shared" ca="1" si="220"/>
        <v>6.9640429106428856</v>
      </c>
    </row>
    <row r="1433" spans="6:14" x14ac:dyDescent="0.35">
      <c r="F1433">
        <f t="shared" si="226"/>
        <v>21</v>
      </c>
      <c r="G1433">
        <f t="shared" si="224"/>
        <v>12</v>
      </c>
      <c r="H1433">
        <f t="shared" si="225"/>
        <v>1</v>
      </c>
      <c r="K1433" t="str">
        <f t="shared" ca="1" si="221"/>
        <v>MACH</v>
      </c>
      <c r="L1433" t="str">
        <f t="shared" ca="1" si="222"/>
        <v>imp</v>
      </c>
      <c r="M1433" t="str">
        <f t="shared" ca="1" si="219"/>
        <v>WTP</v>
      </c>
      <c r="N1433">
        <f t="shared" ca="1" si="220"/>
        <v>26.677659726662277</v>
      </c>
    </row>
    <row r="1434" spans="6:14" x14ac:dyDescent="0.35">
      <c r="F1434">
        <f t="shared" si="226"/>
        <v>21</v>
      </c>
      <c r="G1434">
        <f t="shared" si="224"/>
        <v>13</v>
      </c>
      <c r="H1434">
        <f t="shared" si="225"/>
        <v>1</v>
      </c>
      <c r="K1434" t="str">
        <f t="shared" ca="1" si="221"/>
        <v>ELEC</v>
      </c>
      <c r="L1434" t="str">
        <f t="shared" ca="1" si="222"/>
        <v>imp</v>
      </c>
      <c r="M1434" t="str">
        <f t="shared" ca="1" si="219"/>
        <v>WTP</v>
      </c>
      <c r="N1434">
        <f t="shared" ca="1" si="220"/>
        <v>14.303747369567041</v>
      </c>
    </row>
    <row r="1435" spans="6:14" x14ac:dyDescent="0.35">
      <c r="F1435">
        <f t="shared" si="226"/>
        <v>21</v>
      </c>
      <c r="G1435">
        <f t="shared" si="224"/>
        <v>14</v>
      </c>
      <c r="H1435">
        <f t="shared" si="225"/>
        <v>1</v>
      </c>
      <c r="K1435" t="str">
        <f t="shared" ca="1" si="221"/>
        <v>TRNEQUIP</v>
      </c>
      <c r="L1435" t="str">
        <f t="shared" ca="1" si="222"/>
        <v>imp</v>
      </c>
      <c r="M1435" t="str">
        <f t="shared" ca="1" si="219"/>
        <v>WTP</v>
      </c>
      <c r="N1435">
        <f t="shared" ca="1" si="220"/>
        <v>22.827171927680389</v>
      </c>
    </row>
    <row r="1436" spans="6:14" x14ac:dyDescent="0.35">
      <c r="F1436">
        <f t="shared" si="226"/>
        <v>21</v>
      </c>
      <c r="G1436">
        <f t="shared" si="224"/>
        <v>15</v>
      </c>
      <c r="H1436">
        <f t="shared" si="225"/>
        <v>1</v>
      </c>
      <c r="K1436" t="str">
        <f t="shared" ca="1" si="221"/>
        <v>ROMAN</v>
      </c>
      <c r="L1436" t="str">
        <f t="shared" ca="1" si="222"/>
        <v>imp</v>
      </c>
      <c r="M1436" t="str">
        <f t="shared" ca="1" si="219"/>
        <v>WTP</v>
      </c>
      <c r="N1436">
        <f t="shared" ca="1" si="220"/>
        <v>8.6614204498332388</v>
      </c>
    </row>
    <row r="1437" spans="6:14" x14ac:dyDescent="0.35">
      <c r="F1437">
        <f t="shared" si="226"/>
        <v>21</v>
      </c>
      <c r="G1437">
        <f t="shared" si="224"/>
        <v>16</v>
      </c>
      <c r="H1437">
        <f t="shared" si="225"/>
        <v>1</v>
      </c>
      <c r="K1437" t="str">
        <f t="shared" ca="1" si="221"/>
        <v>ELYGASWTR</v>
      </c>
      <c r="L1437" t="str">
        <f t="shared" ca="1" si="222"/>
        <v>imp</v>
      </c>
      <c r="M1437" t="str">
        <f t="shared" ca="1" si="219"/>
        <v>WTP</v>
      </c>
      <c r="N1437">
        <f t="shared" ca="1" si="220"/>
        <v>5.7903509216587297E-8</v>
      </c>
    </row>
    <row r="1438" spans="6:14" x14ac:dyDescent="0.35">
      <c r="F1438">
        <f t="shared" si="226"/>
        <v>21</v>
      </c>
      <c r="G1438">
        <f t="shared" si="224"/>
        <v>17</v>
      </c>
      <c r="H1438">
        <f t="shared" si="225"/>
        <v>1</v>
      </c>
      <c r="K1438" t="str">
        <f t="shared" ca="1" si="221"/>
        <v>CNS</v>
      </c>
      <c r="L1438" t="str">
        <f t="shared" ca="1" si="222"/>
        <v>imp</v>
      </c>
      <c r="M1438" t="str">
        <f t="shared" ca="1" si="219"/>
        <v>WTP</v>
      </c>
      <c r="N1438">
        <f t="shared" ca="1" si="220"/>
        <v>1.6955229704889092</v>
      </c>
    </row>
    <row r="1439" spans="6:14" x14ac:dyDescent="0.35">
      <c r="F1439">
        <f t="shared" si="226"/>
        <v>21</v>
      </c>
      <c r="G1439">
        <f t="shared" si="224"/>
        <v>18</v>
      </c>
      <c r="H1439">
        <f t="shared" si="225"/>
        <v>1</v>
      </c>
      <c r="K1439" t="str">
        <f t="shared" ca="1" si="221"/>
        <v>TRD</v>
      </c>
      <c r="L1439" t="str">
        <f t="shared" ca="1" si="222"/>
        <v>imp</v>
      </c>
      <c r="M1439" t="str">
        <f t="shared" ca="1" si="219"/>
        <v>WTP</v>
      </c>
      <c r="N1439">
        <f t="shared" ca="1" si="220"/>
        <v>0.14834680510149667</v>
      </c>
    </row>
    <row r="1440" spans="6:14" x14ac:dyDescent="0.35">
      <c r="F1440">
        <f t="shared" si="226"/>
        <v>21</v>
      </c>
      <c r="G1440">
        <f t="shared" si="224"/>
        <v>19</v>
      </c>
      <c r="H1440">
        <f t="shared" si="225"/>
        <v>1</v>
      </c>
      <c r="K1440" t="str">
        <f t="shared" ca="1" si="221"/>
        <v>AFS</v>
      </c>
      <c r="L1440" t="str">
        <f t="shared" ca="1" si="222"/>
        <v>imp</v>
      </c>
      <c r="M1440" t="str">
        <f t="shared" ca="1" si="219"/>
        <v>WTP</v>
      </c>
      <c r="N1440">
        <f t="shared" ca="1" si="220"/>
        <v>5.7903509216587297E-8</v>
      </c>
    </row>
    <row r="1441" spans="6:14" x14ac:dyDescent="0.35">
      <c r="F1441">
        <f t="shared" si="226"/>
        <v>21</v>
      </c>
      <c r="G1441">
        <f t="shared" si="224"/>
        <v>20</v>
      </c>
      <c r="H1441">
        <f t="shared" si="225"/>
        <v>1</v>
      </c>
      <c r="K1441" t="str">
        <f t="shared" ca="1" si="221"/>
        <v>OTP</v>
      </c>
      <c r="L1441" t="str">
        <f t="shared" ca="1" si="222"/>
        <v>imp</v>
      </c>
      <c r="M1441" t="str">
        <f t="shared" ca="1" si="219"/>
        <v>WTP</v>
      </c>
      <c r="N1441">
        <f t="shared" ca="1" si="220"/>
        <v>5.7903509216587297E-8</v>
      </c>
    </row>
    <row r="1442" spans="6:14" x14ac:dyDescent="0.35">
      <c r="F1442">
        <f t="shared" si="226"/>
        <v>21</v>
      </c>
      <c r="G1442">
        <f t="shared" si="224"/>
        <v>21</v>
      </c>
      <c r="H1442">
        <f t="shared" si="225"/>
        <v>1</v>
      </c>
      <c r="K1442" t="str">
        <f t="shared" ca="1" si="221"/>
        <v>WTP</v>
      </c>
      <c r="L1442" t="str">
        <f t="shared" ca="1" si="222"/>
        <v>imp</v>
      </c>
      <c r="M1442" t="str">
        <f t="shared" ca="1" si="219"/>
        <v>WTP</v>
      </c>
      <c r="N1442">
        <f t="shared" ca="1" si="220"/>
        <v>5.7903509216587297E-8</v>
      </c>
    </row>
    <row r="1443" spans="6:14" x14ac:dyDescent="0.35">
      <c r="F1443">
        <f t="shared" si="226"/>
        <v>21</v>
      </c>
      <c r="G1443">
        <f t="shared" si="224"/>
        <v>22</v>
      </c>
      <c r="H1443">
        <f t="shared" si="225"/>
        <v>1</v>
      </c>
      <c r="K1443" t="str">
        <f t="shared" ca="1" si="221"/>
        <v>ATP</v>
      </c>
      <c r="L1443" t="str">
        <f t="shared" ca="1" si="222"/>
        <v>imp</v>
      </c>
      <c r="M1443" t="str">
        <f t="shared" ca="1" si="219"/>
        <v>WTP</v>
      </c>
      <c r="N1443">
        <f t="shared" ca="1" si="220"/>
        <v>5.7903509216587297E-8</v>
      </c>
    </row>
    <row r="1444" spans="6:14" x14ac:dyDescent="0.35">
      <c r="F1444">
        <f t="shared" si="226"/>
        <v>21</v>
      </c>
      <c r="G1444">
        <f t="shared" si="224"/>
        <v>23</v>
      </c>
      <c r="H1444">
        <f t="shared" si="225"/>
        <v>1</v>
      </c>
      <c r="K1444" t="str">
        <f t="shared" ca="1" si="221"/>
        <v>WHS</v>
      </c>
      <c r="L1444" t="str">
        <f t="shared" ca="1" si="222"/>
        <v>imp</v>
      </c>
      <c r="M1444" t="str">
        <f t="shared" ca="1" si="219"/>
        <v>WTP</v>
      </c>
      <c r="N1444">
        <f t="shared" ca="1" si="220"/>
        <v>5.7903509216587297E-8</v>
      </c>
    </row>
    <row r="1445" spans="6:14" x14ac:dyDescent="0.35">
      <c r="F1445">
        <f t="shared" ref="F1445:F1460" si="227">F1379+1</f>
        <v>21</v>
      </c>
      <c r="G1445">
        <f t="shared" si="224"/>
        <v>24</v>
      </c>
      <c r="H1445">
        <f t="shared" si="225"/>
        <v>1</v>
      </c>
      <c r="K1445" t="str">
        <f t="shared" ca="1" si="221"/>
        <v>CMN</v>
      </c>
      <c r="L1445" t="str">
        <f t="shared" ca="1" si="222"/>
        <v>imp</v>
      </c>
      <c r="M1445" t="str">
        <f t="shared" ca="1" si="219"/>
        <v>WTP</v>
      </c>
      <c r="N1445">
        <f t="shared" ca="1" si="220"/>
        <v>5.7903509216587297E-8</v>
      </c>
    </row>
    <row r="1446" spans="6:14" x14ac:dyDescent="0.35">
      <c r="F1446">
        <f t="shared" si="227"/>
        <v>21</v>
      </c>
      <c r="G1446">
        <f t="shared" si="224"/>
        <v>25</v>
      </c>
      <c r="H1446">
        <f t="shared" si="225"/>
        <v>1</v>
      </c>
      <c r="K1446" t="str">
        <f t="shared" ca="1" si="221"/>
        <v>OFI</v>
      </c>
      <c r="L1446" t="str">
        <f t="shared" ca="1" si="222"/>
        <v>imp</v>
      </c>
      <c r="M1446" t="str">
        <f t="shared" ca="1" si="219"/>
        <v>WTP</v>
      </c>
      <c r="N1446">
        <f t="shared" ca="1" si="220"/>
        <v>5.7903509216587297E-8</v>
      </c>
    </row>
    <row r="1447" spans="6:14" x14ac:dyDescent="0.35">
      <c r="F1447">
        <f t="shared" si="227"/>
        <v>21</v>
      </c>
      <c r="G1447">
        <f t="shared" si="224"/>
        <v>26</v>
      </c>
      <c r="H1447">
        <f t="shared" si="225"/>
        <v>1</v>
      </c>
      <c r="K1447" t="str">
        <f t="shared" ca="1" si="221"/>
        <v>RSA</v>
      </c>
      <c r="L1447" t="str">
        <f t="shared" ca="1" si="222"/>
        <v>imp</v>
      </c>
      <c r="M1447" t="str">
        <f t="shared" ca="1" si="219"/>
        <v>WTP</v>
      </c>
      <c r="N1447">
        <f t="shared" ca="1" si="220"/>
        <v>5.7903509216587297E-8</v>
      </c>
    </row>
    <row r="1448" spans="6:14" x14ac:dyDescent="0.35">
      <c r="F1448">
        <f t="shared" si="227"/>
        <v>21</v>
      </c>
      <c r="G1448">
        <f t="shared" si="224"/>
        <v>27</v>
      </c>
      <c r="H1448">
        <f t="shared" si="225"/>
        <v>1</v>
      </c>
      <c r="K1448" t="str">
        <f t="shared" ca="1" si="221"/>
        <v>OBS</v>
      </c>
      <c r="L1448" t="str">
        <f t="shared" ca="1" si="222"/>
        <v>imp</v>
      </c>
      <c r="M1448" t="str">
        <f t="shared" ca="1" si="219"/>
        <v>WTP</v>
      </c>
      <c r="N1448">
        <f t="shared" ca="1" si="220"/>
        <v>5.7903509216587297E-8</v>
      </c>
    </row>
    <row r="1449" spans="6:14" x14ac:dyDescent="0.35">
      <c r="F1449">
        <f t="shared" si="227"/>
        <v>21</v>
      </c>
      <c r="G1449">
        <f t="shared" si="224"/>
        <v>28</v>
      </c>
      <c r="H1449">
        <f t="shared" si="225"/>
        <v>1</v>
      </c>
      <c r="K1449" t="str">
        <f t="shared" ca="1" si="221"/>
        <v>GOV</v>
      </c>
      <c r="L1449" t="str">
        <f t="shared" ca="1" si="222"/>
        <v>imp</v>
      </c>
      <c r="M1449" t="str">
        <f t="shared" ca="1" si="219"/>
        <v>WTP</v>
      </c>
      <c r="N1449">
        <f t="shared" ca="1" si="220"/>
        <v>5.7903509216587297E-8</v>
      </c>
    </row>
    <row r="1450" spans="6:14" x14ac:dyDescent="0.35">
      <c r="F1450">
        <f t="shared" si="227"/>
        <v>21</v>
      </c>
      <c r="G1450">
        <f t="shared" si="224"/>
        <v>29</v>
      </c>
      <c r="H1450">
        <f t="shared" si="225"/>
        <v>1</v>
      </c>
      <c r="K1450" t="str">
        <f t="shared" ca="1" si="221"/>
        <v>EDU</v>
      </c>
      <c r="L1450" t="str">
        <f t="shared" ca="1" si="222"/>
        <v>imp</v>
      </c>
      <c r="M1450" t="str">
        <f t="shared" ca="1" si="219"/>
        <v>WTP</v>
      </c>
      <c r="N1450">
        <f t="shared" ca="1" si="220"/>
        <v>5.7903509216587297E-8</v>
      </c>
    </row>
    <row r="1451" spans="6:14" x14ac:dyDescent="0.35">
      <c r="F1451">
        <f t="shared" si="227"/>
        <v>21</v>
      </c>
      <c r="G1451">
        <f t="shared" si="224"/>
        <v>30</v>
      </c>
      <c r="H1451">
        <f t="shared" si="225"/>
        <v>1</v>
      </c>
      <c r="K1451" t="str">
        <f t="shared" ca="1" si="221"/>
        <v>HHT</v>
      </c>
      <c r="L1451" t="str">
        <f t="shared" ca="1" si="222"/>
        <v>imp</v>
      </c>
      <c r="M1451" t="str">
        <f t="shared" ca="1" si="219"/>
        <v>WTP</v>
      </c>
      <c r="N1451">
        <f t="shared" ca="1" si="220"/>
        <v>5.7903509216587297E-8</v>
      </c>
    </row>
    <row r="1452" spans="6:14" x14ac:dyDescent="0.35">
      <c r="F1452">
        <f t="shared" si="227"/>
        <v>21</v>
      </c>
      <c r="G1452">
        <f t="shared" si="224"/>
        <v>31</v>
      </c>
      <c r="H1452">
        <f t="shared" si="225"/>
        <v>1</v>
      </c>
      <c r="K1452" t="str">
        <f t="shared" ca="1" si="221"/>
        <v>REC</v>
      </c>
      <c r="L1452" t="str">
        <f t="shared" ca="1" si="222"/>
        <v>imp</v>
      </c>
      <c r="M1452" t="str">
        <f t="shared" ca="1" si="219"/>
        <v>WTP</v>
      </c>
      <c r="N1452">
        <f t="shared" ca="1" si="220"/>
        <v>5.7903509216587297E-8</v>
      </c>
    </row>
    <row r="1453" spans="6:14" x14ac:dyDescent="0.35">
      <c r="F1453">
        <f t="shared" si="227"/>
        <v>21</v>
      </c>
      <c r="G1453">
        <f t="shared" si="224"/>
        <v>32</v>
      </c>
      <c r="H1453">
        <f t="shared" si="225"/>
        <v>1</v>
      </c>
      <c r="K1453" t="str">
        <f t="shared" ca="1" si="221"/>
        <v>DWE</v>
      </c>
      <c r="L1453" t="str">
        <f t="shared" ca="1" si="222"/>
        <v>imp</v>
      </c>
      <c r="M1453" t="str">
        <f t="shared" ca="1" si="219"/>
        <v>WTP</v>
      </c>
      <c r="N1453">
        <f t="shared" ca="1" si="220"/>
        <v>5.7903509216587297E-8</v>
      </c>
    </row>
    <row r="1454" spans="6:14" x14ac:dyDescent="0.35">
      <c r="F1454">
        <f t="shared" si="227"/>
        <v>22</v>
      </c>
      <c r="G1454">
        <f t="shared" si="224"/>
        <v>0</v>
      </c>
      <c r="H1454">
        <f t="shared" si="225"/>
        <v>0</v>
      </c>
      <c r="K1454" t="str">
        <f t="shared" ca="1" si="221"/>
        <v>AG</v>
      </c>
      <c r="L1454" t="str">
        <f t="shared" ca="1" si="222"/>
        <v>dom</v>
      </c>
      <c r="M1454" t="str">
        <f t="shared" ca="1" si="219"/>
        <v>ATP</v>
      </c>
      <c r="N1454">
        <f t="shared" ca="1" si="220"/>
        <v>1.8382478772684951</v>
      </c>
    </row>
    <row r="1455" spans="6:14" x14ac:dyDescent="0.35">
      <c r="F1455">
        <f t="shared" si="227"/>
        <v>22</v>
      </c>
      <c r="G1455">
        <f t="shared" si="224"/>
        <v>1</v>
      </c>
      <c r="H1455">
        <f t="shared" si="225"/>
        <v>0</v>
      </c>
      <c r="K1455" t="str">
        <f t="shared" ca="1" si="221"/>
        <v>MIN</v>
      </c>
      <c r="L1455" t="str">
        <f t="shared" ca="1" si="222"/>
        <v>dom</v>
      </c>
      <c r="M1455" t="str">
        <f t="shared" ca="1" si="219"/>
        <v>ATP</v>
      </c>
      <c r="N1455">
        <f t="shared" ca="1" si="220"/>
        <v>3.2066710992878988</v>
      </c>
    </row>
    <row r="1456" spans="6:14" x14ac:dyDescent="0.35">
      <c r="F1456">
        <f t="shared" si="227"/>
        <v>22</v>
      </c>
      <c r="G1456">
        <f t="shared" si="224"/>
        <v>2</v>
      </c>
      <c r="H1456">
        <f t="shared" si="225"/>
        <v>0</v>
      </c>
      <c r="K1456" t="str">
        <f t="shared" ca="1" si="221"/>
        <v>FBT</v>
      </c>
      <c r="L1456" t="str">
        <f t="shared" ca="1" si="222"/>
        <v>dom</v>
      </c>
      <c r="M1456" t="str">
        <f t="shared" ca="1" si="219"/>
        <v>ATP</v>
      </c>
      <c r="N1456">
        <f t="shared" ca="1" si="220"/>
        <v>5.3993570821390913</v>
      </c>
    </row>
    <row r="1457" spans="6:14" x14ac:dyDescent="0.35">
      <c r="F1457">
        <f t="shared" si="227"/>
        <v>22</v>
      </c>
      <c r="G1457">
        <f t="shared" si="224"/>
        <v>3</v>
      </c>
      <c r="H1457">
        <f t="shared" si="225"/>
        <v>0</v>
      </c>
      <c r="K1457" t="str">
        <f t="shared" ca="1" si="221"/>
        <v>TEX</v>
      </c>
      <c r="L1457" t="str">
        <f t="shared" ca="1" si="222"/>
        <v>dom</v>
      </c>
      <c r="M1457" t="str">
        <f t="shared" ca="1" si="219"/>
        <v>ATP</v>
      </c>
      <c r="N1457">
        <f t="shared" ca="1" si="220"/>
        <v>28.124457504223656</v>
      </c>
    </row>
    <row r="1458" spans="6:14" x14ac:dyDescent="0.35">
      <c r="F1458">
        <f t="shared" si="227"/>
        <v>22</v>
      </c>
      <c r="G1458">
        <f t="shared" si="224"/>
        <v>4</v>
      </c>
      <c r="H1458">
        <f t="shared" si="225"/>
        <v>0</v>
      </c>
      <c r="K1458" t="str">
        <f t="shared" ca="1" si="221"/>
        <v>LEATHER</v>
      </c>
      <c r="L1458" t="str">
        <f t="shared" ca="1" si="222"/>
        <v>dom</v>
      </c>
      <c r="M1458" t="str">
        <f t="shared" ca="1" si="219"/>
        <v>ATP</v>
      </c>
      <c r="N1458">
        <f t="shared" ca="1" si="220"/>
        <v>0.19956603578313686</v>
      </c>
    </row>
    <row r="1459" spans="6:14" x14ac:dyDescent="0.35">
      <c r="F1459">
        <f t="shared" si="227"/>
        <v>22</v>
      </c>
      <c r="G1459">
        <f t="shared" si="224"/>
        <v>5</v>
      </c>
      <c r="H1459">
        <f t="shared" si="225"/>
        <v>0</v>
      </c>
      <c r="K1459" t="str">
        <f t="shared" ca="1" si="221"/>
        <v>WOOD</v>
      </c>
      <c r="L1459" t="str">
        <f t="shared" ca="1" si="222"/>
        <v>dom</v>
      </c>
      <c r="M1459" t="str">
        <f t="shared" ca="1" si="219"/>
        <v>ATP</v>
      </c>
      <c r="N1459">
        <f t="shared" ca="1" si="220"/>
        <v>1.2285121614858037</v>
      </c>
    </row>
    <row r="1460" spans="6:14" x14ac:dyDescent="0.35">
      <c r="F1460">
        <f t="shared" si="227"/>
        <v>22</v>
      </c>
      <c r="G1460">
        <f t="shared" si="224"/>
        <v>6</v>
      </c>
      <c r="H1460">
        <f t="shared" si="225"/>
        <v>0</v>
      </c>
      <c r="K1460" t="str">
        <f t="shared" ca="1" si="221"/>
        <v>PPP</v>
      </c>
      <c r="L1460" t="str">
        <f t="shared" ca="1" si="222"/>
        <v>dom</v>
      </c>
      <c r="M1460" t="str">
        <f t="shared" ca="1" si="219"/>
        <v>ATP</v>
      </c>
      <c r="N1460">
        <f t="shared" ca="1" si="220"/>
        <v>24.589383150362202</v>
      </c>
    </row>
    <row r="1461" spans="6:14" x14ac:dyDescent="0.35">
      <c r="F1461">
        <f t="shared" ref="F1461:F1476" si="228">F1395+1</f>
        <v>22</v>
      </c>
      <c r="G1461">
        <f t="shared" si="224"/>
        <v>7</v>
      </c>
      <c r="H1461">
        <f t="shared" si="225"/>
        <v>0</v>
      </c>
      <c r="K1461" t="str">
        <f t="shared" ca="1" si="221"/>
        <v>PC</v>
      </c>
      <c r="L1461" t="str">
        <f t="shared" ca="1" si="222"/>
        <v>dom</v>
      </c>
      <c r="M1461" t="str">
        <f t="shared" ca="1" si="219"/>
        <v>ATP</v>
      </c>
      <c r="N1461">
        <f t="shared" ca="1" si="220"/>
        <v>3.7469483953260982</v>
      </c>
    </row>
    <row r="1462" spans="6:14" x14ac:dyDescent="0.35">
      <c r="F1462">
        <f t="shared" si="228"/>
        <v>22</v>
      </c>
      <c r="G1462">
        <f t="shared" si="224"/>
        <v>8</v>
      </c>
      <c r="H1462">
        <f t="shared" si="225"/>
        <v>0</v>
      </c>
      <c r="K1462" t="str">
        <f t="shared" ca="1" si="221"/>
        <v>CHM</v>
      </c>
      <c r="L1462" t="str">
        <f t="shared" ca="1" si="222"/>
        <v>dom</v>
      </c>
      <c r="M1462" t="str">
        <f t="shared" ca="1" si="219"/>
        <v>ATP</v>
      </c>
      <c r="N1462">
        <f t="shared" ca="1" si="220"/>
        <v>23.332999346914342</v>
      </c>
    </row>
    <row r="1463" spans="6:14" x14ac:dyDescent="0.35">
      <c r="F1463">
        <f t="shared" si="228"/>
        <v>22</v>
      </c>
      <c r="G1463">
        <f t="shared" si="224"/>
        <v>9</v>
      </c>
      <c r="H1463">
        <f t="shared" si="225"/>
        <v>0</v>
      </c>
      <c r="K1463" t="str">
        <f t="shared" ca="1" si="221"/>
        <v>RUBBER</v>
      </c>
      <c r="L1463" t="str">
        <f t="shared" ca="1" si="222"/>
        <v>dom</v>
      </c>
      <c r="M1463" t="str">
        <f t="shared" ca="1" si="219"/>
        <v>ATP</v>
      </c>
      <c r="N1463">
        <f t="shared" ca="1" si="220"/>
        <v>36.525558978804185</v>
      </c>
    </row>
    <row r="1464" spans="6:14" x14ac:dyDescent="0.35">
      <c r="F1464">
        <f t="shared" si="228"/>
        <v>22</v>
      </c>
      <c r="G1464">
        <f t="shared" si="224"/>
        <v>10</v>
      </c>
      <c r="H1464">
        <f t="shared" si="225"/>
        <v>0</v>
      </c>
      <c r="K1464" t="str">
        <f t="shared" ca="1" si="221"/>
        <v>NMM</v>
      </c>
      <c r="L1464" t="str">
        <f t="shared" ca="1" si="222"/>
        <v>dom</v>
      </c>
      <c r="M1464" t="str">
        <f t="shared" ca="1" si="219"/>
        <v>ATP</v>
      </c>
      <c r="N1464">
        <f t="shared" ca="1" si="220"/>
        <v>33.836390558367</v>
      </c>
    </row>
    <row r="1465" spans="6:14" x14ac:dyDescent="0.35">
      <c r="F1465">
        <f t="shared" si="228"/>
        <v>22</v>
      </c>
      <c r="G1465">
        <f t="shared" si="224"/>
        <v>11</v>
      </c>
      <c r="H1465">
        <f t="shared" si="225"/>
        <v>0</v>
      </c>
      <c r="K1465" t="str">
        <f t="shared" ca="1" si="221"/>
        <v>METAL</v>
      </c>
      <c r="L1465" t="str">
        <f t="shared" ca="1" si="222"/>
        <v>dom</v>
      </c>
      <c r="M1465" t="str">
        <f t="shared" ca="1" si="219"/>
        <v>ATP</v>
      </c>
      <c r="N1465">
        <f t="shared" ca="1" si="220"/>
        <v>98.965587155277049</v>
      </c>
    </row>
    <row r="1466" spans="6:14" x14ac:dyDescent="0.35">
      <c r="F1466">
        <f t="shared" si="228"/>
        <v>22</v>
      </c>
      <c r="G1466">
        <f t="shared" si="224"/>
        <v>12</v>
      </c>
      <c r="H1466">
        <f t="shared" si="225"/>
        <v>0</v>
      </c>
      <c r="K1466" t="str">
        <f t="shared" ca="1" si="221"/>
        <v>MACH</v>
      </c>
      <c r="L1466" t="str">
        <f t="shared" ca="1" si="222"/>
        <v>dom</v>
      </c>
      <c r="M1466" t="str">
        <f t="shared" ca="1" si="219"/>
        <v>ATP</v>
      </c>
      <c r="N1466">
        <f t="shared" ca="1" si="220"/>
        <v>143.24488556158082</v>
      </c>
    </row>
    <row r="1467" spans="6:14" x14ac:dyDescent="0.35">
      <c r="F1467">
        <f t="shared" si="228"/>
        <v>22</v>
      </c>
      <c r="G1467">
        <f t="shared" si="224"/>
        <v>13</v>
      </c>
      <c r="H1467">
        <f t="shared" si="225"/>
        <v>0</v>
      </c>
      <c r="K1467" t="str">
        <f t="shared" ca="1" si="221"/>
        <v>ELEC</v>
      </c>
      <c r="L1467" t="str">
        <f t="shared" ca="1" si="222"/>
        <v>dom</v>
      </c>
      <c r="M1467" t="str">
        <f t="shared" ca="1" si="219"/>
        <v>ATP</v>
      </c>
      <c r="N1467">
        <f t="shared" ca="1" si="220"/>
        <v>29.798046311649827</v>
      </c>
    </row>
    <row r="1468" spans="6:14" x14ac:dyDescent="0.35">
      <c r="F1468">
        <f t="shared" si="228"/>
        <v>22</v>
      </c>
      <c r="G1468">
        <f t="shared" si="224"/>
        <v>14</v>
      </c>
      <c r="H1468">
        <f t="shared" si="225"/>
        <v>0</v>
      </c>
      <c r="K1468" t="str">
        <f t="shared" ca="1" si="221"/>
        <v>TRNEQUIP</v>
      </c>
      <c r="L1468" t="str">
        <f t="shared" ca="1" si="222"/>
        <v>dom</v>
      </c>
      <c r="M1468" t="str">
        <f t="shared" ca="1" si="219"/>
        <v>ATP</v>
      </c>
      <c r="N1468">
        <f t="shared" ca="1" si="220"/>
        <v>43.043513996702394</v>
      </c>
    </row>
    <row r="1469" spans="6:14" x14ac:dyDescent="0.35">
      <c r="F1469">
        <f t="shared" si="228"/>
        <v>22</v>
      </c>
      <c r="G1469">
        <f t="shared" si="224"/>
        <v>15</v>
      </c>
      <c r="H1469">
        <f t="shared" si="225"/>
        <v>0</v>
      </c>
      <c r="K1469" t="str">
        <f t="shared" ca="1" si="221"/>
        <v>ROMAN</v>
      </c>
      <c r="L1469" t="str">
        <f t="shared" ca="1" si="222"/>
        <v>dom</v>
      </c>
      <c r="M1469" t="str">
        <f t="shared" ca="1" si="219"/>
        <v>ATP</v>
      </c>
      <c r="N1469">
        <f t="shared" ca="1" si="220"/>
        <v>117.20469380422159</v>
      </c>
    </row>
    <row r="1470" spans="6:14" x14ac:dyDescent="0.35">
      <c r="F1470">
        <f t="shared" si="228"/>
        <v>22</v>
      </c>
      <c r="G1470">
        <f t="shared" si="224"/>
        <v>16</v>
      </c>
      <c r="H1470">
        <f t="shared" si="225"/>
        <v>0</v>
      </c>
      <c r="K1470" t="str">
        <f t="shared" ca="1" si="221"/>
        <v>ELYGASWTR</v>
      </c>
      <c r="L1470" t="str">
        <f t="shared" ca="1" si="222"/>
        <v>dom</v>
      </c>
      <c r="M1470" t="str">
        <f t="shared" ca="1" si="219"/>
        <v>ATP</v>
      </c>
      <c r="N1470">
        <f t="shared" ca="1" si="220"/>
        <v>2.674533396771229E-6</v>
      </c>
    </row>
    <row r="1471" spans="6:14" x14ac:dyDescent="0.35">
      <c r="F1471">
        <f t="shared" si="228"/>
        <v>22</v>
      </c>
      <c r="G1471">
        <f t="shared" si="224"/>
        <v>17</v>
      </c>
      <c r="H1471">
        <f t="shared" si="225"/>
        <v>0</v>
      </c>
      <c r="K1471" t="str">
        <f t="shared" ca="1" si="221"/>
        <v>CNS</v>
      </c>
      <c r="L1471" t="str">
        <f t="shared" ca="1" si="222"/>
        <v>dom</v>
      </c>
      <c r="M1471" t="str">
        <f t="shared" ca="1" si="219"/>
        <v>ATP</v>
      </c>
      <c r="N1471">
        <f t="shared" ca="1" si="220"/>
        <v>3893.3570572962535</v>
      </c>
    </row>
    <row r="1472" spans="6:14" x14ac:dyDescent="0.35">
      <c r="F1472">
        <f t="shared" si="228"/>
        <v>22</v>
      </c>
      <c r="G1472">
        <f t="shared" si="224"/>
        <v>18</v>
      </c>
      <c r="H1472">
        <f t="shared" si="225"/>
        <v>0</v>
      </c>
      <c r="K1472" t="str">
        <f t="shared" ca="1" si="221"/>
        <v>TRD</v>
      </c>
      <c r="L1472" t="str">
        <f t="shared" ca="1" si="222"/>
        <v>dom</v>
      </c>
      <c r="M1472" t="str">
        <f t="shared" ca="1" si="219"/>
        <v>ATP</v>
      </c>
      <c r="N1472">
        <f t="shared" ca="1" si="220"/>
        <v>622.52183622228119</v>
      </c>
    </row>
    <row r="1473" spans="6:14" x14ac:dyDescent="0.35">
      <c r="F1473">
        <f t="shared" si="228"/>
        <v>22</v>
      </c>
      <c r="G1473">
        <f t="shared" si="224"/>
        <v>19</v>
      </c>
      <c r="H1473">
        <f t="shared" si="225"/>
        <v>0</v>
      </c>
      <c r="K1473" t="str">
        <f t="shared" ca="1" si="221"/>
        <v>AFS</v>
      </c>
      <c r="L1473" t="str">
        <f t="shared" ca="1" si="222"/>
        <v>dom</v>
      </c>
      <c r="M1473" t="str">
        <f t="shared" ca="1" si="219"/>
        <v>ATP</v>
      </c>
      <c r="N1473">
        <f t="shared" ca="1" si="220"/>
        <v>2.674533396771229E-6</v>
      </c>
    </row>
    <row r="1474" spans="6:14" x14ac:dyDescent="0.35">
      <c r="F1474">
        <f t="shared" si="228"/>
        <v>22</v>
      </c>
      <c r="G1474">
        <f t="shared" si="224"/>
        <v>20</v>
      </c>
      <c r="H1474">
        <f t="shared" si="225"/>
        <v>0</v>
      </c>
      <c r="K1474" t="str">
        <f t="shared" ca="1" si="221"/>
        <v>OTP</v>
      </c>
      <c r="L1474" t="str">
        <f t="shared" ca="1" si="222"/>
        <v>dom</v>
      </c>
      <c r="M1474" t="str">
        <f t="shared" ref="M1474:M1537" ca="1" si="229">OFFSET(A$2,F1474,0)</f>
        <v>ATP</v>
      </c>
      <c r="N1474">
        <f t="shared" ref="N1474:N1537" ca="1" si="230">SUMIFS(C:C,A:A,K1474,B:B,L1474)*SUMIFS(U:U,S:S,M1474)</f>
        <v>2.674533396771229E-6</v>
      </c>
    </row>
    <row r="1475" spans="6:14" x14ac:dyDescent="0.35">
      <c r="F1475">
        <f t="shared" si="228"/>
        <v>22</v>
      </c>
      <c r="G1475">
        <f t="shared" si="224"/>
        <v>21</v>
      </c>
      <c r="H1475">
        <f t="shared" si="225"/>
        <v>0</v>
      </c>
      <c r="K1475" t="str">
        <f t="shared" ref="K1475:K1538" ca="1" si="231">OFFSET(A$2,G1475,0)</f>
        <v>WTP</v>
      </c>
      <c r="L1475" t="str">
        <f t="shared" ref="L1475:L1538" ca="1" si="232">OFFSET($V$3,H1475,0)</f>
        <v>dom</v>
      </c>
      <c r="M1475" t="str">
        <f t="shared" ca="1" si="229"/>
        <v>ATP</v>
      </c>
      <c r="N1475">
        <f t="shared" ca="1" si="230"/>
        <v>2.674533396771229E-6</v>
      </c>
    </row>
    <row r="1476" spans="6:14" x14ac:dyDescent="0.35">
      <c r="F1476">
        <f t="shared" si="228"/>
        <v>22</v>
      </c>
      <c r="G1476">
        <f t="shared" si="224"/>
        <v>22</v>
      </c>
      <c r="H1476">
        <f t="shared" si="225"/>
        <v>0</v>
      </c>
      <c r="K1476" t="str">
        <f t="shared" ca="1" si="231"/>
        <v>ATP</v>
      </c>
      <c r="L1476" t="str">
        <f t="shared" ca="1" si="232"/>
        <v>dom</v>
      </c>
      <c r="M1476" t="str">
        <f t="shared" ca="1" si="229"/>
        <v>ATP</v>
      </c>
      <c r="N1476">
        <f t="shared" ca="1" si="230"/>
        <v>2.674533396771229E-6</v>
      </c>
    </row>
    <row r="1477" spans="6:14" x14ac:dyDescent="0.35">
      <c r="F1477">
        <f t="shared" ref="F1477:F1492" si="233">F1411+1</f>
        <v>22</v>
      </c>
      <c r="G1477">
        <f t="shared" ref="G1477:G1540" si="234">G1444</f>
        <v>23</v>
      </c>
      <c r="H1477">
        <f t="shared" ref="H1477:H1540" si="235">H1411</f>
        <v>0</v>
      </c>
      <c r="K1477" t="str">
        <f t="shared" ca="1" si="231"/>
        <v>WHS</v>
      </c>
      <c r="L1477" t="str">
        <f t="shared" ca="1" si="232"/>
        <v>dom</v>
      </c>
      <c r="M1477" t="str">
        <f t="shared" ca="1" si="229"/>
        <v>ATP</v>
      </c>
      <c r="N1477">
        <f t="shared" ca="1" si="230"/>
        <v>2.674533396771229E-6</v>
      </c>
    </row>
    <row r="1478" spans="6:14" x14ac:dyDescent="0.35">
      <c r="F1478">
        <f t="shared" si="233"/>
        <v>22</v>
      </c>
      <c r="G1478">
        <f t="shared" si="234"/>
        <v>24</v>
      </c>
      <c r="H1478">
        <f t="shared" si="235"/>
        <v>0</v>
      </c>
      <c r="K1478" t="str">
        <f t="shared" ca="1" si="231"/>
        <v>CMN</v>
      </c>
      <c r="L1478" t="str">
        <f t="shared" ca="1" si="232"/>
        <v>dom</v>
      </c>
      <c r="M1478" t="str">
        <f t="shared" ca="1" si="229"/>
        <v>ATP</v>
      </c>
      <c r="N1478">
        <f t="shared" ca="1" si="230"/>
        <v>2.674533396771229E-6</v>
      </c>
    </row>
    <row r="1479" spans="6:14" x14ac:dyDescent="0.35">
      <c r="F1479">
        <f t="shared" si="233"/>
        <v>22</v>
      </c>
      <c r="G1479">
        <f t="shared" si="234"/>
        <v>25</v>
      </c>
      <c r="H1479">
        <f t="shared" si="235"/>
        <v>0</v>
      </c>
      <c r="K1479" t="str">
        <f t="shared" ca="1" si="231"/>
        <v>OFI</v>
      </c>
      <c r="L1479" t="str">
        <f t="shared" ca="1" si="232"/>
        <v>dom</v>
      </c>
      <c r="M1479" t="str">
        <f t="shared" ca="1" si="229"/>
        <v>ATP</v>
      </c>
      <c r="N1479">
        <f t="shared" ca="1" si="230"/>
        <v>2.674533396771229E-6</v>
      </c>
    </row>
    <row r="1480" spans="6:14" x14ac:dyDescent="0.35">
      <c r="F1480">
        <f t="shared" si="233"/>
        <v>22</v>
      </c>
      <c r="G1480">
        <f t="shared" si="234"/>
        <v>26</v>
      </c>
      <c r="H1480">
        <f t="shared" si="235"/>
        <v>0</v>
      </c>
      <c r="K1480" t="str">
        <f t="shared" ca="1" si="231"/>
        <v>RSA</v>
      </c>
      <c r="L1480" t="str">
        <f t="shared" ca="1" si="232"/>
        <v>dom</v>
      </c>
      <c r="M1480" t="str">
        <f t="shared" ca="1" si="229"/>
        <v>ATP</v>
      </c>
      <c r="N1480">
        <f t="shared" ca="1" si="230"/>
        <v>2.674533396771229E-6</v>
      </c>
    </row>
    <row r="1481" spans="6:14" x14ac:dyDescent="0.35">
      <c r="F1481">
        <f t="shared" si="233"/>
        <v>22</v>
      </c>
      <c r="G1481">
        <f t="shared" si="234"/>
        <v>27</v>
      </c>
      <c r="H1481">
        <f t="shared" si="235"/>
        <v>0</v>
      </c>
      <c r="K1481" t="str">
        <f t="shared" ca="1" si="231"/>
        <v>OBS</v>
      </c>
      <c r="L1481" t="str">
        <f t="shared" ca="1" si="232"/>
        <v>dom</v>
      </c>
      <c r="M1481" t="str">
        <f t="shared" ca="1" si="229"/>
        <v>ATP</v>
      </c>
      <c r="N1481">
        <f t="shared" ca="1" si="230"/>
        <v>2.674533396771229E-6</v>
      </c>
    </row>
    <row r="1482" spans="6:14" x14ac:dyDescent="0.35">
      <c r="F1482">
        <f t="shared" si="233"/>
        <v>22</v>
      </c>
      <c r="G1482">
        <f t="shared" si="234"/>
        <v>28</v>
      </c>
      <c r="H1482">
        <f t="shared" si="235"/>
        <v>0</v>
      </c>
      <c r="K1482" t="str">
        <f t="shared" ca="1" si="231"/>
        <v>GOV</v>
      </c>
      <c r="L1482" t="str">
        <f t="shared" ca="1" si="232"/>
        <v>dom</v>
      </c>
      <c r="M1482" t="str">
        <f t="shared" ca="1" si="229"/>
        <v>ATP</v>
      </c>
      <c r="N1482">
        <f t="shared" ca="1" si="230"/>
        <v>2.674533396771229E-6</v>
      </c>
    </row>
    <row r="1483" spans="6:14" x14ac:dyDescent="0.35">
      <c r="F1483">
        <f t="shared" si="233"/>
        <v>22</v>
      </c>
      <c r="G1483">
        <f t="shared" si="234"/>
        <v>29</v>
      </c>
      <c r="H1483">
        <f t="shared" si="235"/>
        <v>0</v>
      </c>
      <c r="K1483" t="str">
        <f t="shared" ca="1" si="231"/>
        <v>EDU</v>
      </c>
      <c r="L1483" t="str">
        <f t="shared" ca="1" si="232"/>
        <v>dom</v>
      </c>
      <c r="M1483" t="str">
        <f t="shared" ca="1" si="229"/>
        <v>ATP</v>
      </c>
      <c r="N1483">
        <f t="shared" ca="1" si="230"/>
        <v>2.674533396771229E-6</v>
      </c>
    </row>
    <row r="1484" spans="6:14" x14ac:dyDescent="0.35">
      <c r="F1484">
        <f t="shared" si="233"/>
        <v>22</v>
      </c>
      <c r="G1484">
        <f t="shared" si="234"/>
        <v>30</v>
      </c>
      <c r="H1484">
        <f t="shared" si="235"/>
        <v>0</v>
      </c>
      <c r="K1484" t="str">
        <f t="shared" ca="1" si="231"/>
        <v>HHT</v>
      </c>
      <c r="L1484" t="str">
        <f t="shared" ca="1" si="232"/>
        <v>dom</v>
      </c>
      <c r="M1484" t="str">
        <f t="shared" ca="1" si="229"/>
        <v>ATP</v>
      </c>
      <c r="N1484">
        <f t="shared" ca="1" si="230"/>
        <v>2.674533396771229E-6</v>
      </c>
    </row>
    <row r="1485" spans="6:14" x14ac:dyDescent="0.35">
      <c r="F1485">
        <f t="shared" si="233"/>
        <v>22</v>
      </c>
      <c r="G1485">
        <f t="shared" si="234"/>
        <v>31</v>
      </c>
      <c r="H1485">
        <f t="shared" si="235"/>
        <v>0</v>
      </c>
      <c r="K1485" t="str">
        <f t="shared" ca="1" si="231"/>
        <v>REC</v>
      </c>
      <c r="L1485" t="str">
        <f t="shared" ca="1" si="232"/>
        <v>dom</v>
      </c>
      <c r="M1485" t="str">
        <f t="shared" ca="1" si="229"/>
        <v>ATP</v>
      </c>
      <c r="N1485">
        <f t="shared" ca="1" si="230"/>
        <v>2.674533396771229E-6</v>
      </c>
    </row>
    <row r="1486" spans="6:14" x14ac:dyDescent="0.35">
      <c r="F1486">
        <f t="shared" si="233"/>
        <v>22</v>
      </c>
      <c r="G1486">
        <f t="shared" si="234"/>
        <v>32</v>
      </c>
      <c r="H1486">
        <f t="shared" si="235"/>
        <v>0</v>
      </c>
      <c r="K1486" t="str">
        <f t="shared" ca="1" si="231"/>
        <v>DWE</v>
      </c>
      <c r="L1486" t="str">
        <f t="shared" ca="1" si="232"/>
        <v>dom</v>
      </c>
      <c r="M1486" t="str">
        <f t="shared" ca="1" si="229"/>
        <v>ATP</v>
      </c>
      <c r="N1486">
        <f t="shared" ca="1" si="230"/>
        <v>2.674533396771229E-6</v>
      </c>
    </row>
    <row r="1487" spans="6:14" x14ac:dyDescent="0.35">
      <c r="F1487">
        <f t="shared" si="233"/>
        <v>22</v>
      </c>
      <c r="G1487">
        <f t="shared" si="234"/>
        <v>0</v>
      </c>
      <c r="H1487">
        <f t="shared" si="235"/>
        <v>1</v>
      </c>
      <c r="K1487" t="str">
        <f t="shared" ca="1" si="231"/>
        <v>AG</v>
      </c>
      <c r="L1487" t="str">
        <f t="shared" ca="1" si="232"/>
        <v>imp</v>
      </c>
      <c r="M1487" t="str">
        <f t="shared" ca="1" si="229"/>
        <v>ATP</v>
      </c>
      <c r="N1487">
        <f t="shared" ca="1" si="230"/>
        <v>24.744312380738684</v>
      </c>
    </row>
    <row r="1488" spans="6:14" x14ac:dyDescent="0.35">
      <c r="F1488">
        <f t="shared" si="233"/>
        <v>22</v>
      </c>
      <c r="G1488">
        <f t="shared" si="234"/>
        <v>1</v>
      </c>
      <c r="H1488">
        <f t="shared" si="235"/>
        <v>1</v>
      </c>
      <c r="K1488" t="str">
        <f t="shared" ca="1" si="231"/>
        <v>MIN</v>
      </c>
      <c r="L1488" t="str">
        <f t="shared" ca="1" si="232"/>
        <v>imp</v>
      </c>
      <c r="M1488" t="str">
        <f t="shared" ca="1" si="229"/>
        <v>ATP</v>
      </c>
      <c r="N1488">
        <f t="shared" ca="1" si="230"/>
        <v>39.037411363806342</v>
      </c>
    </row>
    <row r="1489" spans="6:14" x14ac:dyDescent="0.35">
      <c r="F1489">
        <f t="shared" si="233"/>
        <v>22</v>
      </c>
      <c r="G1489">
        <f t="shared" si="234"/>
        <v>2</v>
      </c>
      <c r="H1489">
        <f t="shared" si="235"/>
        <v>1</v>
      </c>
      <c r="K1489" t="str">
        <f t="shared" ca="1" si="231"/>
        <v>FBT</v>
      </c>
      <c r="L1489" t="str">
        <f t="shared" ca="1" si="232"/>
        <v>imp</v>
      </c>
      <c r="M1489" t="str">
        <f t="shared" ca="1" si="229"/>
        <v>ATP</v>
      </c>
      <c r="N1489">
        <f t="shared" ca="1" si="230"/>
        <v>9.7683577277629912</v>
      </c>
    </row>
    <row r="1490" spans="6:14" x14ac:dyDescent="0.35">
      <c r="F1490">
        <f t="shared" si="233"/>
        <v>22</v>
      </c>
      <c r="G1490">
        <f t="shared" si="234"/>
        <v>3</v>
      </c>
      <c r="H1490">
        <f t="shared" si="235"/>
        <v>1</v>
      </c>
      <c r="K1490" t="str">
        <f t="shared" ca="1" si="231"/>
        <v>TEX</v>
      </c>
      <c r="L1490" t="str">
        <f t="shared" ca="1" si="232"/>
        <v>imp</v>
      </c>
      <c r="M1490" t="str">
        <f t="shared" ca="1" si="229"/>
        <v>ATP</v>
      </c>
      <c r="N1490">
        <f t="shared" ca="1" si="230"/>
        <v>191.69440756457266</v>
      </c>
    </row>
    <row r="1491" spans="6:14" x14ac:dyDescent="0.35">
      <c r="F1491">
        <f t="shared" si="233"/>
        <v>22</v>
      </c>
      <c r="G1491">
        <f t="shared" si="234"/>
        <v>4</v>
      </c>
      <c r="H1491">
        <f t="shared" si="235"/>
        <v>1</v>
      </c>
      <c r="K1491" t="str">
        <f t="shared" ca="1" si="231"/>
        <v>LEATHER</v>
      </c>
      <c r="L1491" t="str">
        <f t="shared" ca="1" si="232"/>
        <v>imp</v>
      </c>
      <c r="M1491" t="str">
        <f t="shared" ca="1" si="229"/>
        <v>ATP</v>
      </c>
      <c r="N1491">
        <f t="shared" ca="1" si="230"/>
        <v>99.905274329445916</v>
      </c>
    </row>
    <row r="1492" spans="6:14" x14ac:dyDescent="0.35">
      <c r="F1492">
        <f t="shared" si="233"/>
        <v>22</v>
      </c>
      <c r="G1492">
        <f t="shared" si="234"/>
        <v>5</v>
      </c>
      <c r="H1492">
        <f t="shared" si="235"/>
        <v>1</v>
      </c>
      <c r="K1492" t="str">
        <f t="shared" ca="1" si="231"/>
        <v>WOOD</v>
      </c>
      <c r="L1492" t="str">
        <f t="shared" ca="1" si="232"/>
        <v>imp</v>
      </c>
      <c r="M1492" t="str">
        <f t="shared" ca="1" si="229"/>
        <v>ATP</v>
      </c>
      <c r="N1492">
        <f t="shared" ca="1" si="230"/>
        <v>1.7882313055175445</v>
      </c>
    </row>
    <row r="1493" spans="6:14" x14ac:dyDescent="0.35">
      <c r="F1493">
        <f t="shared" ref="F1493:F1508" si="236">F1427+1</f>
        <v>22</v>
      </c>
      <c r="G1493">
        <f t="shared" si="234"/>
        <v>6</v>
      </c>
      <c r="H1493">
        <f t="shared" si="235"/>
        <v>1</v>
      </c>
      <c r="K1493" t="str">
        <f t="shared" ca="1" si="231"/>
        <v>PPP</v>
      </c>
      <c r="L1493" t="str">
        <f t="shared" ca="1" si="232"/>
        <v>imp</v>
      </c>
      <c r="M1493" t="str">
        <f t="shared" ca="1" si="229"/>
        <v>ATP</v>
      </c>
      <c r="N1493">
        <f t="shared" ca="1" si="230"/>
        <v>25.750350360704594</v>
      </c>
    </row>
    <row r="1494" spans="6:14" x14ac:dyDescent="0.35">
      <c r="F1494">
        <f t="shared" si="236"/>
        <v>22</v>
      </c>
      <c r="G1494">
        <f t="shared" si="234"/>
        <v>7</v>
      </c>
      <c r="H1494">
        <f t="shared" si="235"/>
        <v>1</v>
      </c>
      <c r="K1494" t="str">
        <f t="shared" ca="1" si="231"/>
        <v>PC</v>
      </c>
      <c r="L1494" t="str">
        <f t="shared" ca="1" si="232"/>
        <v>imp</v>
      </c>
      <c r="M1494" t="str">
        <f t="shared" ca="1" si="229"/>
        <v>ATP</v>
      </c>
      <c r="N1494">
        <f t="shared" ca="1" si="230"/>
        <v>6.4842410167055355</v>
      </c>
    </row>
    <row r="1495" spans="6:14" x14ac:dyDescent="0.35">
      <c r="F1495">
        <f t="shared" si="236"/>
        <v>22</v>
      </c>
      <c r="G1495">
        <f t="shared" si="234"/>
        <v>8</v>
      </c>
      <c r="H1495">
        <f t="shared" si="235"/>
        <v>1</v>
      </c>
      <c r="K1495" t="str">
        <f t="shared" ca="1" si="231"/>
        <v>CHM</v>
      </c>
      <c r="L1495" t="str">
        <f t="shared" ca="1" si="232"/>
        <v>imp</v>
      </c>
      <c r="M1495" t="str">
        <f t="shared" ca="1" si="229"/>
        <v>ATP</v>
      </c>
      <c r="N1495">
        <f t="shared" ca="1" si="230"/>
        <v>88.888117566531534</v>
      </c>
    </row>
    <row r="1496" spans="6:14" x14ac:dyDescent="0.35">
      <c r="F1496">
        <f t="shared" si="236"/>
        <v>22</v>
      </c>
      <c r="G1496">
        <f t="shared" si="234"/>
        <v>9</v>
      </c>
      <c r="H1496">
        <f t="shared" si="235"/>
        <v>1</v>
      </c>
      <c r="K1496" t="str">
        <f t="shared" ca="1" si="231"/>
        <v>RUBBER</v>
      </c>
      <c r="L1496" t="str">
        <f t="shared" ca="1" si="232"/>
        <v>imp</v>
      </c>
      <c r="M1496" t="str">
        <f t="shared" ca="1" si="229"/>
        <v>ATP</v>
      </c>
      <c r="N1496">
        <f t="shared" ca="1" si="230"/>
        <v>68.076483597083481</v>
      </c>
    </row>
    <row r="1497" spans="6:14" x14ac:dyDescent="0.35">
      <c r="F1497">
        <f t="shared" si="236"/>
        <v>22</v>
      </c>
      <c r="G1497">
        <f t="shared" si="234"/>
        <v>10</v>
      </c>
      <c r="H1497">
        <f t="shared" si="235"/>
        <v>1</v>
      </c>
      <c r="K1497" t="str">
        <f t="shared" ca="1" si="231"/>
        <v>NMM</v>
      </c>
      <c r="L1497" t="str">
        <f t="shared" ca="1" si="232"/>
        <v>imp</v>
      </c>
      <c r="M1497" t="str">
        <f t="shared" ca="1" si="229"/>
        <v>ATP</v>
      </c>
      <c r="N1497">
        <f t="shared" ca="1" si="230"/>
        <v>25.698013188510423</v>
      </c>
    </row>
    <row r="1498" spans="6:14" x14ac:dyDescent="0.35">
      <c r="F1498">
        <f t="shared" si="236"/>
        <v>22</v>
      </c>
      <c r="G1498">
        <f t="shared" si="234"/>
        <v>11</v>
      </c>
      <c r="H1498">
        <f t="shared" si="235"/>
        <v>1</v>
      </c>
      <c r="K1498" t="str">
        <f t="shared" ca="1" si="231"/>
        <v>METAL</v>
      </c>
      <c r="L1498" t="str">
        <f t="shared" ca="1" si="232"/>
        <v>imp</v>
      </c>
      <c r="M1498" t="str">
        <f t="shared" ca="1" si="229"/>
        <v>ATP</v>
      </c>
      <c r="N1498">
        <f t="shared" ca="1" si="230"/>
        <v>321.66557075830474</v>
      </c>
    </row>
    <row r="1499" spans="6:14" x14ac:dyDescent="0.35">
      <c r="F1499">
        <f t="shared" si="236"/>
        <v>22</v>
      </c>
      <c r="G1499">
        <f t="shared" si="234"/>
        <v>12</v>
      </c>
      <c r="H1499">
        <f t="shared" si="235"/>
        <v>1</v>
      </c>
      <c r="K1499" t="str">
        <f t="shared" ca="1" si="231"/>
        <v>MACH</v>
      </c>
      <c r="L1499" t="str">
        <f t="shared" ca="1" si="232"/>
        <v>imp</v>
      </c>
      <c r="M1499" t="str">
        <f t="shared" ca="1" si="229"/>
        <v>ATP</v>
      </c>
      <c r="N1499">
        <f t="shared" ca="1" si="230"/>
        <v>1232.22742199911</v>
      </c>
    </row>
    <row r="1500" spans="6:14" x14ac:dyDescent="0.35">
      <c r="F1500">
        <f t="shared" si="236"/>
        <v>22</v>
      </c>
      <c r="G1500">
        <f t="shared" si="234"/>
        <v>13</v>
      </c>
      <c r="H1500">
        <f t="shared" si="235"/>
        <v>1</v>
      </c>
      <c r="K1500" t="str">
        <f t="shared" ca="1" si="231"/>
        <v>ELEC</v>
      </c>
      <c r="L1500" t="str">
        <f t="shared" ca="1" si="232"/>
        <v>imp</v>
      </c>
      <c r="M1500" t="str">
        <f t="shared" ca="1" si="229"/>
        <v>ATP</v>
      </c>
      <c r="N1500">
        <f t="shared" ca="1" si="230"/>
        <v>660.68275578583984</v>
      </c>
    </row>
    <row r="1501" spans="6:14" x14ac:dyDescent="0.35">
      <c r="F1501">
        <f t="shared" si="236"/>
        <v>22</v>
      </c>
      <c r="G1501">
        <f t="shared" si="234"/>
        <v>14</v>
      </c>
      <c r="H1501">
        <f t="shared" si="235"/>
        <v>1</v>
      </c>
      <c r="K1501" t="str">
        <f t="shared" ca="1" si="231"/>
        <v>TRNEQUIP</v>
      </c>
      <c r="L1501" t="str">
        <f t="shared" ca="1" si="232"/>
        <v>imp</v>
      </c>
      <c r="M1501" t="str">
        <f t="shared" ca="1" si="229"/>
        <v>ATP</v>
      </c>
      <c r="N1501">
        <f t="shared" ca="1" si="230"/>
        <v>1054.3753651623351</v>
      </c>
    </row>
    <row r="1502" spans="6:14" x14ac:dyDescent="0.35">
      <c r="F1502">
        <f t="shared" si="236"/>
        <v>22</v>
      </c>
      <c r="G1502">
        <f t="shared" si="234"/>
        <v>15</v>
      </c>
      <c r="H1502">
        <f t="shared" si="235"/>
        <v>1</v>
      </c>
      <c r="K1502" t="str">
        <f t="shared" ca="1" si="231"/>
        <v>ROMAN</v>
      </c>
      <c r="L1502" t="str">
        <f t="shared" ca="1" si="232"/>
        <v>imp</v>
      </c>
      <c r="M1502" t="str">
        <f t="shared" ca="1" si="229"/>
        <v>ATP</v>
      </c>
      <c r="N1502">
        <f t="shared" ca="1" si="230"/>
        <v>400.06656884830488</v>
      </c>
    </row>
    <row r="1503" spans="6:14" x14ac:dyDescent="0.35">
      <c r="F1503">
        <f t="shared" si="236"/>
        <v>22</v>
      </c>
      <c r="G1503">
        <f t="shared" si="234"/>
        <v>16</v>
      </c>
      <c r="H1503">
        <f t="shared" si="235"/>
        <v>1</v>
      </c>
      <c r="K1503" t="str">
        <f t="shared" ca="1" si="231"/>
        <v>ELYGASWTR</v>
      </c>
      <c r="L1503" t="str">
        <f t="shared" ca="1" si="232"/>
        <v>imp</v>
      </c>
      <c r="M1503" t="str">
        <f t="shared" ca="1" si="229"/>
        <v>ATP</v>
      </c>
      <c r="N1503">
        <f t="shared" ca="1" si="230"/>
        <v>2.674533396771229E-6</v>
      </c>
    </row>
    <row r="1504" spans="6:14" x14ac:dyDescent="0.35">
      <c r="F1504">
        <f t="shared" si="236"/>
        <v>22</v>
      </c>
      <c r="G1504">
        <f t="shared" si="234"/>
        <v>17</v>
      </c>
      <c r="H1504">
        <f t="shared" si="235"/>
        <v>1</v>
      </c>
      <c r="K1504" t="str">
        <f t="shared" ca="1" si="231"/>
        <v>CNS</v>
      </c>
      <c r="L1504" t="str">
        <f t="shared" ca="1" si="232"/>
        <v>imp</v>
      </c>
      <c r="M1504" t="str">
        <f t="shared" ca="1" si="229"/>
        <v>ATP</v>
      </c>
      <c r="N1504">
        <f t="shared" ca="1" si="230"/>
        <v>78.315336512736025</v>
      </c>
    </row>
    <row r="1505" spans="6:14" x14ac:dyDescent="0.35">
      <c r="F1505">
        <f t="shared" si="236"/>
        <v>22</v>
      </c>
      <c r="G1505">
        <f t="shared" si="234"/>
        <v>18</v>
      </c>
      <c r="H1505">
        <f t="shared" si="235"/>
        <v>1</v>
      </c>
      <c r="K1505" t="str">
        <f t="shared" ca="1" si="231"/>
        <v>TRD</v>
      </c>
      <c r="L1505" t="str">
        <f t="shared" ca="1" si="232"/>
        <v>imp</v>
      </c>
      <c r="M1505" t="str">
        <f t="shared" ca="1" si="229"/>
        <v>ATP</v>
      </c>
      <c r="N1505">
        <f t="shared" ca="1" si="230"/>
        <v>6.8520628527745284</v>
      </c>
    </row>
    <row r="1506" spans="6:14" x14ac:dyDescent="0.35">
      <c r="F1506">
        <f t="shared" si="236"/>
        <v>22</v>
      </c>
      <c r="G1506">
        <f t="shared" si="234"/>
        <v>19</v>
      </c>
      <c r="H1506">
        <f t="shared" si="235"/>
        <v>1</v>
      </c>
      <c r="K1506" t="str">
        <f t="shared" ca="1" si="231"/>
        <v>AFS</v>
      </c>
      <c r="L1506" t="str">
        <f t="shared" ca="1" si="232"/>
        <v>imp</v>
      </c>
      <c r="M1506" t="str">
        <f t="shared" ca="1" si="229"/>
        <v>ATP</v>
      </c>
      <c r="N1506">
        <f t="shared" ca="1" si="230"/>
        <v>2.674533396771229E-6</v>
      </c>
    </row>
    <row r="1507" spans="6:14" x14ac:dyDescent="0.35">
      <c r="F1507">
        <f t="shared" si="236"/>
        <v>22</v>
      </c>
      <c r="G1507">
        <f t="shared" si="234"/>
        <v>20</v>
      </c>
      <c r="H1507">
        <f t="shared" si="235"/>
        <v>1</v>
      </c>
      <c r="K1507" t="str">
        <f t="shared" ca="1" si="231"/>
        <v>OTP</v>
      </c>
      <c r="L1507" t="str">
        <f t="shared" ca="1" si="232"/>
        <v>imp</v>
      </c>
      <c r="M1507" t="str">
        <f t="shared" ca="1" si="229"/>
        <v>ATP</v>
      </c>
      <c r="N1507">
        <f t="shared" ca="1" si="230"/>
        <v>2.674533396771229E-6</v>
      </c>
    </row>
    <row r="1508" spans="6:14" x14ac:dyDescent="0.35">
      <c r="F1508">
        <f t="shared" si="236"/>
        <v>22</v>
      </c>
      <c r="G1508">
        <f t="shared" si="234"/>
        <v>21</v>
      </c>
      <c r="H1508">
        <f t="shared" si="235"/>
        <v>1</v>
      </c>
      <c r="K1508" t="str">
        <f t="shared" ca="1" si="231"/>
        <v>WTP</v>
      </c>
      <c r="L1508" t="str">
        <f t="shared" ca="1" si="232"/>
        <v>imp</v>
      </c>
      <c r="M1508" t="str">
        <f t="shared" ca="1" si="229"/>
        <v>ATP</v>
      </c>
      <c r="N1508">
        <f t="shared" ca="1" si="230"/>
        <v>2.674533396771229E-6</v>
      </c>
    </row>
    <row r="1509" spans="6:14" x14ac:dyDescent="0.35">
      <c r="F1509">
        <f t="shared" ref="F1509:F1524" si="237">F1443+1</f>
        <v>22</v>
      </c>
      <c r="G1509">
        <f t="shared" si="234"/>
        <v>22</v>
      </c>
      <c r="H1509">
        <f t="shared" si="235"/>
        <v>1</v>
      </c>
      <c r="K1509" t="str">
        <f t="shared" ca="1" si="231"/>
        <v>ATP</v>
      </c>
      <c r="L1509" t="str">
        <f t="shared" ca="1" si="232"/>
        <v>imp</v>
      </c>
      <c r="M1509" t="str">
        <f t="shared" ca="1" si="229"/>
        <v>ATP</v>
      </c>
      <c r="N1509">
        <f t="shared" ca="1" si="230"/>
        <v>2.674533396771229E-6</v>
      </c>
    </row>
    <row r="1510" spans="6:14" x14ac:dyDescent="0.35">
      <c r="F1510">
        <f t="shared" si="237"/>
        <v>22</v>
      </c>
      <c r="G1510">
        <f t="shared" si="234"/>
        <v>23</v>
      </c>
      <c r="H1510">
        <f t="shared" si="235"/>
        <v>1</v>
      </c>
      <c r="K1510" t="str">
        <f t="shared" ca="1" si="231"/>
        <v>WHS</v>
      </c>
      <c r="L1510" t="str">
        <f t="shared" ca="1" si="232"/>
        <v>imp</v>
      </c>
      <c r="M1510" t="str">
        <f t="shared" ca="1" si="229"/>
        <v>ATP</v>
      </c>
      <c r="N1510">
        <f t="shared" ca="1" si="230"/>
        <v>2.674533396771229E-6</v>
      </c>
    </row>
    <row r="1511" spans="6:14" x14ac:dyDescent="0.35">
      <c r="F1511">
        <f t="shared" si="237"/>
        <v>22</v>
      </c>
      <c r="G1511">
        <f t="shared" si="234"/>
        <v>24</v>
      </c>
      <c r="H1511">
        <f t="shared" si="235"/>
        <v>1</v>
      </c>
      <c r="K1511" t="str">
        <f t="shared" ca="1" si="231"/>
        <v>CMN</v>
      </c>
      <c r="L1511" t="str">
        <f t="shared" ca="1" si="232"/>
        <v>imp</v>
      </c>
      <c r="M1511" t="str">
        <f t="shared" ca="1" si="229"/>
        <v>ATP</v>
      </c>
      <c r="N1511">
        <f t="shared" ca="1" si="230"/>
        <v>2.674533396771229E-6</v>
      </c>
    </row>
    <row r="1512" spans="6:14" x14ac:dyDescent="0.35">
      <c r="F1512">
        <f t="shared" si="237"/>
        <v>22</v>
      </c>
      <c r="G1512">
        <f t="shared" si="234"/>
        <v>25</v>
      </c>
      <c r="H1512">
        <f t="shared" si="235"/>
        <v>1</v>
      </c>
      <c r="K1512" t="str">
        <f t="shared" ca="1" si="231"/>
        <v>OFI</v>
      </c>
      <c r="L1512" t="str">
        <f t="shared" ca="1" si="232"/>
        <v>imp</v>
      </c>
      <c r="M1512" t="str">
        <f t="shared" ca="1" si="229"/>
        <v>ATP</v>
      </c>
      <c r="N1512">
        <f t="shared" ca="1" si="230"/>
        <v>2.674533396771229E-6</v>
      </c>
    </row>
    <row r="1513" spans="6:14" x14ac:dyDescent="0.35">
      <c r="F1513">
        <f t="shared" si="237"/>
        <v>22</v>
      </c>
      <c r="G1513">
        <f t="shared" si="234"/>
        <v>26</v>
      </c>
      <c r="H1513">
        <f t="shared" si="235"/>
        <v>1</v>
      </c>
      <c r="K1513" t="str">
        <f t="shared" ca="1" si="231"/>
        <v>RSA</v>
      </c>
      <c r="L1513" t="str">
        <f t="shared" ca="1" si="232"/>
        <v>imp</v>
      </c>
      <c r="M1513" t="str">
        <f t="shared" ca="1" si="229"/>
        <v>ATP</v>
      </c>
      <c r="N1513">
        <f t="shared" ca="1" si="230"/>
        <v>2.674533396771229E-6</v>
      </c>
    </row>
    <row r="1514" spans="6:14" x14ac:dyDescent="0.35">
      <c r="F1514">
        <f t="shared" si="237"/>
        <v>22</v>
      </c>
      <c r="G1514">
        <f t="shared" si="234"/>
        <v>27</v>
      </c>
      <c r="H1514">
        <f t="shared" si="235"/>
        <v>1</v>
      </c>
      <c r="K1514" t="str">
        <f t="shared" ca="1" si="231"/>
        <v>OBS</v>
      </c>
      <c r="L1514" t="str">
        <f t="shared" ca="1" si="232"/>
        <v>imp</v>
      </c>
      <c r="M1514" t="str">
        <f t="shared" ca="1" si="229"/>
        <v>ATP</v>
      </c>
      <c r="N1514">
        <f t="shared" ca="1" si="230"/>
        <v>2.674533396771229E-6</v>
      </c>
    </row>
    <row r="1515" spans="6:14" x14ac:dyDescent="0.35">
      <c r="F1515">
        <f t="shared" si="237"/>
        <v>22</v>
      </c>
      <c r="G1515">
        <f t="shared" si="234"/>
        <v>28</v>
      </c>
      <c r="H1515">
        <f t="shared" si="235"/>
        <v>1</v>
      </c>
      <c r="K1515" t="str">
        <f t="shared" ca="1" si="231"/>
        <v>GOV</v>
      </c>
      <c r="L1515" t="str">
        <f t="shared" ca="1" si="232"/>
        <v>imp</v>
      </c>
      <c r="M1515" t="str">
        <f t="shared" ca="1" si="229"/>
        <v>ATP</v>
      </c>
      <c r="N1515">
        <f t="shared" ca="1" si="230"/>
        <v>2.674533396771229E-6</v>
      </c>
    </row>
    <row r="1516" spans="6:14" x14ac:dyDescent="0.35">
      <c r="F1516">
        <f t="shared" si="237"/>
        <v>22</v>
      </c>
      <c r="G1516">
        <f t="shared" si="234"/>
        <v>29</v>
      </c>
      <c r="H1516">
        <f t="shared" si="235"/>
        <v>1</v>
      </c>
      <c r="K1516" t="str">
        <f t="shared" ca="1" si="231"/>
        <v>EDU</v>
      </c>
      <c r="L1516" t="str">
        <f t="shared" ca="1" si="232"/>
        <v>imp</v>
      </c>
      <c r="M1516" t="str">
        <f t="shared" ca="1" si="229"/>
        <v>ATP</v>
      </c>
      <c r="N1516">
        <f t="shared" ca="1" si="230"/>
        <v>2.674533396771229E-6</v>
      </c>
    </row>
    <row r="1517" spans="6:14" x14ac:dyDescent="0.35">
      <c r="F1517">
        <f t="shared" si="237"/>
        <v>22</v>
      </c>
      <c r="G1517">
        <f t="shared" si="234"/>
        <v>30</v>
      </c>
      <c r="H1517">
        <f t="shared" si="235"/>
        <v>1</v>
      </c>
      <c r="K1517" t="str">
        <f t="shared" ca="1" si="231"/>
        <v>HHT</v>
      </c>
      <c r="L1517" t="str">
        <f t="shared" ca="1" si="232"/>
        <v>imp</v>
      </c>
      <c r="M1517" t="str">
        <f t="shared" ca="1" si="229"/>
        <v>ATP</v>
      </c>
      <c r="N1517">
        <f t="shared" ca="1" si="230"/>
        <v>2.674533396771229E-6</v>
      </c>
    </row>
    <row r="1518" spans="6:14" x14ac:dyDescent="0.35">
      <c r="F1518">
        <f t="shared" si="237"/>
        <v>22</v>
      </c>
      <c r="G1518">
        <f t="shared" si="234"/>
        <v>31</v>
      </c>
      <c r="H1518">
        <f t="shared" si="235"/>
        <v>1</v>
      </c>
      <c r="K1518" t="str">
        <f t="shared" ca="1" si="231"/>
        <v>REC</v>
      </c>
      <c r="L1518" t="str">
        <f t="shared" ca="1" si="232"/>
        <v>imp</v>
      </c>
      <c r="M1518" t="str">
        <f t="shared" ca="1" si="229"/>
        <v>ATP</v>
      </c>
      <c r="N1518">
        <f t="shared" ca="1" si="230"/>
        <v>2.674533396771229E-6</v>
      </c>
    </row>
    <row r="1519" spans="6:14" x14ac:dyDescent="0.35">
      <c r="F1519">
        <f t="shared" si="237"/>
        <v>22</v>
      </c>
      <c r="G1519">
        <f t="shared" si="234"/>
        <v>32</v>
      </c>
      <c r="H1519">
        <f t="shared" si="235"/>
        <v>1</v>
      </c>
      <c r="K1519" t="str">
        <f t="shared" ca="1" si="231"/>
        <v>DWE</v>
      </c>
      <c r="L1519" t="str">
        <f t="shared" ca="1" si="232"/>
        <v>imp</v>
      </c>
      <c r="M1519" t="str">
        <f t="shared" ca="1" si="229"/>
        <v>ATP</v>
      </c>
      <c r="N1519">
        <f t="shared" ca="1" si="230"/>
        <v>2.674533396771229E-6</v>
      </c>
    </row>
    <row r="1520" spans="6:14" x14ac:dyDescent="0.35">
      <c r="F1520">
        <f t="shared" si="237"/>
        <v>23</v>
      </c>
      <c r="G1520">
        <f t="shared" si="234"/>
        <v>0</v>
      </c>
      <c r="H1520">
        <f t="shared" si="235"/>
        <v>0</v>
      </c>
      <c r="K1520" t="str">
        <f t="shared" ca="1" si="231"/>
        <v>AG</v>
      </c>
      <c r="L1520" t="str">
        <f t="shared" ca="1" si="232"/>
        <v>dom</v>
      </c>
      <c r="M1520" t="str">
        <f t="shared" ca="1" si="229"/>
        <v>WHS</v>
      </c>
      <c r="N1520">
        <f t="shared" ca="1" si="230"/>
        <v>1.0692514129670474</v>
      </c>
    </row>
    <row r="1521" spans="6:14" x14ac:dyDescent="0.35">
      <c r="F1521">
        <f t="shared" si="237"/>
        <v>23</v>
      </c>
      <c r="G1521">
        <f t="shared" si="234"/>
        <v>1</v>
      </c>
      <c r="H1521">
        <f t="shared" si="235"/>
        <v>0</v>
      </c>
      <c r="K1521" t="str">
        <f t="shared" ca="1" si="231"/>
        <v>MIN</v>
      </c>
      <c r="L1521" t="str">
        <f t="shared" ca="1" si="232"/>
        <v>dom</v>
      </c>
      <c r="M1521" t="str">
        <f t="shared" ca="1" si="229"/>
        <v>WHS</v>
      </c>
      <c r="N1521">
        <f t="shared" ca="1" si="230"/>
        <v>1.8652204886149737</v>
      </c>
    </row>
    <row r="1522" spans="6:14" x14ac:dyDescent="0.35">
      <c r="F1522">
        <f t="shared" si="237"/>
        <v>23</v>
      </c>
      <c r="G1522">
        <f t="shared" si="234"/>
        <v>2</v>
      </c>
      <c r="H1522">
        <f t="shared" si="235"/>
        <v>0</v>
      </c>
      <c r="K1522" t="str">
        <f t="shared" ca="1" si="231"/>
        <v>FBT</v>
      </c>
      <c r="L1522" t="str">
        <f t="shared" ca="1" si="232"/>
        <v>dom</v>
      </c>
      <c r="M1522" t="str">
        <f t="shared" ca="1" si="229"/>
        <v>WHS</v>
      </c>
      <c r="N1522">
        <f t="shared" ca="1" si="230"/>
        <v>3.1406374845211427</v>
      </c>
    </row>
    <row r="1523" spans="6:14" x14ac:dyDescent="0.35">
      <c r="F1523">
        <f t="shared" si="237"/>
        <v>23</v>
      </c>
      <c r="G1523">
        <f t="shared" si="234"/>
        <v>3</v>
      </c>
      <c r="H1523">
        <f t="shared" si="235"/>
        <v>0</v>
      </c>
      <c r="K1523" t="str">
        <f t="shared" ca="1" si="231"/>
        <v>TEX</v>
      </c>
      <c r="L1523" t="str">
        <f t="shared" ca="1" si="232"/>
        <v>dom</v>
      </c>
      <c r="M1523" t="str">
        <f t="shared" ca="1" si="229"/>
        <v>WHS</v>
      </c>
      <c r="N1523">
        <f t="shared" ca="1" si="230"/>
        <v>16.359119081376466</v>
      </c>
    </row>
    <row r="1524" spans="6:14" x14ac:dyDescent="0.35">
      <c r="F1524">
        <f t="shared" si="237"/>
        <v>23</v>
      </c>
      <c r="G1524">
        <f t="shared" si="234"/>
        <v>4</v>
      </c>
      <c r="H1524">
        <f t="shared" si="235"/>
        <v>0</v>
      </c>
      <c r="K1524" t="str">
        <f t="shared" ca="1" si="231"/>
        <v>LEATHER</v>
      </c>
      <c r="L1524" t="str">
        <f t="shared" ca="1" si="232"/>
        <v>dom</v>
      </c>
      <c r="M1524" t="str">
        <f t="shared" ca="1" si="229"/>
        <v>WHS</v>
      </c>
      <c r="N1524">
        <f t="shared" ca="1" si="230"/>
        <v>0.11608133395939407</v>
      </c>
    </row>
    <row r="1525" spans="6:14" x14ac:dyDescent="0.35">
      <c r="F1525">
        <f t="shared" ref="F1525:F1540" si="238">F1459+1</f>
        <v>23</v>
      </c>
      <c r="G1525">
        <f t="shared" si="234"/>
        <v>5</v>
      </c>
      <c r="H1525">
        <f t="shared" si="235"/>
        <v>0</v>
      </c>
      <c r="K1525" t="str">
        <f t="shared" ca="1" si="231"/>
        <v>WOOD</v>
      </c>
      <c r="L1525" t="str">
        <f t="shared" ca="1" si="232"/>
        <v>dom</v>
      </c>
      <c r="M1525" t="str">
        <f t="shared" ca="1" si="229"/>
        <v>WHS</v>
      </c>
      <c r="N1525">
        <f t="shared" ca="1" si="230"/>
        <v>0.71458717878015199</v>
      </c>
    </row>
    <row r="1526" spans="6:14" x14ac:dyDescent="0.35">
      <c r="F1526">
        <f t="shared" si="238"/>
        <v>23</v>
      </c>
      <c r="G1526">
        <f t="shared" si="234"/>
        <v>6</v>
      </c>
      <c r="H1526">
        <f t="shared" si="235"/>
        <v>0</v>
      </c>
      <c r="K1526" t="str">
        <f t="shared" ca="1" si="231"/>
        <v>PPP</v>
      </c>
      <c r="L1526" t="str">
        <f t="shared" ca="1" si="232"/>
        <v>dom</v>
      </c>
      <c r="M1526" t="str">
        <f t="shared" ca="1" si="229"/>
        <v>WHS</v>
      </c>
      <c r="N1526">
        <f t="shared" ca="1" si="230"/>
        <v>14.302876670028455</v>
      </c>
    </row>
    <row r="1527" spans="6:14" x14ac:dyDescent="0.35">
      <c r="F1527">
        <f t="shared" si="238"/>
        <v>23</v>
      </c>
      <c r="G1527">
        <f t="shared" si="234"/>
        <v>7</v>
      </c>
      <c r="H1527">
        <f t="shared" si="235"/>
        <v>0</v>
      </c>
      <c r="K1527" t="str">
        <f t="shared" ca="1" si="231"/>
        <v>PC</v>
      </c>
      <c r="L1527" t="str">
        <f t="shared" ca="1" si="232"/>
        <v>dom</v>
      </c>
      <c r="M1527" t="str">
        <f t="shared" ca="1" si="229"/>
        <v>WHS</v>
      </c>
      <c r="N1527">
        <f t="shared" ca="1" si="230"/>
        <v>2.179482928042495</v>
      </c>
    </row>
    <row r="1528" spans="6:14" x14ac:dyDescent="0.35">
      <c r="F1528">
        <f t="shared" si="238"/>
        <v>23</v>
      </c>
      <c r="G1528">
        <f t="shared" si="234"/>
        <v>8</v>
      </c>
      <c r="H1528">
        <f t="shared" si="235"/>
        <v>0</v>
      </c>
      <c r="K1528" t="str">
        <f t="shared" ca="1" si="231"/>
        <v>CHM</v>
      </c>
      <c r="L1528" t="str">
        <f t="shared" ca="1" si="232"/>
        <v>dom</v>
      </c>
      <c r="M1528" t="str">
        <f t="shared" ca="1" si="229"/>
        <v>WHS</v>
      </c>
      <c r="N1528">
        <f t="shared" ca="1" si="230"/>
        <v>13.572077427076673</v>
      </c>
    </row>
    <row r="1529" spans="6:14" x14ac:dyDescent="0.35">
      <c r="F1529">
        <f t="shared" si="238"/>
        <v>23</v>
      </c>
      <c r="G1529">
        <f t="shared" si="234"/>
        <v>9</v>
      </c>
      <c r="H1529">
        <f t="shared" si="235"/>
        <v>0</v>
      </c>
      <c r="K1529" t="str">
        <f t="shared" ca="1" si="231"/>
        <v>RUBBER</v>
      </c>
      <c r="L1529" t="str">
        <f t="shared" ca="1" si="232"/>
        <v>dom</v>
      </c>
      <c r="M1529" t="str">
        <f t="shared" ca="1" si="229"/>
        <v>WHS</v>
      </c>
      <c r="N1529">
        <f t="shared" ca="1" si="230"/>
        <v>21.245777585518308</v>
      </c>
    </row>
    <row r="1530" spans="6:14" x14ac:dyDescent="0.35">
      <c r="F1530">
        <f t="shared" si="238"/>
        <v>23</v>
      </c>
      <c r="G1530">
        <f t="shared" si="234"/>
        <v>10</v>
      </c>
      <c r="H1530">
        <f t="shared" si="235"/>
        <v>0</v>
      </c>
      <c r="K1530" t="str">
        <f t="shared" ca="1" si="231"/>
        <v>NMM</v>
      </c>
      <c r="L1530" t="str">
        <f t="shared" ca="1" si="232"/>
        <v>dom</v>
      </c>
      <c r="M1530" t="str">
        <f t="shared" ca="1" si="229"/>
        <v>WHS</v>
      </c>
      <c r="N1530">
        <f t="shared" ca="1" si="230"/>
        <v>19.68157225237713</v>
      </c>
    </row>
    <row r="1531" spans="6:14" x14ac:dyDescent="0.35">
      <c r="F1531">
        <f t="shared" si="238"/>
        <v>23</v>
      </c>
      <c r="G1531">
        <f t="shared" si="234"/>
        <v>11</v>
      </c>
      <c r="H1531">
        <f t="shared" si="235"/>
        <v>0</v>
      </c>
      <c r="K1531" t="str">
        <f t="shared" ca="1" si="231"/>
        <v>METAL</v>
      </c>
      <c r="L1531" t="str">
        <f t="shared" ca="1" si="232"/>
        <v>dom</v>
      </c>
      <c r="M1531" t="str">
        <f t="shared" ca="1" si="229"/>
        <v>WHS</v>
      </c>
      <c r="N1531">
        <f t="shared" ca="1" si="230"/>
        <v>57.565193034865928</v>
      </c>
    </row>
    <row r="1532" spans="6:14" x14ac:dyDescent="0.35">
      <c r="F1532">
        <f t="shared" si="238"/>
        <v>23</v>
      </c>
      <c r="G1532">
        <f t="shared" si="234"/>
        <v>12</v>
      </c>
      <c r="H1532">
        <f t="shared" si="235"/>
        <v>0</v>
      </c>
      <c r="K1532" t="str">
        <f t="shared" ca="1" si="231"/>
        <v>MACH</v>
      </c>
      <c r="L1532" t="str">
        <f t="shared" ca="1" si="232"/>
        <v>dom</v>
      </c>
      <c r="M1532" t="str">
        <f t="shared" ca="1" si="229"/>
        <v>WHS</v>
      </c>
      <c r="N1532">
        <f t="shared" ca="1" si="230"/>
        <v>83.321078827853853</v>
      </c>
    </row>
    <row r="1533" spans="6:14" x14ac:dyDescent="0.35">
      <c r="F1533">
        <f t="shared" si="238"/>
        <v>23</v>
      </c>
      <c r="G1533">
        <f t="shared" si="234"/>
        <v>13</v>
      </c>
      <c r="H1533">
        <f t="shared" si="235"/>
        <v>0</v>
      </c>
      <c r="K1533" t="str">
        <f t="shared" ca="1" si="231"/>
        <v>ELEC</v>
      </c>
      <c r="L1533" t="str">
        <f t="shared" ca="1" si="232"/>
        <v>dom</v>
      </c>
      <c r="M1533" t="str">
        <f t="shared" ca="1" si="229"/>
        <v>WHS</v>
      </c>
      <c r="N1533">
        <f t="shared" ca="1" si="230"/>
        <v>17.332593452920591</v>
      </c>
    </row>
    <row r="1534" spans="6:14" x14ac:dyDescent="0.35">
      <c r="F1534">
        <f t="shared" si="238"/>
        <v>23</v>
      </c>
      <c r="G1534">
        <f t="shared" si="234"/>
        <v>14</v>
      </c>
      <c r="H1534">
        <f t="shared" si="235"/>
        <v>0</v>
      </c>
      <c r="K1534" t="str">
        <f t="shared" ca="1" si="231"/>
        <v>TRNEQUIP</v>
      </c>
      <c r="L1534" t="str">
        <f t="shared" ca="1" si="232"/>
        <v>dom</v>
      </c>
      <c r="M1534" t="str">
        <f t="shared" ca="1" si="229"/>
        <v>WHS</v>
      </c>
      <c r="N1534">
        <f t="shared" ca="1" si="230"/>
        <v>25.037068574467654</v>
      </c>
    </row>
    <row r="1535" spans="6:14" x14ac:dyDescent="0.35">
      <c r="F1535">
        <f t="shared" si="238"/>
        <v>23</v>
      </c>
      <c r="G1535">
        <f t="shared" si="234"/>
        <v>15</v>
      </c>
      <c r="H1535">
        <f t="shared" si="235"/>
        <v>0</v>
      </c>
      <c r="K1535" t="str">
        <f t="shared" ca="1" si="231"/>
        <v>ROMAN</v>
      </c>
      <c r="L1535" t="str">
        <f t="shared" ca="1" si="232"/>
        <v>dom</v>
      </c>
      <c r="M1535" t="str">
        <f t="shared" ca="1" si="229"/>
        <v>WHS</v>
      </c>
      <c r="N1535">
        <f t="shared" ca="1" si="230"/>
        <v>68.174312075231413</v>
      </c>
    </row>
    <row r="1536" spans="6:14" x14ac:dyDescent="0.35">
      <c r="F1536">
        <f t="shared" si="238"/>
        <v>23</v>
      </c>
      <c r="G1536">
        <f t="shared" si="234"/>
        <v>16</v>
      </c>
      <c r="H1536">
        <f t="shared" si="235"/>
        <v>0</v>
      </c>
      <c r="K1536" t="str">
        <f t="shared" ca="1" si="231"/>
        <v>ELYGASWTR</v>
      </c>
      <c r="L1536" t="str">
        <f t="shared" ca="1" si="232"/>
        <v>dom</v>
      </c>
      <c r="M1536" t="str">
        <f t="shared" ca="1" si="229"/>
        <v>WHS</v>
      </c>
      <c r="N1536">
        <f t="shared" ca="1" si="230"/>
        <v>1.5556925966777532E-6</v>
      </c>
    </row>
    <row r="1537" spans="6:14" x14ac:dyDescent="0.35">
      <c r="F1537">
        <f t="shared" si="238"/>
        <v>23</v>
      </c>
      <c r="G1537">
        <f t="shared" si="234"/>
        <v>17</v>
      </c>
      <c r="H1537">
        <f t="shared" si="235"/>
        <v>0</v>
      </c>
      <c r="K1537" t="str">
        <f t="shared" ca="1" si="231"/>
        <v>CNS</v>
      </c>
      <c r="L1537" t="str">
        <f t="shared" ca="1" si="232"/>
        <v>dom</v>
      </c>
      <c r="M1537" t="str">
        <f t="shared" ca="1" si="229"/>
        <v>WHS</v>
      </c>
      <c r="N1537">
        <f t="shared" ca="1" si="230"/>
        <v>2264.6442768562483</v>
      </c>
    </row>
    <row r="1538" spans="6:14" x14ac:dyDescent="0.35">
      <c r="F1538">
        <f t="shared" si="238"/>
        <v>23</v>
      </c>
      <c r="G1538">
        <f t="shared" si="234"/>
        <v>18</v>
      </c>
      <c r="H1538">
        <f t="shared" si="235"/>
        <v>0</v>
      </c>
      <c r="K1538" t="str">
        <f t="shared" ca="1" si="231"/>
        <v>TRD</v>
      </c>
      <c r="L1538" t="str">
        <f t="shared" ca="1" si="232"/>
        <v>dom</v>
      </c>
      <c r="M1538" t="str">
        <f t="shared" ref="M1538:M1601" ca="1" si="239">OFFSET(A$2,F1538,0)</f>
        <v>WHS</v>
      </c>
      <c r="N1538">
        <f t="shared" ref="N1538:N1601" ca="1" si="240">SUMIFS(C:C,A:A,K1538,B:B,L1538)*SUMIFS(U:U,S:S,M1538)</f>
        <v>362.10152135336455</v>
      </c>
    </row>
    <row r="1539" spans="6:14" x14ac:dyDescent="0.35">
      <c r="F1539">
        <f t="shared" si="238"/>
        <v>23</v>
      </c>
      <c r="G1539">
        <f t="shared" si="234"/>
        <v>19</v>
      </c>
      <c r="H1539">
        <f t="shared" si="235"/>
        <v>0</v>
      </c>
      <c r="K1539" t="str">
        <f t="shared" ref="K1539:K1602" ca="1" si="241">OFFSET(A$2,G1539,0)</f>
        <v>AFS</v>
      </c>
      <c r="L1539" t="str">
        <f t="shared" ref="L1539:L1602" ca="1" si="242">OFFSET($V$3,H1539,0)</f>
        <v>dom</v>
      </c>
      <c r="M1539" t="str">
        <f t="shared" ca="1" si="239"/>
        <v>WHS</v>
      </c>
      <c r="N1539">
        <f t="shared" ca="1" si="240"/>
        <v>1.5556925966777532E-6</v>
      </c>
    </row>
    <row r="1540" spans="6:14" x14ac:dyDescent="0.35">
      <c r="F1540">
        <f t="shared" si="238"/>
        <v>23</v>
      </c>
      <c r="G1540">
        <f t="shared" si="234"/>
        <v>20</v>
      </c>
      <c r="H1540">
        <f t="shared" si="235"/>
        <v>0</v>
      </c>
      <c r="K1540" t="str">
        <f t="shared" ca="1" si="241"/>
        <v>OTP</v>
      </c>
      <c r="L1540" t="str">
        <f t="shared" ca="1" si="242"/>
        <v>dom</v>
      </c>
      <c r="M1540" t="str">
        <f t="shared" ca="1" si="239"/>
        <v>WHS</v>
      </c>
      <c r="N1540">
        <f t="shared" ca="1" si="240"/>
        <v>1.5556925966777532E-6</v>
      </c>
    </row>
    <row r="1541" spans="6:14" x14ac:dyDescent="0.35">
      <c r="F1541">
        <f t="shared" ref="F1541:F1556" si="243">F1475+1</f>
        <v>23</v>
      </c>
      <c r="G1541">
        <f t="shared" ref="G1541:G1604" si="244">G1508</f>
        <v>21</v>
      </c>
      <c r="H1541">
        <f t="shared" ref="H1541:H1604" si="245">H1475</f>
        <v>0</v>
      </c>
      <c r="K1541" t="str">
        <f t="shared" ca="1" si="241"/>
        <v>WTP</v>
      </c>
      <c r="L1541" t="str">
        <f t="shared" ca="1" si="242"/>
        <v>dom</v>
      </c>
      <c r="M1541" t="str">
        <f t="shared" ca="1" si="239"/>
        <v>WHS</v>
      </c>
      <c r="N1541">
        <f t="shared" ca="1" si="240"/>
        <v>1.5556925966777532E-6</v>
      </c>
    </row>
    <row r="1542" spans="6:14" x14ac:dyDescent="0.35">
      <c r="F1542">
        <f t="shared" si="243"/>
        <v>23</v>
      </c>
      <c r="G1542">
        <f t="shared" si="244"/>
        <v>22</v>
      </c>
      <c r="H1542">
        <f t="shared" si="245"/>
        <v>0</v>
      </c>
      <c r="K1542" t="str">
        <f t="shared" ca="1" si="241"/>
        <v>ATP</v>
      </c>
      <c r="L1542" t="str">
        <f t="shared" ca="1" si="242"/>
        <v>dom</v>
      </c>
      <c r="M1542" t="str">
        <f t="shared" ca="1" si="239"/>
        <v>WHS</v>
      </c>
      <c r="N1542">
        <f t="shared" ca="1" si="240"/>
        <v>1.5556925966777532E-6</v>
      </c>
    </row>
    <row r="1543" spans="6:14" x14ac:dyDescent="0.35">
      <c r="F1543">
        <f t="shared" si="243"/>
        <v>23</v>
      </c>
      <c r="G1543">
        <f t="shared" si="244"/>
        <v>23</v>
      </c>
      <c r="H1543">
        <f t="shared" si="245"/>
        <v>0</v>
      </c>
      <c r="K1543" t="str">
        <f t="shared" ca="1" si="241"/>
        <v>WHS</v>
      </c>
      <c r="L1543" t="str">
        <f t="shared" ca="1" si="242"/>
        <v>dom</v>
      </c>
      <c r="M1543" t="str">
        <f t="shared" ca="1" si="239"/>
        <v>WHS</v>
      </c>
      <c r="N1543">
        <f t="shared" ca="1" si="240"/>
        <v>1.5556925966777532E-6</v>
      </c>
    </row>
    <row r="1544" spans="6:14" x14ac:dyDescent="0.35">
      <c r="F1544">
        <f t="shared" si="243"/>
        <v>23</v>
      </c>
      <c r="G1544">
        <f t="shared" si="244"/>
        <v>24</v>
      </c>
      <c r="H1544">
        <f t="shared" si="245"/>
        <v>0</v>
      </c>
      <c r="K1544" t="str">
        <f t="shared" ca="1" si="241"/>
        <v>CMN</v>
      </c>
      <c r="L1544" t="str">
        <f t="shared" ca="1" si="242"/>
        <v>dom</v>
      </c>
      <c r="M1544" t="str">
        <f t="shared" ca="1" si="239"/>
        <v>WHS</v>
      </c>
      <c r="N1544">
        <f t="shared" ca="1" si="240"/>
        <v>1.5556925966777532E-6</v>
      </c>
    </row>
    <row r="1545" spans="6:14" x14ac:dyDescent="0.35">
      <c r="F1545">
        <f t="shared" si="243"/>
        <v>23</v>
      </c>
      <c r="G1545">
        <f t="shared" si="244"/>
        <v>25</v>
      </c>
      <c r="H1545">
        <f t="shared" si="245"/>
        <v>0</v>
      </c>
      <c r="K1545" t="str">
        <f t="shared" ca="1" si="241"/>
        <v>OFI</v>
      </c>
      <c r="L1545" t="str">
        <f t="shared" ca="1" si="242"/>
        <v>dom</v>
      </c>
      <c r="M1545" t="str">
        <f t="shared" ca="1" si="239"/>
        <v>WHS</v>
      </c>
      <c r="N1545">
        <f t="shared" ca="1" si="240"/>
        <v>1.5556925966777532E-6</v>
      </c>
    </row>
    <row r="1546" spans="6:14" x14ac:dyDescent="0.35">
      <c r="F1546">
        <f t="shared" si="243"/>
        <v>23</v>
      </c>
      <c r="G1546">
        <f t="shared" si="244"/>
        <v>26</v>
      </c>
      <c r="H1546">
        <f t="shared" si="245"/>
        <v>0</v>
      </c>
      <c r="K1546" t="str">
        <f t="shared" ca="1" si="241"/>
        <v>RSA</v>
      </c>
      <c r="L1546" t="str">
        <f t="shared" ca="1" si="242"/>
        <v>dom</v>
      </c>
      <c r="M1546" t="str">
        <f t="shared" ca="1" si="239"/>
        <v>WHS</v>
      </c>
      <c r="N1546">
        <f t="shared" ca="1" si="240"/>
        <v>1.5556925966777532E-6</v>
      </c>
    </row>
    <row r="1547" spans="6:14" x14ac:dyDescent="0.35">
      <c r="F1547">
        <f t="shared" si="243"/>
        <v>23</v>
      </c>
      <c r="G1547">
        <f t="shared" si="244"/>
        <v>27</v>
      </c>
      <c r="H1547">
        <f t="shared" si="245"/>
        <v>0</v>
      </c>
      <c r="K1547" t="str">
        <f t="shared" ca="1" si="241"/>
        <v>OBS</v>
      </c>
      <c r="L1547" t="str">
        <f t="shared" ca="1" si="242"/>
        <v>dom</v>
      </c>
      <c r="M1547" t="str">
        <f t="shared" ca="1" si="239"/>
        <v>WHS</v>
      </c>
      <c r="N1547">
        <f t="shared" ca="1" si="240"/>
        <v>1.5556925966777532E-6</v>
      </c>
    </row>
    <row r="1548" spans="6:14" x14ac:dyDescent="0.35">
      <c r="F1548">
        <f t="shared" si="243"/>
        <v>23</v>
      </c>
      <c r="G1548">
        <f t="shared" si="244"/>
        <v>28</v>
      </c>
      <c r="H1548">
        <f t="shared" si="245"/>
        <v>0</v>
      </c>
      <c r="K1548" t="str">
        <f t="shared" ca="1" si="241"/>
        <v>GOV</v>
      </c>
      <c r="L1548" t="str">
        <f t="shared" ca="1" si="242"/>
        <v>dom</v>
      </c>
      <c r="M1548" t="str">
        <f t="shared" ca="1" si="239"/>
        <v>WHS</v>
      </c>
      <c r="N1548">
        <f t="shared" ca="1" si="240"/>
        <v>1.5556925966777532E-6</v>
      </c>
    </row>
    <row r="1549" spans="6:14" x14ac:dyDescent="0.35">
      <c r="F1549">
        <f t="shared" si="243"/>
        <v>23</v>
      </c>
      <c r="G1549">
        <f t="shared" si="244"/>
        <v>29</v>
      </c>
      <c r="H1549">
        <f t="shared" si="245"/>
        <v>0</v>
      </c>
      <c r="K1549" t="str">
        <f t="shared" ca="1" si="241"/>
        <v>EDU</v>
      </c>
      <c r="L1549" t="str">
        <f t="shared" ca="1" si="242"/>
        <v>dom</v>
      </c>
      <c r="M1549" t="str">
        <f t="shared" ca="1" si="239"/>
        <v>WHS</v>
      </c>
      <c r="N1549">
        <f t="shared" ca="1" si="240"/>
        <v>1.5556925966777532E-6</v>
      </c>
    </row>
    <row r="1550" spans="6:14" x14ac:dyDescent="0.35">
      <c r="F1550">
        <f t="shared" si="243"/>
        <v>23</v>
      </c>
      <c r="G1550">
        <f t="shared" si="244"/>
        <v>30</v>
      </c>
      <c r="H1550">
        <f t="shared" si="245"/>
        <v>0</v>
      </c>
      <c r="K1550" t="str">
        <f t="shared" ca="1" si="241"/>
        <v>HHT</v>
      </c>
      <c r="L1550" t="str">
        <f t="shared" ca="1" si="242"/>
        <v>dom</v>
      </c>
      <c r="M1550" t="str">
        <f t="shared" ca="1" si="239"/>
        <v>WHS</v>
      </c>
      <c r="N1550">
        <f t="shared" ca="1" si="240"/>
        <v>1.5556925966777532E-6</v>
      </c>
    </row>
    <row r="1551" spans="6:14" x14ac:dyDescent="0.35">
      <c r="F1551">
        <f t="shared" si="243"/>
        <v>23</v>
      </c>
      <c r="G1551">
        <f t="shared" si="244"/>
        <v>31</v>
      </c>
      <c r="H1551">
        <f t="shared" si="245"/>
        <v>0</v>
      </c>
      <c r="K1551" t="str">
        <f t="shared" ca="1" si="241"/>
        <v>REC</v>
      </c>
      <c r="L1551" t="str">
        <f t="shared" ca="1" si="242"/>
        <v>dom</v>
      </c>
      <c r="M1551" t="str">
        <f t="shared" ca="1" si="239"/>
        <v>WHS</v>
      </c>
      <c r="N1551">
        <f t="shared" ca="1" si="240"/>
        <v>1.5556925966777532E-6</v>
      </c>
    </row>
    <row r="1552" spans="6:14" x14ac:dyDescent="0.35">
      <c r="F1552">
        <f t="shared" si="243"/>
        <v>23</v>
      </c>
      <c r="G1552">
        <f t="shared" si="244"/>
        <v>32</v>
      </c>
      <c r="H1552">
        <f t="shared" si="245"/>
        <v>0</v>
      </c>
      <c r="K1552" t="str">
        <f t="shared" ca="1" si="241"/>
        <v>DWE</v>
      </c>
      <c r="L1552" t="str">
        <f t="shared" ca="1" si="242"/>
        <v>dom</v>
      </c>
      <c r="M1552" t="str">
        <f t="shared" ca="1" si="239"/>
        <v>WHS</v>
      </c>
      <c r="N1552">
        <f t="shared" ca="1" si="240"/>
        <v>1.5556925966777532E-6</v>
      </c>
    </row>
    <row r="1553" spans="6:14" x14ac:dyDescent="0.35">
      <c r="F1553">
        <f t="shared" si="243"/>
        <v>23</v>
      </c>
      <c r="G1553">
        <f t="shared" si="244"/>
        <v>0</v>
      </c>
      <c r="H1553">
        <f t="shared" si="245"/>
        <v>1</v>
      </c>
      <c r="K1553" t="str">
        <f t="shared" ca="1" si="241"/>
        <v>AG</v>
      </c>
      <c r="L1553" t="str">
        <f t="shared" ca="1" si="242"/>
        <v>imp</v>
      </c>
      <c r="M1553" t="str">
        <f t="shared" ca="1" si="239"/>
        <v>WHS</v>
      </c>
      <c r="N1553">
        <f t="shared" ca="1" si="240"/>
        <v>14.392994167531624</v>
      </c>
    </row>
    <row r="1554" spans="6:14" x14ac:dyDescent="0.35">
      <c r="F1554">
        <f t="shared" si="243"/>
        <v>23</v>
      </c>
      <c r="G1554">
        <f t="shared" si="244"/>
        <v>1</v>
      </c>
      <c r="H1554">
        <f t="shared" si="245"/>
        <v>1</v>
      </c>
      <c r="K1554" t="str">
        <f t="shared" ca="1" si="241"/>
        <v>MIN</v>
      </c>
      <c r="L1554" t="str">
        <f t="shared" ca="1" si="242"/>
        <v>imp</v>
      </c>
      <c r="M1554" t="str">
        <f t="shared" ca="1" si="239"/>
        <v>WHS</v>
      </c>
      <c r="N1554">
        <f t="shared" ca="1" si="240"/>
        <v>22.706843715413211</v>
      </c>
    </row>
    <row r="1555" spans="6:14" x14ac:dyDescent="0.35">
      <c r="F1555">
        <f t="shared" si="243"/>
        <v>23</v>
      </c>
      <c r="G1555">
        <f t="shared" si="244"/>
        <v>2</v>
      </c>
      <c r="H1555">
        <f t="shared" si="245"/>
        <v>1</v>
      </c>
      <c r="K1555" t="str">
        <f t="shared" ca="1" si="241"/>
        <v>FBT</v>
      </c>
      <c r="L1555" t="str">
        <f t="shared" ca="1" si="242"/>
        <v>imp</v>
      </c>
      <c r="M1555" t="str">
        <f t="shared" ca="1" si="239"/>
        <v>WHS</v>
      </c>
      <c r="N1555">
        <f t="shared" ca="1" si="240"/>
        <v>5.681948790441921</v>
      </c>
    </row>
    <row r="1556" spans="6:14" x14ac:dyDescent="0.35">
      <c r="F1556">
        <f t="shared" si="243"/>
        <v>23</v>
      </c>
      <c r="G1556">
        <f t="shared" si="244"/>
        <v>3</v>
      </c>
      <c r="H1556">
        <f t="shared" si="245"/>
        <v>1</v>
      </c>
      <c r="K1556" t="str">
        <f t="shared" ca="1" si="241"/>
        <v>TEX</v>
      </c>
      <c r="L1556" t="str">
        <f t="shared" ca="1" si="242"/>
        <v>imp</v>
      </c>
      <c r="M1556" t="str">
        <f t="shared" ca="1" si="239"/>
        <v>WHS</v>
      </c>
      <c r="N1556">
        <f t="shared" ca="1" si="240"/>
        <v>111.50265352182558</v>
      </c>
    </row>
    <row r="1557" spans="6:14" x14ac:dyDescent="0.35">
      <c r="F1557">
        <f t="shared" ref="F1557:F1572" si="246">F1491+1</f>
        <v>23</v>
      </c>
      <c r="G1557">
        <f t="shared" si="244"/>
        <v>4</v>
      </c>
      <c r="H1557">
        <f t="shared" si="245"/>
        <v>1</v>
      </c>
      <c r="K1557" t="str">
        <f t="shared" ca="1" si="241"/>
        <v>LEATHER</v>
      </c>
      <c r="L1557" t="str">
        <f t="shared" ca="1" si="242"/>
        <v>imp</v>
      </c>
      <c r="M1557" t="str">
        <f t="shared" ca="1" si="239"/>
        <v>WHS</v>
      </c>
      <c r="N1557">
        <f t="shared" ca="1" si="240"/>
        <v>58.111779733619564</v>
      </c>
    </row>
    <row r="1558" spans="6:14" x14ac:dyDescent="0.35">
      <c r="F1558">
        <f t="shared" si="246"/>
        <v>23</v>
      </c>
      <c r="G1558">
        <f t="shared" si="244"/>
        <v>5</v>
      </c>
      <c r="H1558">
        <f t="shared" si="245"/>
        <v>1</v>
      </c>
      <c r="K1558" t="str">
        <f t="shared" ca="1" si="241"/>
        <v>WOOD</v>
      </c>
      <c r="L1558" t="str">
        <f t="shared" ca="1" si="242"/>
        <v>imp</v>
      </c>
      <c r="M1558" t="str">
        <f t="shared" ca="1" si="239"/>
        <v>WHS</v>
      </c>
      <c r="N1558">
        <f t="shared" ca="1" si="240"/>
        <v>1.0401583343470195</v>
      </c>
    </row>
    <row r="1559" spans="6:14" x14ac:dyDescent="0.35">
      <c r="F1559">
        <f t="shared" si="246"/>
        <v>23</v>
      </c>
      <c r="G1559">
        <f t="shared" si="244"/>
        <v>6</v>
      </c>
      <c r="H1559">
        <f t="shared" si="245"/>
        <v>1</v>
      </c>
      <c r="K1559" t="str">
        <f t="shared" ca="1" si="241"/>
        <v>PPP</v>
      </c>
      <c r="L1559" t="str">
        <f t="shared" ca="1" si="242"/>
        <v>imp</v>
      </c>
      <c r="M1559" t="str">
        <f t="shared" ca="1" si="239"/>
        <v>WHS</v>
      </c>
      <c r="N1559">
        <f t="shared" ca="1" si="240"/>
        <v>14.978175059009377</v>
      </c>
    </row>
    <row r="1560" spans="6:14" x14ac:dyDescent="0.35">
      <c r="F1560">
        <f t="shared" si="246"/>
        <v>23</v>
      </c>
      <c r="G1560">
        <f t="shared" si="244"/>
        <v>7</v>
      </c>
      <c r="H1560">
        <f t="shared" si="245"/>
        <v>1</v>
      </c>
      <c r="K1560" t="str">
        <f t="shared" ca="1" si="241"/>
        <v>PC</v>
      </c>
      <c r="L1560" t="str">
        <f t="shared" ca="1" si="242"/>
        <v>imp</v>
      </c>
      <c r="M1560" t="str">
        <f t="shared" ca="1" si="239"/>
        <v>WHS</v>
      </c>
      <c r="N1560">
        <f t="shared" ca="1" si="240"/>
        <v>3.771680606770857</v>
      </c>
    </row>
    <row r="1561" spans="6:14" x14ac:dyDescent="0.35">
      <c r="F1561">
        <f t="shared" si="246"/>
        <v>23</v>
      </c>
      <c r="G1561">
        <f t="shared" si="244"/>
        <v>8</v>
      </c>
      <c r="H1561">
        <f t="shared" si="245"/>
        <v>1</v>
      </c>
      <c r="K1561" t="str">
        <f t="shared" ca="1" si="241"/>
        <v>CHM</v>
      </c>
      <c r="L1561" t="str">
        <f t="shared" ca="1" si="242"/>
        <v>imp</v>
      </c>
      <c r="M1561" t="str">
        <f t="shared" ca="1" si="239"/>
        <v>WHS</v>
      </c>
      <c r="N1561">
        <f t="shared" ca="1" si="240"/>
        <v>51.703443523200512</v>
      </c>
    </row>
    <row r="1562" spans="6:14" x14ac:dyDescent="0.35">
      <c r="F1562">
        <f t="shared" si="246"/>
        <v>23</v>
      </c>
      <c r="G1562">
        <f t="shared" si="244"/>
        <v>9</v>
      </c>
      <c r="H1562">
        <f t="shared" si="245"/>
        <v>1</v>
      </c>
      <c r="K1562" t="str">
        <f t="shared" ca="1" si="241"/>
        <v>RUBBER</v>
      </c>
      <c r="L1562" t="str">
        <f t="shared" ca="1" si="242"/>
        <v>imp</v>
      </c>
      <c r="M1562" t="str">
        <f t="shared" ca="1" si="239"/>
        <v>WHS</v>
      </c>
      <c r="N1562">
        <f t="shared" ca="1" si="240"/>
        <v>39.597965636806052</v>
      </c>
    </row>
    <row r="1563" spans="6:14" x14ac:dyDescent="0.35">
      <c r="F1563">
        <f t="shared" si="246"/>
        <v>23</v>
      </c>
      <c r="G1563">
        <f t="shared" si="244"/>
        <v>10</v>
      </c>
      <c r="H1563">
        <f t="shared" si="245"/>
        <v>1</v>
      </c>
      <c r="K1563" t="str">
        <f t="shared" ca="1" si="241"/>
        <v>NMM</v>
      </c>
      <c r="L1563" t="str">
        <f t="shared" ca="1" si="242"/>
        <v>imp</v>
      </c>
      <c r="M1563" t="str">
        <f t="shared" ca="1" si="239"/>
        <v>WHS</v>
      </c>
      <c r="N1563">
        <f t="shared" ca="1" si="240"/>
        <v>14.94773215954444</v>
      </c>
    </row>
    <row r="1564" spans="6:14" x14ac:dyDescent="0.35">
      <c r="F1564">
        <f t="shared" si="246"/>
        <v>23</v>
      </c>
      <c r="G1564">
        <f t="shared" si="244"/>
        <v>11</v>
      </c>
      <c r="H1564">
        <f t="shared" si="245"/>
        <v>1</v>
      </c>
      <c r="K1564" t="str">
        <f t="shared" ca="1" si="241"/>
        <v>METAL</v>
      </c>
      <c r="L1564" t="str">
        <f t="shared" ca="1" si="242"/>
        <v>imp</v>
      </c>
      <c r="M1564" t="str">
        <f t="shared" ca="1" si="239"/>
        <v>WHS</v>
      </c>
      <c r="N1564">
        <f t="shared" ca="1" si="240"/>
        <v>187.10282236106337</v>
      </c>
    </row>
    <row r="1565" spans="6:14" x14ac:dyDescent="0.35">
      <c r="F1565">
        <f t="shared" si="246"/>
        <v>23</v>
      </c>
      <c r="G1565">
        <f t="shared" si="244"/>
        <v>12</v>
      </c>
      <c r="H1565">
        <f t="shared" si="245"/>
        <v>1</v>
      </c>
      <c r="K1565" t="str">
        <f t="shared" ca="1" si="241"/>
        <v>MACH</v>
      </c>
      <c r="L1565" t="str">
        <f t="shared" ca="1" si="242"/>
        <v>imp</v>
      </c>
      <c r="M1565" t="str">
        <f t="shared" ca="1" si="239"/>
        <v>WHS</v>
      </c>
      <c r="N1565">
        <f t="shared" ca="1" si="240"/>
        <v>716.7482298562976</v>
      </c>
    </row>
    <row r="1566" spans="6:14" x14ac:dyDescent="0.35">
      <c r="F1566">
        <f t="shared" si="246"/>
        <v>23</v>
      </c>
      <c r="G1566">
        <f t="shared" si="244"/>
        <v>13</v>
      </c>
      <c r="H1566">
        <f t="shared" si="245"/>
        <v>1</v>
      </c>
      <c r="K1566" t="str">
        <f t="shared" ca="1" si="241"/>
        <v>ELEC</v>
      </c>
      <c r="L1566" t="str">
        <f t="shared" ca="1" si="242"/>
        <v>imp</v>
      </c>
      <c r="M1566" t="str">
        <f t="shared" ca="1" si="239"/>
        <v>WHS</v>
      </c>
      <c r="N1566">
        <f t="shared" ca="1" si="240"/>
        <v>384.29853714651648</v>
      </c>
    </row>
    <row r="1567" spans="6:14" x14ac:dyDescent="0.35">
      <c r="F1567">
        <f t="shared" si="246"/>
        <v>23</v>
      </c>
      <c r="G1567">
        <f t="shared" si="244"/>
        <v>14</v>
      </c>
      <c r="H1567">
        <f t="shared" si="245"/>
        <v>1</v>
      </c>
      <c r="K1567" t="str">
        <f t="shared" ca="1" si="241"/>
        <v>TRNEQUIP</v>
      </c>
      <c r="L1567" t="str">
        <f t="shared" ca="1" si="242"/>
        <v>imp</v>
      </c>
      <c r="M1567" t="str">
        <f t="shared" ca="1" si="239"/>
        <v>WHS</v>
      </c>
      <c r="N1567">
        <f t="shared" ca="1" si="240"/>
        <v>613.29723969147062</v>
      </c>
    </row>
    <row r="1568" spans="6:14" x14ac:dyDescent="0.35">
      <c r="F1568">
        <f t="shared" si="246"/>
        <v>23</v>
      </c>
      <c r="G1568">
        <f t="shared" si="244"/>
        <v>15</v>
      </c>
      <c r="H1568">
        <f t="shared" si="245"/>
        <v>1</v>
      </c>
      <c r="K1568" t="str">
        <f t="shared" ca="1" si="241"/>
        <v>ROMAN</v>
      </c>
      <c r="L1568" t="str">
        <f t="shared" ca="1" si="242"/>
        <v>imp</v>
      </c>
      <c r="M1568" t="str">
        <f t="shared" ca="1" si="239"/>
        <v>WHS</v>
      </c>
      <c r="N1568">
        <f t="shared" ca="1" si="240"/>
        <v>232.7062358192774</v>
      </c>
    </row>
    <row r="1569" spans="6:14" x14ac:dyDescent="0.35">
      <c r="F1569">
        <f t="shared" si="246"/>
        <v>23</v>
      </c>
      <c r="G1569">
        <f t="shared" si="244"/>
        <v>16</v>
      </c>
      <c r="H1569">
        <f t="shared" si="245"/>
        <v>1</v>
      </c>
      <c r="K1569" t="str">
        <f t="shared" ca="1" si="241"/>
        <v>ELYGASWTR</v>
      </c>
      <c r="L1569" t="str">
        <f t="shared" ca="1" si="242"/>
        <v>imp</v>
      </c>
      <c r="M1569" t="str">
        <f t="shared" ca="1" si="239"/>
        <v>WHS</v>
      </c>
      <c r="N1569">
        <f t="shared" ca="1" si="240"/>
        <v>1.5556925966777532E-6</v>
      </c>
    </row>
    <row r="1570" spans="6:14" x14ac:dyDescent="0.35">
      <c r="F1570">
        <f t="shared" si="246"/>
        <v>23</v>
      </c>
      <c r="G1570">
        <f t="shared" si="244"/>
        <v>17</v>
      </c>
      <c r="H1570">
        <f t="shared" si="245"/>
        <v>1</v>
      </c>
      <c r="K1570" t="str">
        <f t="shared" ca="1" si="241"/>
        <v>CNS</v>
      </c>
      <c r="L1570" t="str">
        <f t="shared" ca="1" si="242"/>
        <v>imp</v>
      </c>
      <c r="M1570" t="str">
        <f t="shared" ca="1" si="239"/>
        <v>WHS</v>
      </c>
      <c r="N1570">
        <f t="shared" ca="1" si="240"/>
        <v>45.553586792474711</v>
      </c>
    </row>
    <row r="1571" spans="6:14" x14ac:dyDescent="0.35">
      <c r="F1571">
        <f t="shared" si="246"/>
        <v>23</v>
      </c>
      <c r="G1571">
        <f t="shared" si="244"/>
        <v>18</v>
      </c>
      <c r="H1571">
        <f t="shared" si="245"/>
        <v>1</v>
      </c>
      <c r="K1571" t="str">
        <f t="shared" ca="1" si="241"/>
        <v>TRD</v>
      </c>
      <c r="L1571" t="str">
        <f t="shared" ca="1" si="242"/>
        <v>imp</v>
      </c>
      <c r="M1571" t="str">
        <f t="shared" ca="1" si="239"/>
        <v>WHS</v>
      </c>
      <c r="N1571">
        <f t="shared" ca="1" si="240"/>
        <v>3.9856310879874113</v>
      </c>
    </row>
    <row r="1572" spans="6:14" x14ac:dyDescent="0.35">
      <c r="F1572">
        <f t="shared" si="246"/>
        <v>23</v>
      </c>
      <c r="G1572">
        <f t="shared" si="244"/>
        <v>19</v>
      </c>
      <c r="H1572">
        <f t="shared" si="245"/>
        <v>1</v>
      </c>
      <c r="K1572" t="str">
        <f t="shared" ca="1" si="241"/>
        <v>AFS</v>
      </c>
      <c r="L1572" t="str">
        <f t="shared" ca="1" si="242"/>
        <v>imp</v>
      </c>
      <c r="M1572" t="str">
        <f t="shared" ca="1" si="239"/>
        <v>WHS</v>
      </c>
      <c r="N1572">
        <f t="shared" ca="1" si="240"/>
        <v>1.5556925966777532E-6</v>
      </c>
    </row>
    <row r="1573" spans="6:14" x14ac:dyDescent="0.35">
      <c r="F1573">
        <f t="shared" ref="F1573:F1588" si="247">F1507+1</f>
        <v>23</v>
      </c>
      <c r="G1573">
        <f t="shared" si="244"/>
        <v>20</v>
      </c>
      <c r="H1573">
        <f t="shared" si="245"/>
        <v>1</v>
      </c>
      <c r="K1573" t="str">
        <f t="shared" ca="1" si="241"/>
        <v>OTP</v>
      </c>
      <c r="L1573" t="str">
        <f t="shared" ca="1" si="242"/>
        <v>imp</v>
      </c>
      <c r="M1573" t="str">
        <f t="shared" ca="1" si="239"/>
        <v>WHS</v>
      </c>
      <c r="N1573">
        <f t="shared" ca="1" si="240"/>
        <v>1.5556925966777532E-6</v>
      </c>
    </row>
    <row r="1574" spans="6:14" x14ac:dyDescent="0.35">
      <c r="F1574">
        <f t="shared" si="247"/>
        <v>23</v>
      </c>
      <c r="G1574">
        <f t="shared" si="244"/>
        <v>21</v>
      </c>
      <c r="H1574">
        <f t="shared" si="245"/>
        <v>1</v>
      </c>
      <c r="K1574" t="str">
        <f t="shared" ca="1" si="241"/>
        <v>WTP</v>
      </c>
      <c r="L1574" t="str">
        <f t="shared" ca="1" si="242"/>
        <v>imp</v>
      </c>
      <c r="M1574" t="str">
        <f t="shared" ca="1" si="239"/>
        <v>WHS</v>
      </c>
      <c r="N1574">
        <f t="shared" ca="1" si="240"/>
        <v>1.5556925966777532E-6</v>
      </c>
    </row>
    <row r="1575" spans="6:14" x14ac:dyDescent="0.35">
      <c r="F1575">
        <f t="shared" si="247"/>
        <v>23</v>
      </c>
      <c r="G1575">
        <f t="shared" si="244"/>
        <v>22</v>
      </c>
      <c r="H1575">
        <f t="shared" si="245"/>
        <v>1</v>
      </c>
      <c r="K1575" t="str">
        <f t="shared" ca="1" si="241"/>
        <v>ATP</v>
      </c>
      <c r="L1575" t="str">
        <f t="shared" ca="1" si="242"/>
        <v>imp</v>
      </c>
      <c r="M1575" t="str">
        <f t="shared" ca="1" si="239"/>
        <v>WHS</v>
      </c>
      <c r="N1575">
        <f t="shared" ca="1" si="240"/>
        <v>1.5556925966777532E-6</v>
      </c>
    </row>
    <row r="1576" spans="6:14" x14ac:dyDescent="0.35">
      <c r="F1576">
        <f t="shared" si="247"/>
        <v>23</v>
      </c>
      <c r="G1576">
        <f t="shared" si="244"/>
        <v>23</v>
      </c>
      <c r="H1576">
        <f t="shared" si="245"/>
        <v>1</v>
      </c>
      <c r="K1576" t="str">
        <f t="shared" ca="1" si="241"/>
        <v>WHS</v>
      </c>
      <c r="L1576" t="str">
        <f t="shared" ca="1" si="242"/>
        <v>imp</v>
      </c>
      <c r="M1576" t="str">
        <f t="shared" ca="1" si="239"/>
        <v>WHS</v>
      </c>
      <c r="N1576">
        <f t="shared" ca="1" si="240"/>
        <v>1.5556925966777532E-6</v>
      </c>
    </row>
    <row r="1577" spans="6:14" x14ac:dyDescent="0.35">
      <c r="F1577">
        <f t="shared" si="247"/>
        <v>23</v>
      </c>
      <c r="G1577">
        <f t="shared" si="244"/>
        <v>24</v>
      </c>
      <c r="H1577">
        <f t="shared" si="245"/>
        <v>1</v>
      </c>
      <c r="K1577" t="str">
        <f t="shared" ca="1" si="241"/>
        <v>CMN</v>
      </c>
      <c r="L1577" t="str">
        <f t="shared" ca="1" si="242"/>
        <v>imp</v>
      </c>
      <c r="M1577" t="str">
        <f t="shared" ca="1" si="239"/>
        <v>WHS</v>
      </c>
      <c r="N1577">
        <f t="shared" ca="1" si="240"/>
        <v>1.5556925966777532E-6</v>
      </c>
    </row>
    <row r="1578" spans="6:14" x14ac:dyDescent="0.35">
      <c r="F1578">
        <f t="shared" si="247"/>
        <v>23</v>
      </c>
      <c r="G1578">
        <f t="shared" si="244"/>
        <v>25</v>
      </c>
      <c r="H1578">
        <f t="shared" si="245"/>
        <v>1</v>
      </c>
      <c r="K1578" t="str">
        <f t="shared" ca="1" si="241"/>
        <v>OFI</v>
      </c>
      <c r="L1578" t="str">
        <f t="shared" ca="1" si="242"/>
        <v>imp</v>
      </c>
      <c r="M1578" t="str">
        <f t="shared" ca="1" si="239"/>
        <v>WHS</v>
      </c>
      <c r="N1578">
        <f t="shared" ca="1" si="240"/>
        <v>1.5556925966777532E-6</v>
      </c>
    </row>
    <row r="1579" spans="6:14" x14ac:dyDescent="0.35">
      <c r="F1579">
        <f t="shared" si="247"/>
        <v>23</v>
      </c>
      <c r="G1579">
        <f t="shared" si="244"/>
        <v>26</v>
      </c>
      <c r="H1579">
        <f t="shared" si="245"/>
        <v>1</v>
      </c>
      <c r="K1579" t="str">
        <f t="shared" ca="1" si="241"/>
        <v>RSA</v>
      </c>
      <c r="L1579" t="str">
        <f t="shared" ca="1" si="242"/>
        <v>imp</v>
      </c>
      <c r="M1579" t="str">
        <f t="shared" ca="1" si="239"/>
        <v>WHS</v>
      </c>
      <c r="N1579">
        <f t="shared" ca="1" si="240"/>
        <v>1.5556925966777532E-6</v>
      </c>
    </row>
    <row r="1580" spans="6:14" x14ac:dyDescent="0.35">
      <c r="F1580">
        <f t="shared" si="247"/>
        <v>23</v>
      </c>
      <c r="G1580">
        <f t="shared" si="244"/>
        <v>27</v>
      </c>
      <c r="H1580">
        <f t="shared" si="245"/>
        <v>1</v>
      </c>
      <c r="K1580" t="str">
        <f t="shared" ca="1" si="241"/>
        <v>OBS</v>
      </c>
      <c r="L1580" t="str">
        <f t="shared" ca="1" si="242"/>
        <v>imp</v>
      </c>
      <c r="M1580" t="str">
        <f t="shared" ca="1" si="239"/>
        <v>WHS</v>
      </c>
      <c r="N1580">
        <f t="shared" ca="1" si="240"/>
        <v>1.5556925966777532E-6</v>
      </c>
    </row>
    <row r="1581" spans="6:14" x14ac:dyDescent="0.35">
      <c r="F1581">
        <f t="shared" si="247"/>
        <v>23</v>
      </c>
      <c r="G1581">
        <f t="shared" si="244"/>
        <v>28</v>
      </c>
      <c r="H1581">
        <f t="shared" si="245"/>
        <v>1</v>
      </c>
      <c r="K1581" t="str">
        <f t="shared" ca="1" si="241"/>
        <v>GOV</v>
      </c>
      <c r="L1581" t="str">
        <f t="shared" ca="1" si="242"/>
        <v>imp</v>
      </c>
      <c r="M1581" t="str">
        <f t="shared" ca="1" si="239"/>
        <v>WHS</v>
      </c>
      <c r="N1581">
        <f t="shared" ca="1" si="240"/>
        <v>1.5556925966777532E-6</v>
      </c>
    </row>
    <row r="1582" spans="6:14" x14ac:dyDescent="0.35">
      <c r="F1582">
        <f t="shared" si="247"/>
        <v>23</v>
      </c>
      <c r="G1582">
        <f t="shared" si="244"/>
        <v>29</v>
      </c>
      <c r="H1582">
        <f t="shared" si="245"/>
        <v>1</v>
      </c>
      <c r="K1582" t="str">
        <f t="shared" ca="1" si="241"/>
        <v>EDU</v>
      </c>
      <c r="L1582" t="str">
        <f t="shared" ca="1" si="242"/>
        <v>imp</v>
      </c>
      <c r="M1582" t="str">
        <f t="shared" ca="1" si="239"/>
        <v>WHS</v>
      </c>
      <c r="N1582">
        <f t="shared" ca="1" si="240"/>
        <v>1.5556925966777532E-6</v>
      </c>
    </row>
    <row r="1583" spans="6:14" x14ac:dyDescent="0.35">
      <c r="F1583">
        <f t="shared" si="247"/>
        <v>23</v>
      </c>
      <c r="G1583">
        <f t="shared" si="244"/>
        <v>30</v>
      </c>
      <c r="H1583">
        <f t="shared" si="245"/>
        <v>1</v>
      </c>
      <c r="K1583" t="str">
        <f t="shared" ca="1" si="241"/>
        <v>HHT</v>
      </c>
      <c r="L1583" t="str">
        <f t="shared" ca="1" si="242"/>
        <v>imp</v>
      </c>
      <c r="M1583" t="str">
        <f t="shared" ca="1" si="239"/>
        <v>WHS</v>
      </c>
      <c r="N1583">
        <f t="shared" ca="1" si="240"/>
        <v>1.5556925966777532E-6</v>
      </c>
    </row>
    <row r="1584" spans="6:14" x14ac:dyDescent="0.35">
      <c r="F1584">
        <f t="shared" si="247"/>
        <v>23</v>
      </c>
      <c r="G1584">
        <f t="shared" si="244"/>
        <v>31</v>
      </c>
      <c r="H1584">
        <f t="shared" si="245"/>
        <v>1</v>
      </c>
      <c r="K1584" t="str">
        <f t="shared" ca="1" si="241"/>
        <v>REC</v>
      </c>
      <c r="L1584" t="str">
        <f t="shared" ca="1" si="242"/>
        <v>imp</v>
      </c>
      <c r="M1584" t="str">
        <f t="shared" ca="1" si="239"/>
        <v>WHS</v>
      </c>
      <c r="N1584">
        <f t="shared" ca="1" si="240"/>
        <v>1.5556925966777532E-6</v>
      </c>
    </row>
    <row r="1585" spans="6:14" x14ac:dyDescent="0.35">
      <c r="F1585">
        <f t="shared" si="247"/>
        <v>23</v>
      </c>
      <c r="G1585">
        <f t="shared" si="244"/>
        <v>32</v>
      </c>
      <c r="H1585">
        <f t="shared" si="245"/>
        <v>1</v>
      </c>
      <c r="K1585" t="str">
        <f t="shared" ca="1" si="241"/>
        <v>DWE</v>
      </c>
      <c r="L1585" t="str">
        <f t="shared" ca="1" si="242"/>
        <v>imp</v>
      </c>
      <c r="M1585" t="str">
        <f t="shared" ca="1" si="239"/>
        <v>WHS</v>
      </c>
      <c r="N1585">
        <f t="shared" ca="1" si="240"/>
        <v>1.5556925966777532E-6</v>
      </c>
    </row>
    <row r="1586" spans="6:14" x14ac:dyDescent="0.35">
      <c r="F1586">
        <f t="shared" si="247"/>
        <v>24</v>
      </c>
      <c r="G1586">
        <f t="shared" si="244"/>
        <v>0</v>
      </c>
      <c r="H1586">
        <f t="shared" si="245"/>
        <v>0</v>
      </c>
      <c r="K1586" t="str">
        <f t="shared" ca="1" si="241"/>
        <v>AG</v>
      </c>
      <c r="L1586" t="str">
        <f t="shared" ca="1" si="242"/>
        <v>dom</v>
      </c>
      <c r="M1586" t="str">
        <f t="shared" ca="1" si="239"/>
        <v>CMN</v>
      </c>
      <c r="N1586">
        <f t="shared" ca="1" si="240"/>
        <v>0.29300406274281504</v>
      </c>
    </row>
    <row r="1587" spans="6:14" x14ac:dyDescent="0.35">
      <c r="F1587">
        <f t="shared" si="247"/>
        <v>24</v>
      </c>
      <c r="G1587">
        <f t="shared" si="244"/>
        <v>1</v>
      </c>
      <c r="H1587">
        <f t="shared" si="245"/>
        <v>0</v>
      </c>
      <c r="K1587" t="str">
        <f t="shared" ca="1" si="241"/>
        <v>MIN</v>
      </c>
      <c r="L1587" t="str">
        <f t="shared" ca="1" si="242"/>
        <v>dom</v>
      </c>
      <c r="M1587" t="str">
        <f t="shared" ca="1" si="239"/>
        <v>CMN</v>
      </c>
      <c r="N1587">
        <f t="shared" ca="1" si="240"/>
        <v>0.51112130827941094</v>
      </c>
    </row>
    <row r="1588" spans="6:14" x14ac:dyDescent="0.35">
      <c r="F1588">
        <f t="shared" si="247"/>
        <v>24</v>
      </c>
      <c r="G1588">
        <f t="shared" si="244"/>
        <v>2</v>
      </c>
      <c r="H1588">
        <f t="shared" si="245"/>
        <v>0</v>
      </c>
      <c r="K1588" t="str">
        <f t="shared" ca="1" si="241"/>
        <v>FBT</v>
      </c>
      <c r="L1588" t="str">
        <f t="shared" ca="1" si="242"/>
        <v>dom</v>
      </c>
      <c r="M1588" t="str">
        <f t="shared" ca="1" si="239"/>
        <v>CMN</v>
      </c>
      <c r="N1588">
        <f t="shared" ca="1" si="240"/>
        <v>0.8606203661808296</v>
      </c>
    </row>
    <row r="1589" spans="6:14" x14ac:dyDescent="0.35">
      <c r="F1589">
        <f t="shared" ref="F1589:F1604" si="248">F1523+1</f>
        <v>24</v>
      </c>
      <c r="G1589">
        <f t="shared" si="244"/>
        <v>3</v>
      </c>
      <c r="H1589">
        <f t="shared" si="245"/>
        <v>0</v>
      </c>
      <c r="K1589" t="str">
        <f t="shared" ca="1" si="241"/>
        <v>TEX</v>
      </c>
      <c r="L1589" t="str">
        <f t="shared" ca="1" si="242"/>
        <v>dom</v>
      </c>
      <c r="M1589" t="str">
        <f t="shared" ca="1" si="239"/>
        <v>CMN</v>
      </c>
      <c r="N1589">
        <f t="shared" ca="1" si="240"/>
        <v>4.4828450031559921</v>
      </c>
    </row>
    <row r="1590" spans="6:14" x14ac:dyDescent="0.35">
      <c r="F1590">
        <f t="shared" si="248"/>
        <v>24</v>
      </c>
      <c r="G1590">
        <f t="shared" si="244"/>
        <v>4</v>
      </c>
      <c r="H1590">
        <f t="shared" si="245"/>
        <v>0</v>
      </c>
      <c r="K1590" t="str">
        <f t="shared" ca="1" si="241"/>
        <v>LEATHER</v>
      </c>
      <c r="L1590" t="str">
        <f t="shared" ca="1" si="242"/>
        <v>dom</v>
      </c>
      <c r="M1590" t="str">
        <f t="shared" ca="1" si="239"/>
        <v>CMN</v>
      </c>
      <c r="N1590">
        <f t="shared" ca="1" si="240"/>
        <v>3.1809452899695327E-2</v>
      </c>
    </row>
    <row r="1591" spans="6:14" x14ac:dyDescent="0.35">
      <c r="F1591">
        <f t="shared" si="248"/>
        <v>24</v>
      </c>
      <c r="G1591">
        <f t="shared" si="244"/>
        <v>5</v>
      </c>
      <c r="H1591">
        <f t="shared" si="245"/>
        <v>0</v>
      </c>
      <c r="K1591" t="str">
        <f t="shared" ca="1" si="241"/>
        <v>WOOD</v>
      </c>
      <c r="L1591" t="str">
        <f t="shared" ca="1" si="242"/>
        <v>dom</v>
      </c>
      <c r="M1591" t="str">
        <f t="shared" ca="1" si="239"/>
        <v>CMN</v>
      </c>
      <c r="N1591">
        <f t="shared" ca="1" si="240"/>
        <v>0.19581638520870817</v>
      </c>
    </row>
    <row r="1592" spans="6:14" x14ac:dyDescent="0.35">
      <c r="F1592">
        <f t="shared" si="248"/>
        <v>24</v>
      </c>
      <c r="G1592">
        <f t="shared" si="244"/>
        <v>6</v>
      </c>
      <c r="H1592">
        <f t="shared" si="245"/>
        <v>0</v>
      </c>
      <c r="K1592" t="str">
        <f t="shared" ca="1" si="241"/>
        <v>PPP</v>
      </c>
      <c r="L1592" t="str">
        <f t="shared" ca="1" si="242"/>
        <v>dom</v>
      </c>
      <c r="M1592" t="str">
        <f t="shared" ca="1" si="239"/>
        <v>CMN</v>
      </c>
      <c r="N1592">
        <f t="shared" ca="1" si="240"/>
        <v>3.9193784758242982</v>
      </c>
    </row>
    <row r="1593" spans="6:14" x14ac:dyDescent="0.35">
      <c r="F1593">
        <f t="shared" si="248"/>
        <v>24</v>
      </c>
      <c r="G1593">
        <f t="shared" si="244"/>
        <v>7</v>
      </c>
      <c r="H1593">
        <f t="shared" si="245"/>
        <v>0</v>
      </c>
      <c r="K1593" t="str">
        <f t="shared" ca="1" si="241"/>
        <v>PC</v>
      </c>
      <c r="L1593" t="str">
        <f t="shared" ca="1" si="242"/>
        <v>dom</v>
      </c>
      <c r="M1593" t="str">
        <f t="shared" ca="1" si="239"/>
        <v>CMN</v>
      </c>
      <c r="N1593">
        <f t="shared" ca="1" si="240"/>
        <v>0.59723779164623658</v>
      </c>
    </row>
    <row r="1594" spans="6:14" x14ac:dyDescent="0.35">
      <c r="F1594">
        <f t="shared" si="248"/>
        <v>24</v>
      </c>
      <c r="G1594">
        <f t="shared" si="244"/>
        <v>8</v>
      </c>
      <c r="H1594">
        <f t="shared" si="245"/>
        <v>0</v>
      </c>
      <c r="K1594" t="str">
        <f t="shared" ca="1" si="241"/>
        <v>CHM</v>
      </c>
      <c r="L1594" t="str">
        <f t="shared" ca="1" si="242"/>
        <v>dom</v>
      </c>
      <c r="M1594" t="str">
        <f t="shared" ca="1" si="239"/>
        <v>CMN</v>
      </c>
      <c r="N1594">
        <f t="shared" ca="1" si="240"/>
        <v>3.7191195426702444</v>
      </c>
    </row>
    <row r="1595" spans="6:14" x14ac:dyDescent="0.35">
      <c r="F1595">
        <f t="shared" si="248"/>
        <v>24</v>
      </c>
      <c r="G1595">
        <f t="shared" si="244"/>
        <v>9</v>
      </c>
      <c r="H1595">
        <f t="shared" si="245"/>
        <v>0</v>
      </c>
      <c r="K1595" t="str">
        <f t="shared" ca="1" si="241"/>
        <v>RUBBER</v>
      </c>
      <c r="L1595" t="str">
        <f t="shared" ca="1" si="242"/>
        <v>dom</v>
      </c>
      <c r="M1595" t="str">
        <f t="shared" ca="1" si="239"/>
        <v>CMN</v>
      </c>
      <c r="N1595">
        <f t="shared" ca="1" si="240"/>
        <v>5.8219227706355596</v>
      </c>
    </row>
    <row r="1596" spans="6:14" x14ac:dyDescent="0.35">
      <c r="F1596">
        <f t="shared" si="248"/>
        <v>24</v>
      </c>
      <c r="G1596">
        <f t="shared" si="244"/>
        <v>10</v>
      </c>
      <c r="H1596">
        <f t="shared" si="245"/>
        <v>0</v>
      </c>
      <c r="K1596" t="str">
        <f t="shared" ca="1" si="241"/>
        <v>NMM</v>
      </c>
      <c r="L1596" t="str">
        <f t="shared" ca="1" si="242"/>
        <v>dom</v>
      </c>
      <c r="M1596" t="str">
        <f t="shared" ca="1" si="239"/>
        <v>CMN</v>
      </c>
      <c r="N1596">
        <f t="shared" ca="1" si="240"/>
        <v>5.3932878284543166</v>
      </c>
    </row>
    <row r="1597" spans="6:14" x14ac:dyDescent="0.35">
      <c r="F1597">
        <f t="shared" si="248"/>
        <v>24</v>
      </c>
      <c r="G1597">
        <f t="shared" si="244"/>
        <v>11</v>
      </c>
      <c r="H1597">
        <f t="shared" si="245"/>
        <v>0</v>
      </c>
      <c r="K1597" t="str">
        <f t="shared" ca="1" si="241"/>
        <v>METAL</v>
      </c>
      <c r="L1597" t="str">
        <f t="shared" ca="1" si="242"/>
        <v>dom</v>
      </c>
      <c r="M1597" t="str">
        <f t="shared" ca="1" si="239"/>
        <v>CMN</v>
      </c>
      <c r="N1597">
        <f t="shared" ca="1" si="240"/>
        <v>15.774433615183753</v>
      </c>
    </row>
    <row r="1598" spans="6:14" x14ac:dyDescent="0.35">
      <c r="F1598">
        <f t="shared" si="248"/>
        <v>24</v>
      </c>
      <c r="G1598">
        <f t="shared" si="244"/>
        <v>12</v>
      </c>
      <c r="H1598">
        <f t="shared" si="245"/>
        <v>0</v>
      </c>
      <c r="K1598" t="str">
        <f t="shared" ca="1" si="241"/>
        <v>MACH</v>
      </c>
      <c r="L1598" t="str">
        <f t="shared" ca="1" si="242"/>
        <v>dom</v>
      </c>
      <c r="M1598" t="str">
        <f t="shared" ca="1" si="239"/>
        <v>CMN</v>
      </c>
      <c r="N1598">
        <f t="shared" ca="1" si="240"/>
        <v>22.832249097460778</v>
      </c>
    </row>
    <row r="1599" spans="6:14" x14ac:dyDescent="0.35">
      <c r="F1599">
        <f t="shared" si="248"/>
        <v>24</v>
      </c>
      <c r="G1599">
        <f t="shared" si="244"/>
        <v>13</v>
      </c>
      <c r="H1599">
        <f t="shared" si="245"/>
        <v>0</v>
      </c>
      <c r="K1599" t="str">
        <f t="shared" ca="1" si="241"/>
        <v>ELEC</v>
      </c>
      <c r="L1599" t="str">
        <f t="shared" ca="1" si="242"/>
        <v>dom</v>
      </c>
      <c r="M1599" t="str">
        <f t="shared" ca="1" si="239"/>
        <v>CMN</v>
      </c>
      <c r="N1599">
        <f t="shared" ca="1" si="240"/>
        <v>4.7496035431769519</v>
      </c>
    </row>
    <row r="1600" spans="6:14" x14ac:dyDescent="0.35">
      <c r="F1600">
        <f t="shared" si="248"/>
        <v>24</v>
      </c>
      <c r="G1600">
        <f t="shared" si="244"/>
        <v>14</v>
      </c>
      <c r="H1600">
        <f t="shared" si="245"/>
        <v>0</v>
      </c>
      <c r="K1600" t="str">
        <f t="shared" ca="1" si="241"/>
        <v>TRNEQUIP</v>
      </c>
      <c r="L1600" t="str">
        <f t="shared" ca="1" si="242"/>
        <v>dom</v>
      </c>
      <c r="M1600" t="str">
        <f t="shared" ca="1" si="239"/>
        <v>CMN</v>
      </c>
      <c r="N1600">
        <f t="shared" ca="1" si="240"/>
        <v>6.8608399507586775</v>
      </c>
    </row>
    <row r="1601" spans="6:14" x14ac:dyDescent="0.35">
      <c r="F1601">
        <f t="shared" si="248"/>
        <v>24</v>
      </c>
      <c r="G1601">
        <f t="shared" si="244"/>
        <v>15</v>
      </c>
      <c r="H1601">
        <f t="shared" si="245"/>
        <v>0</v>
      </c>
      <c r="K1601" t="str">
        <f t="shared" ca="1" si="241"/>
        <v>ROMAN</v>
      </c>
      <c r="L1601" t="str">
        <f t="shared" ca="1" si="242"/>
        <v>dom</v>
      </c>
      <c r="M1601" t="str">
        <f t="shared" ca="1" si="239"/>
        <v>CMN</v>
      </c>
      <c r="N1601">
        <f t="shared" ca="1" si="240"/>
        <v>18.681621712624256</v>
      </c>
    </row>
    <row r="1602" spans="6:14" x14ac:dyDescent="0.35">
      <c r="F1602">
        <f t="shared" si="248"/>
        <v>24</v>
      </c>
      <c r="G1602">
        <f t="shared" si="244"/>
        <v>16</v>
      </c>
      <c r="H1602">
        <f t="shared" si="245"/>
        <v>0</v>
      </c>
      <c r="K1602" t="str">
        <f t="shared" ca="1" si="241"/>
        <v>ELYGASWTR</v>
      </c>
      <c r="L1602" t="str">
        <f t="shared" ca="1" si="242"/>
        <v>dom</v>
      </c>
      <c r="M1602" t="str">
        <f t="shared" ref="M1602:M1665" ca="1" si="249">OFFSET(A$2,F1602,0)</f>
        <v>CMN</v>
      </c>
      <c r="N1602">
        <f t="shared" ref="N1602:N1665" ca="1" si="250">SUMIFS(C:C,A:A,K1602,B:B,L1602)*SUMIFS(U:U,S:S,M1602)</f>
        <v>4.2630222011177188E-7</v>
      </c>
    </row>
    <row r="1603" spans="6:14" x14ac:dyDescent="0.35">
      <c r="F1603">
        <f t="shared" si="248"/>
        <v>24</v>
      </c>
      <c r="G1603">
        <f t="shared" si="244"/>
        <v>17</v>
      </c>
      <c r="H1603">
        <f t="shared" si="245"/>
        <v>0</v>
      </c>
      <c r="K1603" t="str">
        <f t="shared" ref="K1603:K1666" ca="1" si="251">OFFSET(A$2,G1603,0)</f>
        <v>CNS</v>
      </c>
      <c r="L1603" t="str">
        <f t="shared" ref="L1603:L1666" ca="1" si="252">OFFSET($V$3,H1603,0)</f>
        <v>dom</v>
      </c>
      <c r="M1603" t="str">
        <f t="shared" ca="1" si="249"/>
        <v>CMN</v>
      </c>
      <c r="N1603">
        <f t="shared" ca="1" si="250"/>
        <v>620.57432493343333</v>
      </c>
    </row>
    <row r="1604" spans="6:14" x14ac:dyDescent="0.35">
      <c r="F1604">
        <f t="shared" si="248"/>
        <v>24</v>
      </c>
      <c r="G1604">
        <f t="shared" si="244"/>
        <v>18</v>
      </c>
      <c r="H1604">
        <f t="shared" si="245"/>
        <v>0</v>
      </c>
      <c r="K1604" t="str">
        <f t="shared" ca="1" si="251"/>
        <v>TRD</v>
      </c>
      <c r="L1604" t="str">
        <f t="shared" ca="1" si="252"/>
        <v>dom</v>
      </c>
      <c r="M1604" t="str">
        <f t="shared" ca="1" si="249"/>
        <v>CMN</v>
      </c>
      <c r="N1604">
        <f t="shared" ca="1" si="250"/>
        <v>99.225697151507774</v>
      </c>
    </row>
    <row r="1605" spans="6:14" x14ac:dyDescent="0.35">
      <c r="F1605">
        <f t="shared" ref="F1605:F1620" si="253">F1539+1</f>
        <v>24</v>
      </c>
      <c r="G1605">
        <f t="shared" ref="G1605:G1668" si="254">G1572</f>
        <v>19</v>
      </c>
      <c r="H1605">
        <f t="shared" ref="H1605:H1668" si="255">H1539</f>
        <v>0</v>
      </c>
      <c r="K1605" t="str">
        <f t="shared" ca="1" si="251"/>
        <v>AFS</v>
      </c>
      <c r="L1605" t="str">
        <f t="shared" ca="1" si="252"/>
        <v>dom</v>
      </c>
      <c r="M1605" t="str">
        <f t="shared" ca="1" si="249"/>
        <v>CMN</v>
      </c>
      <c r="N1605">
        <f t="shared" ca="1" si="250"/>
        <v>4.2630222011177188E-7</v>
      </c>
    </row>
    <row r="1606" spans="6:14" x14ac:dyDescent="0.35">
      <c r="F1606">
        <f t="shared" si="253"/>
        <v>24</v>
      </c>
      <c r="G1606">
        <f t="shared" si="254"/>
        <v>20</v>
      </c>
      <c r="H1606">
        <f t="shared" si="255"/>
        <v>0</v>
      </c>
      <c r="K1606" t="str">
        <f t="shared" ca="1" si="251"/>
        <v>OTP</v>
      </c>
      <c r="L1606" t="str">
        <f t="shared" ca="1" si="252"/>
        <v>dom</v>
      </c>
      <c r="M1606" t="str">
        <f t="shared" ca="1" si="249"/>
        <v>CMN</v>
      </c>
      <c r="N1606">
        <f t="shared" ca="1" si="250"/>
        <v>4.2630222011177188E-7</v>
      </c>
    </row>
    <row r="1607" spans="6:14" x14ac:dyDescent="0.35">
      <c r="F1607">
        <f t="shared" si="253"/>
        <v>24</v>
      </c>
      <c r="G1607">
        <f t="shared" si="254"/>
        <v>21</v>
      </c>
      <c r="H1607">
        <f t="shared" si="255"/>
        <v>0</v>
      </c>
      <c r="K1607" t="str">
        <f t="shared" ca="1" si="251"/>
        <v>WTP</v>
      </c>
      <c r="L1607" t="str">
        <f t="shared" ca="1" si="252"/>
        <v>dom</v>
      </c>
      <c r="M1607" t="str">
        <f t="shared" ca="1" si="249"/>
        <v>CMN</v>
      </c>
      <c r="N1607">
        <f t="shared" ca="1" si="250"/>
        <v>4.2630222011177188E-7</v>
      </c>
    </row>
    <row r="1608" spans="6:14" x14ac:dyDescent="0.35">
      <c r="F1608">
        <f t="shared" si="253"/>
        <v>24</v>
      </c>
      <c r="G1608">
        <f t="shared" si="254"/>
        <v>22</v>
      </c>
      <c r="H1608">
        <f t="shared" si="255"/>
        <v>0</v>
      </c>
      <c r="K1608" t="str">
        <f t="shared" ca="1" si="251"/>
        <v>ATP</v>
      </c>
      <c r="L1608" t="str">
        <f t="shared" ca="1" si="252"/>
        <v>dom</v>
      </c>
      <c r="M1608" t="str">
        <f t="shared" ca="1" si="249"/>
        <v>CMN</v>
      </c>
      <c r="N1608">
        <f t="shared" ca="1" si="250"/>
        <v>4.2630222011177188E-7</v>
      </c>
    </row>
    <row r="1609" spans="6:14" x14ac:dyDescent="0.35">
      <c r="F1609">
        <f t="shared" si="253"/>
        <v>24</v>
      </c>
      <c r="G1609">
        <f t="shared" si="254"/>
        <v>23</v>
      </c>
      <c r="H1609">
        <f t="shared" si="255"/>
        <v>0</v>
      </c>
      <c r="K1609" t="str">
        <f t="shared" ca="1" si="251"/>
        <v>WHS</v>
      </c>
      <c r="L1609" t="str">
        <f t="shared" ca="1" si="252"/>
        <v>dom</v>
      </c>
      <c r="M1609" t="str">
        <f t="shared" ca="1" si="249"/>
        <v>CMN</v>
      </c>
      <c r="N1609">
        <f t="shared" ca="1" si="250"/>
        <v>4.2630222011177188E-7</v>
      </c>
    </row>
    <row r="1610" spans="6:14" x14ac:dyDescent="0.35">
      <c r="F1610">
        <f t="shared" si="253"/>
        <v>24</v>
      </c>
      <c r="G1610">
        <f t="shared" si="254"/>
        <v>24</v>
      </c>
      <c r="H1610">
        <f t="shared" si="255"/>
        <v>0</v>
      </c>
      <c r="K1610" t="str">
        <f t="shared" ca="1" si="251"/>
        <v>CMN</v>
      </c>
      <c r="L1610" t="str">
        <f t="shared" ca="1" si="252"/>
        <v>dom</v>
      </c>
      <c r="M1610" t="str">
        <f t="shared" ca="1" si="249"/>
        <v>CMN</v>
      </c>
      <c r="N1610">
        <f t="shared" ca="1" si="250"/>
        <v>4.2630222011177188E-7</v>
      </c>
    </row>
    <row r="1611" spans="6:14" x14ac:dyDescent="0.35">
      <c r="F1611">
        <f t="shared" si="253"/>
        <v>24</v>
      </c>
      <c r="G1611">
        <f t="shared" si="254"/>
        <v>25</v>
      </c>
      <c r="H1611">
        <f t="shared" si="255"/>
        <v>0</v>
      </c>
      <c r="K1611" t="str">
        <f t="shared" ca="1" si="251"/>
        <v>OFI</v>
      </c>
      <c r="L1611" t="str">
        <f t="shared" ca="1" si="252"/>
        <v>dom</v>
      </c>
      <c r="M1611" t="str">
        <f t="shared" ca="1" si="249"/>
        <v>CMN</v>
      </c>
      <c r="N1611">
        <f t="shared" ca="1" si="250"/>
        <v>4.2630222011177188E-7</v>
      </c>
    </row>
    <row r="1612" spans="6:14" x14ac:dyDescent="0.35">
      <c r="F1612">
        <f t="shared" si="253"/>
        <v>24</v>
      </c>
      <c r="G1612">
        <f t="shared" si="254"/>
        <v>26</v>
      </c>
      <c r="H1612">
        <f t="shared" si="255"/>
        <v>0</v>
      </c>
      <c r="K1612" t="str">
        <f t="shared" ca="1" si="251"/>
        <v>RSA</v>
      </c>
      <c r="L1612" t="str">
        <f t="shared" ca="1" si="252"/>
        <v>dom</v>
      </c>
      <c r="M1612" t="str">
        <f t="shared" ca="1" si="249"/>
        <v>CMN</v>
      </c>
      <c r="N1612">
        <f t="shared" ca="1" si="250"/>
        <v>4.2630222011177188E-7</v>
      </c>
    </row>
    <row r="1613" spans="6:14" x14ac:dyDescent="0.35">
      <c r="F1613">
        <f t="shared" si="253"/>
        <v>24</v>
      </c>
      <c r="G1613">
        <f t="shared" si="254"/>
        <v>27</v>
      </c>
      <c r="H1613">
        <f t="shared" si="255"/>
        <v>0</v>
      </c>
      <c r="K1613" t="str">
        <f t="shared" ca="1" si="251"/>
        <v>OBS</v>
      </c>
      <c r="L1613" t="str">
        <f t="shared" ca="1" si="252"/>
        <v>dom</v>
      </c>
      <c r="M1613" t="str">
        <f t="shared" ca="1" si="249"/>
        <v>CMN</v>
      </c>
      <c r="N1613">
        <f t="shared" ca="1" si="250"/>
        <v>4.2630222011177188E-7</v>
      </c>
    </row>
    <row r="1614" spans="6:14" x14ac:dyDescent="0.35">
      <c r="F1614">
        <f t="shared" si="253"/>
        <v>24</v>
      </c>
      <c r="G1614">
        <f t="shared" si="254"/>
        <v>28</v>
      </c>
      <c r="H1614">
        <f t="shared" si="255"/>
        <v>0</v>
      </c>
      <c r="K1614" t="str">
        <f t="shared" ca="1" si="251"/>
        <v>GOV</v>
      </c>
      <c r="L1614" t="str">
        <f t="shared" ca="1" si="252"/>
        <v>dom</v>
      </c>
      <c r="M1614" t="str">
        <f t="shared" ca="1" si="249"/>
        <v>CMN</v>
      </c>
      <c r="N1614">
        <f t="shared" ca="1" si="250"/>
        <v>4.2630222011177188E-7</v>
      </c>
    </row>
    <row r="1615" spans="6:14" x14ac:dyDescent="0.35">
      <c r="F1615">
        <f t="shared" si="253"/>
        <v>24</v>
      </c>
      <c r="G1615">
        <f t="shared" si="254"/>
        <v>29</v>
      </c>
      <c r="H1615">
        <f t="shared" si="255"/>
        <v>0</v>
      </c>
      <c r="K1615" t="str">
        <f t="shared" ca="1" si="251"/>
        <v>EDU</v>
      </c>
      <c r="L1615" t="str">
        <f t="shared" ca="1" si="252"/>
        <v>dom</v>
      </c>
      <c r="M1615" t="str">
        <f t="shared" ca="1" si="249"/>
        <v>CMN</v>
      </c>
      <c r="N1615">
        <f t="shared" ca="1" si="250"/>
        <v>4.2630222011177188E-7</v>
      </c>
    </row>
    <row r="1616" spans="6:14" x14ac:dyDescent="0.35">
      <c r="F1616">
        <f t="shared" si="253"/>
        <v>24</v>
      </c>
      <c r="G1616">
        <f t="shared" si="254"/>
        <v>30</v>
      </c>
      <c r="H1616">
        <f t="shared" si="255"/>
        <v>0</v>
      </c>
      <c r="K1616" t="str">
        <f t="shared" ca="1" si="251"/>
        <v>HHT</v>
      </c>
      <c r="L1616" t="str">
        <f t="shared" ca="1" si="252"/>
        <v>dom</v>
      </c>
      <c r="M1616" t="str">
        <f t="shared" ca="1" si="249"/>
        <v>CMN</v>
      </c>
      <c r="N1616">
        <f t="shared" ca="1" si="250"/>
        <v>4.2630222011177188E-7</v>
      </c>
    </row>
    <row r="1617" spans="6:14" x14ac:dyDescent="0.35">
      <c r="F1617">
        <f t="shared" si="253"/>
        <v>24</v>
      </c>
      <c r="G1617">
        <f t="shared" si="254"/>
        <v>31</v>
      </c>
      <c r="H1617">
        <f t="shared" si="255"/>
        <v>0</v>
      </c>
      <c r="K1617" t="str">
        <f t="shared" ca="1" si="251"/>
        <v>REC</v>
      </c>
      <c r="L1617" t="str">
        <f t="shared" ca="1" si="252"/>
        <v>dom</v>
      </c>
      <c r="M1617" t="str">
        <f t="shared" ca="1" si="249"/>
        <v>CMN</v>
      </c>
      <c r="N1617">
        <f t="shared" ca="1" si="250"/>
        <v>4.2630222011177188E-7</v>
      </c>
    </row>
    <row r="1618" spans="6:14" x14ac:dyDescent="0.35">
      <c r="F1618">
        <f t="shared" si="253"/>
        <v>24</v>
      </c>
      <c r="G1618">
        <f t="shared" si="254"/>
        <v>32</v>
      </c>
      <c r="H1618">
        <f t="shared" si="255"/>
        <v>0</v>
      </c>
      <c r="K1618" t="str">
        <f t="shared" ca="1" si="251"/>
        <v>DWE</v>
      </c>
      <c r="L1618" t="str">
        <f t="shared" ca="1" si="252"/>
        <v>dom</v>
      </c>
      <c r="M1618" t="str">
        <f t="shared" ca="1" si="249"/>
        <v>CMN</v>
      </c>
      <c r="N1618">
        <f t="shared" ca="1" si="250"/>
        <v>4.2630222011177188E-7</v>
      </c>
    </row>
    <row r="1619" spans="6:14" x14ac:dyDescent="0.35">
      <c r="F1619">
        <f t="shared" si="253"/>
        <v>24</v>
      </c>
      <c r="G1619">
        <f t="shared" si="254"/>
        <v>0</v>
      </c>
      <c r="H1619">
        <f t="shared" si="255"/>
        <v>1</v>
      </c>
      <c r="K1619" t="str">
        <f t="shared" ca="1" si="251"/>
        <v>AG</v>
      </c>
      <c r="L1619" t="str">
        <f t="shared" ca="1" si="252"/>
        <v>imp</v>
      </c>
      <c r="M1619" t="str">
        <f t="shared" ca="1" si="249"/>
        <v>CMN</v>
      </c>
      <c r="N1619">
        <f t="shared" ca="1" si="250"/>
        <v>3.9440731290858486</v>
      </c>
    </row>
    <row r="1620" spans="6:14" x14ac:dyDescent="0.35">
      <c r="F1620">
        <f t="shared" si="253"/>
        <v>24</v>
      </c>
      <c r="G1620">
        <f t="shared" si="254"/>
        <v>1</v>
      </c>
      <c r="H1620">
        <f t="shared" si="255"/>
        <v>1</v>
      </c>
      <c r="K1620" t="str">
        <f t="shared" ca="1" si="251"/>
        <v>MIN</v>
      </c>
      <c r="L1620" t="str">
        <f t="shared" ca="1" si="252"/>
        <v>imp</v>
      </c>
      <c r="M1620" t="str">
        <f t="shared" ca="1" si="249"/>
        <v>CMN</v>
      </c>
      <c r="N1620">
        <f t="shared" ca="1" si="250"/>
        <v>6.2222947568714311</v>
      </c>
    </row>
    <row r="1621" spans="6:14" x14ac:dyDescent="0.35">
      <c r="F1621">
        <f t="shared" ref="F1621:F1636" si="256">F1555+1</f>
        <v>24</v>
      </c>
      <c r="G1621">
        <f t="shared" si="254"/>
        <v>2</v>
      </c>
      <c r="H1621">
        <f t="shared" si="255"/>
        <v>1</v>
      </c>
      <c r="K1621" t="str">
        <f t="shared" ca="1" si="251"/>
        <v>FBT</v>
      </c>
      <c r="L1621" t="str">
        <f t="shared" ca="1" si="252"/>
        <v>imp</v>
      </c>
      <c r="M1621" t="str">
        <f t="shared" ca="1" si="249"/>
        <v>CMN</v>
      </c>
      <c r="N1621">
        <f t="shared" ca="1" si="250"/>
        <v>1.5570090062134099</v>
      </c>
    </row>
    <row r="1622" spans="6:14" x14ac:dyDescent="0.35">
      <c r="F1622">
        <f t="shared" si="256"/>
        <v>24</v>
      </c>
      <c r="G1622">
        <f t="shared" si="254"/>
        <v>3</v>
      </c>
      <c r="H1622">
        <f t="shared" si="255"/>
        <v>1</v>
      </c>
      <c r="K1622" t="str">
        <f t="shared" ca="1" si="251"/>
        <v>TEX</v>
      </c>
      <c r="L1622" t="str">
        <f t="shared" ca="1" si="252"/>
        <v>imp</v>
      </c>
      <c r="M1622" t="str">
        <f t="shared" ca="1" si="249"/>
        <v>CMN</v>
      </c>
      <c r="N1622">
        <f t="shared" ca="1" si="250"/>
        <v>30.554769525945165</v>
      </c>
    </row>
    <row r="1623" spans="6:14" x14ac:dyDescent="0.35">
      <c r="F1623">
        <f t="shared" si="256"/>
        <v>24</v>
      </c>
      <c r="G1623">
        <f t="shared" si="254"/>
        <v>4</v>
      </c>
      <c r="H1623">
        <f t="shared" si="255"/>
        <v>1</v>
      </c>
      <c r="K1623" t="str">
        <f t="shared" ca="1" si="251"/>
        <v>LEATHER</v>
      </c>
      <c r="L1623" t="str">
        <f t="shared" ca="1" si="252"/>
        <v>imp</v>
      </c>
      <c r="M1623" t="str">
        <f t="shared" ca="1" si="249"/>
        <v>CMN</v>
      </c>
      <c r="N1623">
        <f t="shared" ca="1" si="250"/>
        <v>15.924213284804759</v>
      </c>
    </row>
    <row r="1624" spans="6:14" x14ac:dyDescent="0.35">
      <c r="F1624">
        <f t="shared" si="256"/>
        <v>24</v>
      </c>
      <c r="G1624">
        <f t="shared" si="254"/>
        <v>5</v>
      </c>
      <c r="H1624">
        <f t="shared" si="255"/>
        <v>1</v>
      </c>
      <c r="K1624" t="str">
        <f t="shared" ca="1" si="251"/>
        <v>WOOD</v>
      </c>
      <c r="L1624" t="str">
        <f t="shared" ca="1" si="252"/>
        <v>imp</v>
      </c>
      <c r="M1624" t="str">
        <f t="shared" ca="1" si="249"/>
        <v>CMN</v>
      </c>
      <c r="N1624">
        <f t="shared" ca="1" si="250"/>
        <v>0.28503176536729874</v>
      </c>
    </row>
    <row r="1625" spans="6:14" x14ac:dyDescent="0.35">
      <c r="F1625">
        <f t="shared" si="256"/>
        <v>24</v>
      </c>
      <c r="G1625">
        <f t="shared" si="254"/>
        <v>6</v>
      </c>
      <c r="H1625">
        <f t="shared" si="255"/>
        <v>1</v>
      </c>
      <c r="K1625" t="str">
        <f t="shared" ca="1" si="251"/>
        <v>PPP</v>
      </c>
      <c r="L1625" t="str">
        <f t="shared" ca="1" si="252"/>
        <v>imp</v>
      </c>
      <c r="M1625" t="str">
        <f t="shared" ca="1" si="249"/>
        <v>CMN</v>
      </c>
      <c r="N1625">
        <f t="shared" ca="1" si="250"/>
        <v>4.1044286605942535</v>
      </c>
    </row>
    <row r="1626" spans="6:14" x14ac:dyDescent="0.35">
      <c r="F1626">
        <f t="shared" si="256"/>
        <v>24</v>
      </c>
      <c r="G1626">
        <f t="shared" si="254"/>
        <v>7</v>
      </c>
      <c r="H1626">
        <f t="shared" si="255"/>
        <v>1</v>
      </c>
      <c r="K1626" t="str">
        <f t="shared" ca="1" si="251"/>
        <v>PC</v>
      </c>
      <c r="L1626" t="str">
        <f t="shared" ca="1" si="252"/>
        <v>imp</v>
      </c>
      <c r="M1626" t="str">
        <f t="shared" ca="1" si="249"/>
        <v>CMN</v>
      </c>
      <c r="N1626">
        <f t="shared" ca="1" si="250"/>
        <v>1.0335434003174002</v>
      </c>
    </row>
    <row r="1627" spans="6:14" x14ac:dyDescent="0.35">
      <c r="F1627">
        <f t="shared" si="256"/>
        <v>24</v>
      </c>
      <c r="G1627">
        <f t="shared" si="254"/>
        <v>8</v>
      </c>
      <c r="H1627">
        <f t="shared" si="255"/>
        <v>1</v>
      </c>
      <c r="K1627" t="str">
        <f t="shared" ca="1" si="251"/>
        <v>CHM</v>
      </c>
      <c r="L1627" t="str">
        <f t="shared" ca="1" si="252"/>
        <v>imp</v>
      </c>
      <c r="M1627" t="str">
        <f t="shared" ca="1" si="249"/>
        <v>CMN</v>
      </c>
      <c r="N1627">
        <f t="shared" ca="1" si="250"/>
        <v>14.168154305313333</v>
      </c>
    </row>
    <row r="1628" spans="6:14" x14ac:dyDescent="0.35">
      <c r="F1628">
        <f t="shared" si="256"/>
        <v>24</v>
      </c>
      <c r="G1628">
        <f t="shared" si="254"/>
        <v>9</v>
      </c>
      <c r="H1628">
        <f t="shared" si="255"/>
        <v>1</v>
      </c>
      <c r="K1628" t="str">
        <f t="shared" ca="1" si="251"/>
        <v>RUBBER</v>
      </c>
      <c r="L1628" t="str">
        <f t="shared" ca="1" si="252"/>
        <v>imp</v>
      </c>
      <c r="M1628" t="str">
        <f t="shared" ca="1" si="249"/>
        <v>CMN</v>
      </c>
      <c r="N1628">
        <f t="shared" ca="1" si="250"/>
        <v>10.850923054419308</v>
      </c>
    </row>
    <row r="1629" spans="6:14" x14ac:dyDescent="0.35">
      <c r="F1629">
        <f t="shared" si="256"/>
        <v>24</v>
      </c>
      <c r="G1629">
        <f t="shared" si="254"/>
        <v>10</v>
      </c>
      <c r="H1629">
        <f t="shared" si="255"/>
        <v>1</v>
      </c>
      <c r="K1629" t="str">
        <f t="shared" ca="1" si="251"/>
        <v>NMM</v>
      </c>
      <c r="L1629" t="str">
        <f t="shared" ca="1" si="252"/>
        <v>imp</v>
      </c>
      <c r="M1629" t="str">
        <f t="shared" ca="1" si="249"/>
        <v>CMN</v>
      </c>
      <c r="N1629">
        <f t="shared" ca="1" si="250"/>
        <v>4.0960864754760262</v>
      </c>
    </row>
    <row r="1630" spans="6:14" x14ac:dyDescent="0.35">
      <c r="F1630">
        <f t="shared" si="256"/>
        <v>24</v>
      </c>
      <c r="G1630">
        <f t="shared" si="254"/>
        <v>11</v>
      </c>
      <c r="H1630">
        <f t="shared" si="255"/>
        <v>1</v>
      </c>
      <c r="K1630" t="str">
        <f t="shared" ca="1" si="251"/>
        <v>METAL</v>
      </c>
      <c r="L1630" t="str">
        <f t="shared" ca="1" si="252"/>
        <v>imp</v>
      </c>
      <c r="M1630" t="str">
        <f t="shared" ca="1" si="249"/>
        <v>CMN</v>
      </c>
      <c r="N1630">
        <f t="shared" ca="1" si="250"/>
        <v>51.271278613805599</v>
      </c>
    </row>
    <row r="1631" spans="6:14" x14ac:dyDescent="0.35">
      <c r="F1631">
        <f t="shared" si="256"/>
        <v>24</v>
      </c>
      <c r="G1631">
        <f t="shared" si="254"/>
        <v>12</v>
      </c>
      <c r="H1631">
        <f t="shared" si="255"/>
        <v>1</v>
      </c>
      <c r="K1631" t="str">
        <f t="shared" ca="1" si="251"/>
        <v>MACH</v>
      </c>
      <c r="L1631" t="str">
        <f t="shared" ca="1" si="252"/>
        <v>imp</v>
      </c>
      <c r="M1631" t="str">
        <f t="shared" ca="1" si="249"/>
        <v>CMN</v>
      </c>
      <c r="N1631">
        <f t="shared" ca="1" si="250"/>
        <v>196.40857217000323</v>
      </c>
    </row>
    <row r="1632" spans="6:14" x14ac:dyDescent="0.35">
      <c r="F1632">
        <f t="shared" si="256"/>
        <v>24</v>
      </c>
      <c r="G1632">
        <f t="shared" si="254"/>
        <v>13</v>
      </c>
      <c r="H1632">
        <f t="shared" si="255"/>
        <v>1</v>
      </c>
      <c r="K1632" t="str">
        <f t="shared" ca="1" si="251"/>
        <v>ELEC</v>
      </c>
      <c r="L1632" t="str">
        <f t="shared" ca="1" si="252"/>
        <v>imp</v>
      </c>
      <c r="M1632" t="str">
        <f t="shared" ca="1" si="249"/>
        <v>CMN</v>
      </c>
      <c r="N1632">
        <f t="shared" ca="1" si="250"/>
        <v>105.30828514651694</v>
      </c>
    </row>
    <row r="1633" spans="6:14" x14ac:dyDescent="0.35">
      <c r="F1633">
        <f t="shared" si="256"/>
        <v>24</v>
      </c>
      <c r="G1633">
        <f t="shared" si="254"/>
        <v>14</v>
      </c>
      <c r="H1633">
        <f t="shared" si="255"/>
        <v>1</v>
      </c>
      <c r="K1633" t="str">
        <f t="shared" ca="1" si="251"/>
        <v>TRNEQUIP</v>
      </c>
      <c r="L1633" t="str">
        <f t="shared" ca="1" si="252"/>
        <v>imp</v>
      </c>
      <c r="M1633" t="str">
        <f t="shared" ca="1" si="249"/>
        <v>CMN</v>
      </c>
      <c r="N1633">
        <f t="shared" ca="1" si="250"/>
        <v>168.06017810153034</v>
      </c>
    </row>
    <row r="1634" spans="6:14" x14ac:dyDescent="0.35">
      <c r="F1634">
        <f t="shared" si="256"/>
        <v>24</v>
      </c>
      <c r="G1634">
        <f t="shared" si="254"/>
        <v>15</v>
      </c>
      <c r="H1634">
        <f t="shared" si="255"/>
        <v>1</v>
      </c>
      <c r="K1634" t="str">
        <f t="shared" ca="1" si="251"/>
        <v>ROMAN</v>
      </c>
      <c r="L1634" t="str">
        <f t="shared" ca="1" si="252"/>
        <v>imp</v>
      </c>
      <c r="M1634" t="str">
        <f t="shared" ca="1" si="249"/>
        <v>CMN</v>
      </c>
      <c r="N1634">
        <f t="shared" ca="1" si="250"/>
        <v>63.7678582359163</v>
      </c>
    </row>
    <row r="1635" spans="6:14" x14ac:dyDescent="0.35">
      <c r="F1635">
        <f t="shared" si="256"/>
        <v>24</v>
      </c>
      <c r="G1635">
        <f t="shared" si="254"/>
        <v>16</v>
      </c>
      <c r="H1635">
        <f t="shared" si="255"/>
        <v>1</v>
      </c>
      <c r="K1635" t="str">
        <f t="shared" ca="1" si="251"/>
        <v>ELYGASWTR</v>
      </c>
      <c r="L1635" t="str">
        <f t="shared" ca="1" si="252"/>
        <v>imp</v>
      </c>
      <c r="M1635" t="str">
        <f t="shared" ca="1" si="249"/>
        <v>CMN</v>
      </c>
      <c r="N1635">
        <f t="shared" ca="1" si="250"/>
        <v>4.2630222011177188E-7</v>
      </c>
    </row>
    <row r="1636" spans="6:14" x14ac:dyDescent="0.35">
      <c r="F1636">
        <f t="shared" si="256"/>
        <v>24</v>
      </c>
      <c r="G1636">
        <f t="shared" si="254"/>
        <v>17</v>
      </c>
      <c r="H1636">
        <f t="shared" si="255"/>
        <v>1</v>
      </c>
      <c r="K1636" t="str">
        <f t="shared" ca="1" si="251"/>
        <v>CNS</v>
      </c>
      <c r="L1636" t="str">
        <f t="shared" ca="1" si="252"/>
        <v>imp</v>
      </c>
      <c r="M1636" t="str">
        <f t="shared" ca="1" si="249"/>
        <v>CMN</v>
      </c>
      <c r="N1636">
        <f t="shared" ca="1" si="250"/>
        <v>12.482925756127925</v>
      </c>
    </row>
    <row r="1637" spans="6:14" x14ac:dyDescent="0.35">
      <c r="F1637">
        <f t="shared" ref="F1637:F1652" si="257">F1571+1</f>
        <v>24</v>
      </c>
      <c r="G1637">
        <f t="shared" si="254"/>
        <v>18</v>
      </c>
      <c r="H1637">
        <f t="shared" si="255"/>
        <v>1</v>
      </c>
      <c r="K1637" t="str">
        <f t="shared" ca="1" si="251"/>
        <v>TRD</v>
      </c>
      <c r="L1637" t="str">
        <f t="shared" ca="1" si="252"/>
        <v>imp</v>
      </c>
      <c r="M1637" t="str">
        <f t="shared" ca="1" si="249"/>
        <v>CMN</v>
      </c>
      <c r="N1637">
        <f t="shared" ca="1" si="250"/>
        <v>1.0921716700227242</v>
      </c>
    </row>
    <row r="1638" spans="6:14" x14ac:dyDescent="0.35">
      <c r="F1638">
        <f t="shared" si="257"/>
        <v>24</v>
      </c>
      <c r="G1638">
        <f t="shared" si="254"/>
        <v>19</v>
      </c>
      <c r="H1638">
        <f t="shared" si="255"/>
        <v>1</v>
      </c>
      <c r="K1638" t="str">
        <f t="shared" ca="1" si="251"/>
        <v>AFS</v>
      </c>
      <c r="L1638" t="str">
        <f t="shared" ca="1" si="252"/>
        <v>imp</v>
      </c>
      <c r="M1638" t="str">
        <f t="shared" ca="1" si="249"/>
        <v>CMN</v>
      </c>
      <c r="N1638">
        <f t="shared" ca="1" si="250"/>
        <v>4.2630222011177188E-7</v>
      </c>
    </row>
    <row r="1639" spans="6:14" x14ac:dyDescent="0.35">
      <c r="F1639">
        <f t="shared" si="257"/>
        <v>24</v>
      </c>
      <c r="G1639">
        <f t="shared" si="254"/>
        <v>20</v>
      </c>
      <c r="H1639">
        <f t="shared" si="255"/>
        <v>1</v>
      </c>
      <c r="K1639" t="str">
        <f t="shared" ca="1" si="251"/>
        <v>OTP</v>
      </c>
      <c r="L1639" t="str">
        <f t="shared" ca="1" si="252"/>
        <v>imp</v>
      </c>
      <c r="M1639" t="str">
        <f t="shared" ca="1" si="249"/>
        <v>CMN</v>
      </c>
      <c r="N1639">
        <f t="shared" ca="1" si="250"/>
        <v>4.2630222011177188E-7</v>
      </c>
    </row>
    <row r="1640" spans="6:14" x14ac:dyDescent="0.35">
      <c r="F1640">
        <f t="shared" si="257"/>
        <v>24</v>
      </c>
      <c r="G1640">
        <f t="shared" si="254"/>
        <v>21</v>
      </c>
      <c r="H1640">
        <f t="shared" si="255"/>
        <v>1</v>
      </c>
      <c r="K1640" t="str">
        <f t="shared" ca="1" si="251"/>
        <v>WTP</v>
      </c>
      <c r="L1640" t="str">
        <f t="shared" ca="1" si="252"/>
        <v>imp</v>
      </c>
      <c r="M1640" t="str">
        <f t="shared" ca="1" si="249"/>
        <v>CMN</v>
      </c>
      <c r="N1640">
        <f t="shared" ca="1" si="250"/>
        <v>4.2630222011177188E-7</v>
      </c>
    </row>
    <row r="1641" spans="6:14" x14ac:dyDescent="0.35">
      <c r="F1641">
        <f t="shared" si="257"/>
        <v>24</v>
      </c>
      <c r="G1641">
        <f t="shared" si="254"/>
        <v>22</v>
      </c>
      <c r="H1641">
        <f t="shared" si="255"/>
        <v>1</v>
      </c>
      <c r="K1641" t="str">
        <f t="shared" ca="1" si="251"/>
        <v>ATP</v>
      </c>
      <c r="L1641" t="str">
        <f t="shared" ca="1" si="252"/>
        <v>imp</v>
      </c>
      <c r="M1641" t="str">
        <f t="shared" ca="1" si="249"/>
        <v>CMN</v>
      </c>
      <c r="N1641">
        <f t="shared" ca="1" si="250"/>
        <v>4.2630222011177188E-7</v>
      </c>
    </row>
    <row r="1642" spans="6:14" x14ac:dyDescent="0.35">
      <c r="F1642">
        <f t="shared" si="257"/>
        <v>24</v>
      </c>
      <c r="G1642">
        <f t="shared" si="254"/>
        <v>23</v>
      </c>
      <c r="H1642">
        <f t="shared" si="255"/>
        <v>1</v>
      </c>
      <c r="K1642" t="str">
        <f t="shared" ca="1" si="251"/>
        <v>WHS</v>
      </c>
      <c r="L1642" t="str">
        <f t="shared" ca="1" si="252"/>
        <v>imp</v>
      </c>
      <c r="M1642" t="str">
        <f t="shared" ca="1" si="249"/>
        <v>CMN</v>
      </c>
      <c r="N1642">
        <f t="shared" ca="1" si="250"/>
        <v>4.2630222011177188E-7</v>
      </c>
    </row>
    <row r="1643" spans="6:14" x14ac:dyDescent="0.35">
      <c r="F1643">
        <f t="shared" si="257"/>
        <v>24</v>
      </c>
      <c r="G1643">
        <f t="shared" si="254"/>
        <v>24</v>
      </c>
      <c r="H1643">
        <f t="shared" si="255"/>
        <v>1</v>
      </c>
      <c r="K1643" t="str">
        <f t="shared" ca="1" si="251"/>
        <v>CMN</v>
      </c>
      <c r="L1643" t="str">
        <f t="shared" ca="1" si="252"/>
        <v>imp</v>
      </c>
      <c r="M1643" t="str">
        <f t="shared" ca="1" si="249"/>
        <v>CMN</v>
      </c>
      <c r="N1643">
        <f t="shared" ca="1" si="250"/>
        <v>4.2630222011177188E-7</v>
      </c>
    </row>
    <row r="1644" spans="6:14" x14ac:dyDescent="0.35">
      <c r="F1644">
        <f t="shared" si="257"/>
        <v>24</v>
      </c>
      <c r="G1644">
        <f t="shared" si="254"/>
        <v>25</v>
      </c>
      <c r="H1644">
        <f t="shared" si="255"/>
        <v>1</v>
      </c>
      <c r="K1644" t="str">
        <f t="shared" ca="1" si="251"/>
        <v>OFI</v>
      </c>
      <c r="L1644" t="str">
        <f t="shared" ca="1" si="252"/>
        <v>imp</v>
      </c>
      <c r="M1644" t="str">
        <f t="shared" ca="1" si="249"/>
        <v>CMN</v>
      </c>
      <c r="N1644">
        <f t="shared" ca="1" si="250"/>
        <v>4.2630222011177188E-7</v>
      </c>
    </row>
    <row r="1645" spans="6:14" x14ac:dyDescent="0.35">
      <c r="F1645">
        <f t="shared" si="257"/>
        <v>24</v>
      </c>
      <c r="G1645">
        <f t="shared" si="254"/>
        <v>26</v>
      </c>
      <c r="H1645">
        <f t="shared" si="255"/>
        <v>1</v>
      </c>
      <c r="K1645" t="str">
        <f t="shared" ca="1" si="251"/>
        <v>RSA</v>
      </c>
      <c r="L1645" t="str">
        <f t="shared" ca="1" si="252"/>
        <v>imp</v>
      </c>
      <c r="M1645" t="str">
        <f t="shared" ca="1" si="249"/>
        <v>CMN</v>
      </c>
      <c r="N1645">
        <f t="shared" ca="1" si="250"/>
        <v>4.2630222011177188E-7</v>
      </c>
    </row>
    <row r="1646" spans="6:14" x14ac:dyDescent="0.35">
      <c r="F1646">
        <f t="shared" si="257"/>
        <v>24</v>
      </c>
      <c r="G1646">
        <f t="shared" si="254"/>
        <v>27</v>
      </c>
      <c r="H1646">
        <f t="shared" si="255"/>
        <v>1</v>
      </c>
      <c r="K1646" t="str">
        <f t="shared" ca="1" si="251"/>
        <v>OBS</v>
      </c>
      <c r="L1646" t="str">
        <f t="shared" ca="1" si="252"/>
        <v>imp</v>
      </c>
      <c r="M1646" t="str">
        <f t="shared" ca="1" si="249"/>
        <v>CMN</v>
      </c>
      <c r="N1646">
        <f t="shared" ca="1" si="250"/>
        <v>4.2630222011177188E-7</v>
      </c>
    </row>
    <row r="1647" spans="6:14" x14ac:dyDescent="0.35">
      <c r="F1647">
        <f t="shared" si="257"/>
        <v>24</v>
      </c>
      <c r="G1647">
        <f t="shared" si="254"/>
        <v>28</v>
      </c>
      <c r="H1647">
        <f t="shared" si="255"/>
        <v>1</v>
      </c>
      <c r="K1647" t="str">
        <f t="shared" ca="1" si="251"/>
        <v>GOV</v>
      </c>
      <c r="L1647" t="str">
        <f t="shared" ca="1" si="252"/>
        <v>imp</v>
      </c>
      <c r="M1647" t="str">
        <f t="shared" ca="1" si="249"/>
        <v>CMN</v>
      </c>
      <c r="N1647">
        <f t="shared" ca="1" si="250"/>
        <v>4.2630222011177188E-7</v>
      </c>
    </row>
    <row r="1648" spans="6:14" x14ac:dyDescent="0.35">
      <c r="F1648">
        <f t="shared" si="257"/>
        <v>24</v>
      </c>
      <c r="G1648">
        <f t="shared" si="254"/>
        <v>29</v>
      </c>
      <c r="H1648">
        <f t="shared" si="255"/>
        <v>1</v>
      </c>
      <c r="K1648" t="str">
        <f t="shared" ca="1" si="251"/>
        <v>EDU</v>
      </c>
      <c r="L1648" t="str">
        <f t="shared" ca="1" si="252"/>
        <v>imp</v>
      </c>
      <c r="M1648" t="str">
        <f t="shared" ca="1" si="249"/>
        <v>CMN</v>
      </c>
      <c r="N1648">
        <f t="shared" ca="1" si="250"/>
        <v>4.2630222011177188E-7</v>
      </c>
    </row>
    <row r="1649" spans="6:14" x14ac:dyDescent="0.35">
      <c r="F1649">
        <f t="shared" si="257"/>
        <v>24</v>
      </c>
      <c r="G1649">
        <f t="shared" si="254"/>
        <v>30</v>
      </c>
      <c r="H1649">
        <f t="shared" si="255"/>
        <v>1</v>
      </c>
      <c r="K1649" t="str">
        <f t="shared" ca="1" si="251"/>
        <v>HHT</v>
      </c>
      <c r="L1649" t="str">
        <f t="shared" ca="1" si="252"/>
        <v>imp</v>
      </c>
      <c r="M1649" t="str">
        <f t="shared" ca="1" si="249"/>
        <v>CMN</v>
      </c>
      <c r="N1649">
        <f t="shared" ca="1" si="250"/>
        <v>4.2630222011177188E-7</v>
      </c>
    </row>
    <row r="1650" spans="6:14" x14ac:dyDescent="0.35">
      <c r="F1650">
        <f t="shared" si="257"/>
        <v>24</v>
      </c>
      <c r="G1650">
        <f t="shared" si="254"/>
        <v>31</v>
      </c>
      <c r="H1650">
        <f t="shared" si="255"/>
        <v>1</v>
      </c>
      <c r="K1650" t="str">
        <f t="shared" ca="1" si="251"/>
        <v>REC</v>
      </c>
      <c r="L1650" t="str">
        <f t="shared" ca="1" si="252"/>
        <v>imp</v>
      </c>
      <c r="M1650" t="str">
        <f t="shared" ca="1" si="249"/>
        <v>CMN</v>
      </c>
      <c r="N1650">
        <f t="shared" ca="1" si="250"/>
        <v>4.2630222011177188E-7</v>
      </c>
    </row>
    <row r="1651" spans="6:14" x14ac:dyDescent="0.35">
      <c r="F1651">
        <f t="shared" si="257"/>
        <v>24</v>
      </c>
      <c r="G1651">
        <f t="shared" si="254"/>
        <v>32</v>
      </c>
      <c r="H1651">
        <f t="shared" si="255"/>
        <v>1</v>
      </c>
      <c r="K1651" t="str">
        <f t="shared" ca="1" si="251"/>
        <v>DWE</v>
      </c>
      <c r="L1651" t="str">
        <f t="shared" ca="1" si="252"/>
        <v>imp</v>
      </c>
      <c r="M1651" t="str">
        <f t="shared" ca="1" si="249"/>
        <v>CMN</v>
      </c>
      <c r="N1651">
        <f t="shared" ca="1" si="250"/>
        <v>4.2630222011177188E-7</v>
      </c>
    </row>
    <row r="1652" spans="6:14" x14ac:dyDescent="0.35">
      <c r="F1652">
        <f t="shared" si="257"/>
        <v>25</v>
      </c>
      <c r="G1652">
        <f t="shared" si="254"/>
        <v>0</v>
      </c>
      <c r="H1652">
        <f t="shared" si="255"/>
        <v>0</v>
      </c>
      <c r="K1652" t="str">
        <f t="shared" ca="1" si="251"/>
        <v>AG</v>
      </c>
      <c r="L1652" t="str">
        <f t="shared" ca="1" si="252"/>
        <v>dom</v>
      </c>
      <c r="M1652" t="str">
        <f t="shared" ca="1" si="249"/>
        <v>OFI</v>
      </c>
      <c r="N1652">
        <f t="shared" ca="1" si="250"/>
        <v>3.7551115218015947</v>
      </c>
    </row>
    <row r="1653" spans="6:14" x14ac:dyDescent="0.35">
      <c r="F1653">
        <f t="shared" ref="F1653:F1668" si="258">F1587+1</f>
        <v>25</v>
      </c>
      <c r="G1653">
        <f t="shared" si="254"/>
        <v>1</v>
      </c>
      <c r="H1653">
        <f t="shared" si="255"/>
        <v>0</v>
      </c>
      <c r="K1653" t="str">
        <f t="shared" ca="1" si="251"/>
        <v>MIN</v>
      </c>
      <c r="L1653" t="str">
        <f t="shared" ca="1" si="252"/>
        <v>dom</v>
      </c>
      <c r="M1653" t="str">
        <f t="shared" ca="1" si="249"/>
        <v>OFI</v>
      </c>
      <c r="N1653">
        <f t="shared" ca="1" si="250"/>
        <v>6.5504808902360026</v>
      </c>
    </row>
    <row r="1654" spans="6:14" x14ac:dyDescent="0.35">
      <c r="F1654">
        <f t="shared" si="258"/>
        <v>25</v>
      </c>
      <c r="G1654">
        <f t="shared" si="254"/>
        <v>2</v>
      </c>
      <c r="H1654">
        <f t="shared" si="255"/>
        <v>0</v>
      </c>
      <c r="K1654" t="str">
        <f t="shared" ca="1" si="251"/>
        <v>FBT</v>
      </c>
      <c r="L1654" t="str">
        <f t="shared" ca="1" si="252"/>
        <v>dom</v>
      </c>
      <c r="M1654" t="str">
        <f t="shared" ca="1" si="249"/>
        <v>OFI</v>
      </c>
      <c r="N1654">
        <f t="shared" ca="1" si="250"/>
        <v>11.029626765890255</v>
      </c>
    </row>
    <row r="1655" spans="6:14" x14ac:dyDescent="0.35">
      <c r="F1655">
        <f t="shared" si="258"/>
        <v>25</v>
      </c>
      <c r="G1655">
        <f t="shared" si="254"/>
        <v>3</v>
      </c>
      <c r="H1655">
        <f t="shared" si="255"/>
        <v>0</v>
      </c>
      <c r="K1655" t="str">
        <f t="shared" ca="1" si="251"/>
        <v>TEX</v>
      </c>
      <c r="L1655" t="str">
        <f t="shared" ca="1" si="252"/>
        <v>dom</v>
      </c>
      <c r="M1655" t="str">
        <f t="shared" ca="1" si="249"/>
        <v>OFI</v>
      </c>
      <c r="N1655">
        <f t="shared" ca="1" si="250"/>
        <v>57.451704813313413</v>
      </c>
    </row>
    <row r="1656" spans="6:14" x14ac:dyDescent="0.35">
      <c r="F1656">
        <f t="shared" si="258"/>
        <v>25</v>
      </c>
      <c r="G1656">
        <f t="shared" si="254"/>
        <v>4</v>
      </c>
      <c r="H1656">
        <f t="shared" si="255"/>
        <v>0</v>
      </c>
      <c r="K1656" t="str">
        <f t="shared" ca="1" si="251"/>
        <v>LEATHER</v>
      </c>
      <c r="L1656" t="str">
        <f t="shared" ca="1" si="252"/>
        <v>dom</v>
      </c>
      <c r="M1656" t="str">
        <f t="shared" ca="1" si="249"/>
        <v>OFI</v>
      </c>
      <c r="N1656">
        <f t="shared" ca="1" si="250"/>
        <v>0.40766684928426006</v>
      </c>
    </row>
    <row r="1657" spans="6:14" x14ac:dyDescent="0.35">
      <c r="F1657">
        <f t="shared" si="258"/>
        <v>25</v>
      </c>
      <c r="G1657">
        <f t="shared" si="254"/>
        <v>5</v>
      </c>
      <c r="H1657">
        <f t="shared" si="255"/>
        <v>0</v>
      </c>
      <c r="K1657" t="str">
        <f t="shared" ca="1" si="251"/>
        <v>WOOD</v>
      </c>
      <c r="L1657" t="str">
        <f t="shared" ca="1" si="252"/>
        <v>dom</v>
      </c>
      <c r="M1657" t="str">
        <f t="shared" ca="1" si="249"/>
        <v>OFI</v>
      </c>
      <c r="N1657">
        <f t="shared" ca="1" si="250"/>
        <v>2.5095637151631625</v>
      </c>
    </row>
    <row r="1658" spans="6:14" x14ac:dyDescent="0.35">
      <c r="F1658">
        <f t="shared" si="258"/>
        <v>25</v>
      </c>
      <c r="G1658">
        <f t="shared" si="254"/>
        <v>6</v>
      </c>
      <c r="H1658">
        <f t="shared" si="255"/>
        <v>0</v>
      </c>
      <c r="K1658" t="str">
        <f t="shared" ca="1" si="251"/>
        <v>PPP</v>
      </c>
      <c r="L1658" t="str">
        <f t="shared" ca="1" si="252"/>
        <v>dom</v>
      </c>
      <c r="M1658" t="str">
        <f t="shared" ca="1" si="249"/>
        <v>OFI</v>
      </c>
      <c r="N1658">
        <f t="shared" ca="1" si="250"/>
        <v>50.230372695505899</v>
      </c>
    </row>
    <row r="1659" spans="6:14" x14ac:dyDescent="0.35">
      <c r="F1659">
        <f t="shared" si="258"/>
        <v>25</v>
      </c>
      <c r="G1659">
        <f t="shared" si="254"/>
        <v>7</v>
      </c>
      <c r="H1659">
        <f t="shared" si="255"/>
        <v>0</v>
      </c>
      <c r="K1659" t="str">
        <f t="shared" ca="1" si="251"/>
        <v>PC</v>
      </c>
      <c r="L1659" t="str">
        <f t="shared" ca="1" si="252"/>
        <v>dom</v>
      </c>
      <c r="M1659" t="str">
        <f t="shared" ca="1" si="249"/>
        <v>OFI</v>
      </c>
      <c r="N1659">
        <f t="shared" ca="1" si="250"/>
        <v>7.6541413510523677</v>
      </c>
    </row>
    <row r="1660" spans="6:14" x14ac:dyDescent="0.35">
      <c r="F1660">
        <f t="shared" si="258"/>
        <v>25</v>
      </c>
      <c r="G1660">
        <f t="shared" si="254"/>
        <v>8</v>
      </c>
      <c r="H1660">
        <f t="shared" si="255"/>
        <v>0</v>
      </c>
      <c r="K1660" t="str">
        <f t="shared" ca="1" si="251"/>
        <v>CHM</v>
      </c>
      <c r="L1660" t="str">
        <f t="shared" ca="1" si="252"/>
        <v>dom</v>
      </c>
      <c r="M1660" t="str">
        <f t="shared" ca="1" si="249"/>
        <v>OFI</v>
      </c>
      <c r="N1660">
        <f t="shared" ca="1" si="250"/>
        <v>47.663873718696323</v>
      </c>
    </row>
    <row r="1661" spans="6:14" x14ac:dyDescent="0.35">
      <c r="F1661">
        <f t="shared" si="258"/>
        <v>25</v>
      </c>
      <c r="G1661">
        <f t="shared" si="254"/>
        <v>9</v>
      </c>
      <c r="H1661">
        <f t="shared" si="255"/>
        <v>0</v>
      </c>
      <c r="K1661" t="str">
        <f t="shared" ca="1" si="251"/>
        <v>RUBBER</v>
      </c>
      <c r="L1661" t="str">
        <f t="shared" ca="1" si="252"/>
        <v>dom</v>
      </c>
      <c r="M1661" t="str">
        <f t="shared" ca="1" si="249"/>
        <v>OFI</v>
      </c>
      <c r="N1661">
        <f t="shared" ca="1" si="250"/>
        <v>74.613195019899919</v>
      </c>
    </row>
    <row r="1662" spans="6:14" x14ac:dyDescent="0.35">
      <c r="F1662">
        <f t="shared" si="258"/>
        <v>25</v>
      </c>
      <c r="G1662">
        <f t="shared" si="254"/>
        <v>10</v>
      </c>
      <c r="H1662">
        <f t="shared" si="255"/>
        <v>0</v>
      </c>
      <c r="K1662" t="str">
        <f t="shared" ca="1" si="251"/>
        <v>NMM</v>
      </c>
      <c r="L1662" t="str">
        <f t="shared" ca="1" si="252"/>
        <v>dom</v>
      </c>
      <c r="M1662" t="str">
        <f t="shared" ca="1" si="249"/>
        <v>OFI</v>
      </c>
      <c r="N1662">
        <f t="shared" ca="1" si="250"/>
        <v>69.119851361234169</v>
      </c>
    </row>
    <row r="1663" spans="6:14" x14ac:dyDescent="0.35">
      <c r="F1663">
        <f t="shared" si="258"/>
        <v>25</v>
      </c>
      <c r="G1663">
        <f t="shared" si="254"/>
        <v>11</v>
      </c>
      <c r="H1663">
        <f t="shared" si="255"/>
        <v>0</v>
      </c>
      <c r="K1663" t="str">
        <f t="shared" ca="1" si="251"/>
        <v>METAL</v>
      </c>
      <c r="L1663" t="str">
        <f t="shared" ca="1" si="252"/>
        <v>dom</v>
      </c>
      <c r="M1663" t="str">
        <f t="shared" ca="1" si="249"/>
        <v>OFI</v>
      </c>
      <c r="N1663">
        <f t="shared" ca="1" si="250"/>
        <v>202.16360436702996</v>
      </c>
    </row>
    <row r="1664" spans="6:14" x14ac:dyDescent="0.35">
      <c r="F1664">
        <f t="shared" si="258"/>
        <v>25</v>
      </c>
      <c r="G1664">
        <f t="shared" si="254"/>
        <v>12</v>
      </c>
      <c r="H1664">
        <f t="shared" si="255"/>
        <v>0</v>
      </c>
      <c r="K1664" t="str">
        <f t="shared" ca="1" si="251"/>
        <v>MACH</v>
      </c>
      <c r="L1664" t="str">
        <f t="shared" ca="1" si="252"/>
        <v>dom</v>
      </c>
      <c r="M1664" t="str">
        <f t="shared" ca="1" si="249"/>
        <v>OFI</v>
      </c>
      <c r="N1664">
        <f t="shared" ca="1" si="250"/>
        <v>292.61587997083654</v>
      </c>
    </row>
    <row r="1665" spans="6:14" x14ac:dyDescent="0.35">
      <c r="F1665">
        <f t="shared" si="258"/>
        <v>25</v>
      </c>
      <c r="G1665">
        <f t="shared" si="254"/>
        <v>13</v>
      </c>
      <c r="H1665">
        <f t="shared" si="255"/>
        <v>0</v>
      </c>
      <c r="K1665" t="str">
        <f t="shared" ca="1" si="251"/>
        <v>ELEC</v>
      </c>
      <c r="L1665" t="str">
        <f t="shared" ca="1" si="252"/>
        <v>dom</v>
      </c>
      <c r="M1665" t="str">
        <f t="shared" ca="1" si="249"/>
        <v>OFI</v>
      </c>
      <c r="N1665">
        <f t="shared" ca="1" si="250"/>
        <v>60.870456272916641</v>
      </c>
    </row>
    <row r="1666" spans="6:14" x14ac:dyDescent="0.35">
      <c r="F1666">
        <f t="shared" si="258"/>
        <v>25</v>
      </c>
      <c r="G1666">
        <f t="shared" si="254"/>
        <v>14</v>
      </c>
      <c r="H1666">
        <f t="shared" si="255"/>
        <v>0</v>
      </c>
      <c r="K1666" t="str">
        <f t="shared" ca="1" si="251"/>
        <v>TRNEQUIP</v>
      </c>
      <c r="L1666" t="str">
        <f t="shared" ca="1" si="252"/>
        <v>dom</v>
      </c>
      <c r="M1666" t="str">
        <f t="shared" ref="M1666:M1729" ca="1" si="259">OFFSET(A$2,F1666,0)</f>
        <v>OFI</v>
      </c>
      <c r="N1666">
        <f t="shared" ref="N1666:N1729" ca="1" si="260">SUMIFS(C:C,A:A,K1666,B:B,L1666)*SUMIFS(U:U,S:S,M1666)</f>
        <v>87.927856382470424</v>
      </c>
    </row>
    <row r="1667" spans="6:14" x14ac:dyDescent="0.35">
      <c r="F1667">
        <f t="shared" si="258"/>
        <v>25</v>
      </c>
      <c r="G1667">
        <f t="shared" si="254"/>
        <v>15</v>
      </c>
      <c r="H1667">
        <f t="shared" si="255"/>
        <v>0</v>
      </c>
      <c r="K1667" t="str">
        <f t="shared" ref="K1667:K1730" ca="1" si="261">OFFSET(A$2,G1667,0)</f>
        <v>ROMAN</v>
      </c>
      <c r="L1667" t="str">
        <f t="shared" ref="L1667:L1730" ca="1" si="262">OFFSET($V$3,H1667,0)</f>
        <v>dom</v>
      </c>
      <c r="M1667" t="str">
        <f t="shared" ca="1" si="259"/>
        <v>OFI</v>
      </c>
      <c r="N1667">
        <f t="shared" ca="1" si="260"/>
        <v>239.42184378716237</v>
      </c>
    </row>
    <row r="1668" spans="6:14" x14ac:dyDescent="0.35">
      <c r="F1668">
        <f t="shared" si="258"/>
        <v>25</v>
      </c>
      <c r="G1668">
        <f t="shared" si="254"/>
        <v>16</v>
      </c>
      <c r="H1668">
        <f t="shared" si="255"/>
        <v>0</v>
      </c>
      <c r="K1668" t="str">
        <f t="shared" ca="1" si="261"/>
        <v>ELYGASWTR</v>
      </c>
      <c r="L1668" t="str">
        <f t="shared" ca="1" si="262"/>
        <v>dom</v>
      </c>
      <c r="M1668" t="str">
        <f t="shared" ca="1" si="259"/>
        <v>OFI</v>
      </c>
      <c r="N1668">
        <f t="shared" ca="1" si="260"/>
        <v>5.4634477198919605E-6</v>
      </c>
    </row>
    <row r="1669" spans="6:14" x14ac:dyDescent="0.35">
      <c r="F1669">
        <f t="shared" ref="F1669:F1684" si="263">F1603+1</f>
        <v>25</v>
      </c>
      <c r="G1669">
        <f t="shared" ref="G1669:G1732" si="264">G1636</f>
        <v>17</v>
      </c>
      <c r="H1669">
        <f t="shared" ref="H1669:H1732" si="265">H1603</f>
        <v>0</v>
      </c>
      <c r="K1669" t="str">
        <f t="shared" ca="1" si="261"/>
        <v>CNS</v>
      </c>
      <c r="L1669" t="str">
        <f t="shared" ca="1" si="262"/>
        <v>dom</v>
      </c>
      <c r="M1669" t="str">
        <f t="shared" ca="1" si="259"/>
        <v>OFI</v>
      </c>
      <c r="N1669">
        <f t="shared" ca="1" si="260"/>
        <v>7953.2200880683031</v>
      </c>
    </row>
    <row r="1670" spans="6:14" x14ac:dyDescent="0.35">
      <c r="F1670">
        <f t="shared" si="263"/>
        <v>25</v>
      </c>
      <c r="G1670">
        <f t="shared" si="264"/>
        <v>18</v>
      </c>
      <c r="H1670">
        <f t="shared" si="265"/>
        <v>0</v>
      </c>
      <c r="K1670" t="str">
        <f t="shared" ca="1" si="261"/>
        <v>TRD</v>
      </c>
      <c r="L1670" t="str">
        <f t="shared" ca="1" si="262"/>
        <v>dom</v>
      </c>
      <c r="M1670" t="str">
        <f t="shared" ca="1" si="259"/>
        <v>OFI</v>
      </c>
      <c r="N1670">
        <f t="shared" ca="1" si="260"/>
        <v>1271.6668674982711</v>
      </c>
    </row>
    <row r="1671" spans="6:14" x14ac:dyDescent="0.35">
      <c r="F1671">
        <f t="shared" si="263"/>
        <v>25</v>
      </c>
      <c r="G1671">
        <f t="shared" si="264"/>
        <v>19</v>
      </c>
      <c r="H1671">
        <f t="shared" si="265"/>
        <v>0</v>
      </c>
      <c r="K1671" t="str">
        <f t="shared" ca="1" si="261"/>
        <v>AFS</v>
      </c>
      <c r="L1671" t="str">
        <f t="shared" ca="1" si="262"/>
        <v>dom</v>
      </c>
      <c r="M1671" t="str">
        <f t="shared" ca="1" si="259"/>
        <v>OFI</v>
      </c>
      <c r="N1671">
        <f t="shared" ca="1" si="260"/>
        <v>5.4634477198919605E-6</v>
      </c>
    </row>
    <row r="1672" spans="6:14" x14ac:dyDescent="0.35">
      <c r="F1672">
        <f t="shared" si="263"/>
        <v>25</v>
      </c>
      <c r="G1672">
        <f t="shared" si="264"/>
        <v>20</v>
      </c>
      <c r="H1672">
        <f t="shared" si="265"/>
        <v>0</v>
      </c>
      <c r="K1672" t="str">
        <f t="shared" ca="1" si="261"/>
        <v>OTP</v>
      </c>
      <c r="L1672" t="str">
        <f t="shared" ca="1" si="262"/>
        <v>dom</v>
      </c>
      <c r="M1672" t="str">
        <f t="shared" ca="1" si="259"/>
        <v>OFI</v>
      </c>
      <c r="N1672">
        <f t="shared" ca="1" si="260"/>
        <v>5.4634477198919605E-6</v>
      </c>
    </row>
    <row r="1673" spans="6:14" x14ac:dyDescent="0.35">
      <c r="F1673">
        <f t="shared" si="263"/>
        <v>25</v>
      </c>
      <c r="G1673">
        <f t="shared" si="264"/>
        <v>21</v>
      </c>
      <c r="H1673">
        <f t="shared" si="265"/>
        <v>0</v>
      </c>
      <c r="K1673" t="str">
        <f t="shared" ca="1" si="261"/>
        <v>WTP</v>
      </c>
      <c r="L1673" t="str">
        <f t="shared" ca="1" si="262"/>
        <v>dom</v>
      </c>
      <c r="M1673" t="str">
        <f t="shared" ca="1" si="259"/>
        <v>OFI</v>
      </c>
      <c r="N1673">
        <f t="shared" ca="1" si="260"/>
        <v>5.4634477198919605E-6</v>
      </c>
    </row>
    <row r="1674" spans="6:14" x14ac:dyDescent="0.35">
      <c r="F1674">
        <f t="shared" si="263"/>
        <v>25</v>
      </c>
      <c r="G1674">
        <f t="shared" si="264"/>
        <v>22</v>
      </c>
      <c r="H1674">
        <f t="shared" si="265"/>
        <v>0</v>
      </c>
      <c r="K1674" t="str">
        <f t="shared" ca="1" si="261"/>
        <v>ATP</v>
      </c>
      <c r="L1674" t="str">
        <f t="shared" ca="1" si="262"/>
        <v>dom</v>
      </c>
      <c r="M1674" t="str">
        <f t="shared" ca="1" si="259"/>
        <v>OFI</v>
      </c>
      <c r="N1674">
        <f t="shared" ca="1" si="260"/>
        <v>5.4634477198919605E-6</v>
      </c>
    </row>
    <row r="1675" spans="6:14" x14ac:dyDescent="0.35">
      <c r="F1675">
        <f t="shared" si="263"/>
        <v>25</v>
      </c>
      <c r="G1675">
        <f t="shared" si="264"/>
        <v>23</v>
      </c>
      <c r="H1675">
        <f t="shared" si="265"/>
        <v>0</v>
      </c>
      <c r="K1675" t="str">
        <f t="shared" ca="1" si="261"/>
        <v>WHS</v>
      </c>
      <c r="L1675" t="str">
        <f t="shared" ca="1" si="262"/>
        <v>dom</v>
      </c>
      <c r="M1675" t="str">
        <f t="shared" ca="1" si="259"/>
        <v>OFI</v>
      </c>
      <c r="N1675">
        <f t="shared" ca="1" si="260"/>
        <v>5.4634477198919605E-6</v>
      </c>
    </row>
    <row r="1676" spans="6:14" x14ac:dyDescent="0.35">
      <c r="F1676">
        <f t="shared" si="263"/>
        <v>25</v>
      </c>
      <c r="G1676">
        <f t="shared" si="264"/>
        <v>24</v>
      </c>
      <c r="H1676">
        <f t="shared" si="265"/>
        <v>0</v>
      </c>
      <c r="K1676" t="str">
        <f t="shared" ca="1" si="261"/>
        <v>CMN</v>
      </c>
      <c r="L1676" t="str">
        <f t="shared" ca="1" si="262"/>
        <v>dom</v>
      </c>
      <c r="M1676" t="str">
        <f t="shared" ca="1" si="259"/>
        <v>OFI</v>
      </c>
      <c r="N1676">
        <f t="shared" ca="1" si="260"/>
        <v>5.4634477198919605E-6</v>
      </c>
    </row>
    <row r="1677" spans="6:14" x14ac:dyDescent="0.35">
      <c r="F1677">
        <f t="shared" si="263"/>
        <v>25</v>
      </c>
      <c r="G1677">
        <f t="shared" si="264"/>
        <v>25</v>
      </c>
      <c r="H1677">
        <f t="shared" si="265"/>
        <v>0</v>
      </c>
      <c r="K1677" t="str">
        <f t="shared" ca="1" si="261"/>
        <v>OFI</v>
      </c>
      <c r="L1677" t="str">
        <f t="shared" ca="1" si="262"/>
        <v>dom</v>
      </c>
      <c r="M1677" t="str">
        <f t="shared" ca="1" si="259"/>
        <v>OFI</v>
      </c>
      <c r="N1677">
        <f t="shared" ca="1" si="260"/>
        <v>5.4634477198919605E-6</v>
      </c>
    </row>
    <row r="1678" spans="6:14" x14ac:dyDescent="0.35">
      <c r="F1678">
        <f t="shared" si="263"/>
        <v>25</v>
      </c>
      <c r="G1678">
        <f t="shared" si="264"/>
        <v>26</v>
      </c>
      <c r="H1678">
        <f t="shared" si="265"/>
        <v>0</v>
      </c>
      <c r="K1678" t="str">
        <f t="shared" ca="1" si="261"/>
        <v>RSA</v>
      </c>
      <c r="L1678" t="str">
        <f t="shared" ca="1" si="262"/>
        <v>dom</v>
      </c>
      <c r="M1678" t="str">
        <f t="shared" ca="1" si="259"/>
        <v>OFI</v>
      </c>
      <c r="N1678">
        <f t="shared" ca="1" si="260"/>
        <v>5.4634477198919605E-6</v>
      </c>
    </row>
    <row r="1679" spans="6:14" x14ac:dyDescent="0.35">
      <c r="F1679">
        <f t="shared" si="263"/>
        <v>25</v>
      </c>
      <c r="G1679">
        <f t="shared" si="264"/>
        <v>27</v>
      </c>
      <c r="H1679">
        <f t="shared" si="265"/>
        <v>0</v>
      </c>
      <c r="K1679" t="str">
        <f t="shared" ca="1" si="261"/>
        <v>OBS</v>
      </c>
      <c r="L1679" t="str">
        <f t="shared" ca="1" si="262"/>
        <v>dom</v>
      </c>
      <c r="M1679" t="str">
        <f t="shared" ca="1" si="259"/>
        <v>OFI</v>
      </c>
      <c r="N1679">
        <f t="shared" ca="1" si="260"/>
        <v>5.4634477198919605E-6</v>
      </c>
    </row>
    <row r="1680" spans="6:14" x14ac:dyDescent="0.35">
      <c r="F1680">
        <f t="shared" si="263"/>
        <v>25</v>
      </c>
      <c r="G1680">
        <f t="shared" si="264"/>
        <v>28</v>
      </c>
      <c r="H1680">
        <f t="shared" si="265"/>
        <v>0</v>
      </c>
      <c r="K1680" t="str">
        <f t="shared" ca="1" si="261"/>
        <v>GOV</v>
      </c>
      <c r="L1680" t="str">
        <f t="shared" ca="1" si="262"/>
        <v>dom</v>
      </c>
      <c r="M1680" t="str">
        <f t="shared" ca="1" si="259"/>
        <v>OFI</v>
      </c>
      <c r="N1680">
        <f t="shared" ca="1" si="260"/>
        <v>5.4634477198919605E-6</v>
      </c>
    </row>
    <row r="1681" spans="6:14" x14ac:dyDescent="0.35">
      <c r="F1681">
        <f t="shared" si="263"/>
        <v>25</v>
      </c>
      <c r="G1681">
        <f t="shared" si="264"/>
        <v>29</v>
      </c>
      <c r="H1681">
        <f t="shared" si="265"/>
        <v>0</v>
      </c>
      <c r="K1681" t="str">
        <f t="shared" ca="1" si="261"/>
        <v>EDU</v>
      </c>
      <c r="L1681" t="str">
        <f t="shared" ca="1" si="262"/>
        <v>dom</v>
      </c>
      <c r="M1681" t="str">
        <f t="shared" ca="1" si="259"/>
        <v>OFI</v>
      </c>
      <c r="N1681">
        <f t="shared" ca="1" si="260"/>
        <v>5.4634477198919605E-6</v>
      </c>
    </row>
    <row r="1682" spans="6:14" x14ac:dyDescent="0.35">
      <c r="F1682">
        <f t="shared" si="263"/>
        <v>25</v>
      </c>
      <c r="G1682">
        <f t="shared" si="264"/>
        <v>30</v>
      </c>
      <c r="H1682">
        <f t="shared" si="265"/>
        <v>0</v>
      </c>
      <c r="K1682" t="str">
        <f t="shared" ca="1" si="261"/>
        <v>HHT</v>
      </c>
      <c r="L1682" t="str">
        <f t="shared" ca="1" si="262"/>
        <v>dom</v>
      </c>
      <c r="M1682" t="str">
        <f t="shared" ca="1" si="259"/>
        <v>OFI</v>
      </c>
      <c r="N1682">
        <f t="shared" ca="1" si="260"/>
        <v>5.4634477198919605E-6</v>
      </c>
    </row>
    <row r="1683" spans="6:14" x14ac:dyDescent="0.35">
      <c r="F1683">
        <f t="shared" si="263"/>
        <v>25</v>
      </c>
      <c r="G1683">
        <f t="shared" si="264"/>
        <v>31</v>
      </c>
      <c r="H1683">
        <f t="shared" si="265"/>
        <v>0</v>
      </c>
      <c r="K1683" t="str">
        <f t="shared" ca="1" si="261"/>
        <v>REC</v>
      </c>
      <c r="L1683" t="str">
        <f t="shared" ca="1" si="262"/>
        <v>dom</v>
      </c>
      <c r="M1683" t="str">
        <f t="shared" ca="1" si="259"/>
        <v>OFI</v>
      </c>
      <c r="N1683">
        <f t="shared" ca="1" si="260"/>
        <v>5.4634477198919605E-6</v>
      </c>
    </row>
    <row r="1684" spans="6:14" x14ac:dyDescent="0.35">
      <c r="F1684">
        <f t="shared" si="263"/>
        <v>25</v>
      </c>
      <c r="G1684">
        <f t="shared" si="264"/>
        <v>32</v>
      </c>
      <c r="H1684">
        <f t="shared" si="265"/>
        <v>0</v>
      </c>
      <c r="K1684" t="str">
        <f t="shared" ca="1" si="261"/>
        <v>DWE</v>
      </c>
      <c r="L1684" t="str">
        <f t="shared" ca="1" si="262"/>
        <v>dom</v>
      </c>
      <c r="M1684" t="str">
        <f t="shared" ca="1" si="259"/>
        <v>OFI</v>
      </c>
      <c r="N1684">
        <f t="shared" ca="1" si="260"/>
        <v>5.4634477198919605E-6</v>
      </c>
    </row>
    <row r="1685" spans="6:14" x14ac:dyDescent="0.35">
      <c r="F1685">
        <f t="shared" ref="F1685:F1700" si="266">F1619+1</f>
        <v>25</v>
      </c>
      <c r="G1685">
        <f t="shared" si="264"/>
        <v>0</v>
      </c>
      <c r="H1685">
        <f t="shared" si="265"/>
        <v>1</v>
      </c>
      <c r="K1685" t="str">
        <f t="shared" ca="1" si="261"/>
        <v>AG</v>
      </c>
      <c r="L1685" t="str">
        <f t="shared" ca="1" si="262"/>
        <v>imp</v>
      </c>
      <c r="M1685" t="str">
        <f t="shared" ca="1" si="259"/>
        <v>OFI</v>
      </c>
      <c r="N1685">
        <f t="shared" ca="1" si="260"/>
        <v>50.546856965796508</v>
      </c>
    </row>
    <row r="1686" spans="6:14" x14ac:dyDescent="0.35">
      <c r="F1686">
        <f t="shared" si="266"/>
        <v>25</v>
      </c>
      <c r="G1686">
        <f t="shared" si="264"/>
        <v>1</v>
      </c>
      <c r="H1686">
        <f t="shared" si="265"/>
        <v>1</v>
      </c>
      <c r="K1686" t="str">
        <f t="shared" ca="1" si="261"/>
        <v>MIN</v>
      </c>
      <c r="L1686" t="str">
        <f t="shared" ca="1" si="262"/>
        <v>imp</v>
      </c>
      <c r="M1686" t="str">
        <f t="shared" ca="1" si="259"/>
        <v>OFI</v>
      </c>
      <c r="N1686">
        <f t="shared" ca="1" si="260"/>
        <v>79.744323388725846</v>
      </c>
    </row>
    <row r="1687" spans="6:14" x14ac:dyDescent="0.35">
      <c r="F1687">
        <f t="shared" si="266"/>
        <v>25</v>
      </c>
      <c r="G1687">
        <f t="shared" si="264"/>
        <v>2</v>
      </c>
      <c r="H1687">
        <f t="shared" si="265"/>
        <v>1</v>
      </c>
      <c r="K1687" t="str">
        <f t="shared" ca="1" si="261"/>
        <v>FBT</v>
      </c>
      <c r="L1687" t="str">
        <f t="shared" ca="1" si="262"/>
        <v>imp</v>
      </c>
      <c r="M1687" t="str">
        <f t="shared" ca="1" si="259"/>
        <v>OFI</v>
      </c>
      <c r="N1687">
        <f t="shared" ca="1" si="260"/>
        <v>19.954475729958791</v>
      </c>
    </row>
    <row r="1688" spans="6:14" x14ac:dyDescent="0.35">
      <c r="F1688">
        <f t="shared" si="266"/>
        <v>25</v>
      </c>
      <c r="G1688">
        <f t="shared" si="264"/>
        <v>3</v>
      </c>
      <c r="H1688">
        <f t="shared" si="265"/>
        <v>1</v>
      </c>
      <c r="K1688" t="str">
        <f t="shared" ca="1" si="261"/>
        <v>TEX</v>
      </c>
      <c r="L1688" t="str">
        <f t="shared" ca="1" si="262"/>
        <v>imp</v>
      </c>
      <c r="M1688" t="str">
        <f t="shared" ca="1" si="259"/>
        <v>OFI</v>
      </c>
      <c r="N1688">
        <f t="shared" ca="1" si="260"/>
        <v>391.58694940547366</v>
      </c>
    </row>
    <row r="1689" spans="6:14" x14ac:dyDescent="0.35">
      <c r="F1689">
        <f t="shared" si="266"/>
        <v>25</v>
      </c>
      <c r="G1689">
        <f t="shared" si="264"/>
        <v>4</v>
      </c>
      <c r="H1689">
        <f t="shared" si="265"/>
        <v>1</v>
      </c>
      <c r="K1689" t="str">
        <f t="shared" ca="1" si="261"/>
        <v>LEATHER</v>
      </c>
      <c r="L1689" t="str">
        <f t="shared" ca="1" si="262"/>
        <v>imp</v>
      </c>
      <c r="M1689" t="str">
        <f t="shared" ca="1" si="259"/>
        <v>OFI</v>
      </c>
      <c r="N1689">
        <f t="shared" ca="1" si="260"/>
        <v>204.08316602040938</v>
      </c>
    </row>
    <row r="1690" spans="6:14" x14ac:dyDescent="0.35">
      <c r="F1690">
        <f t="shared" si="266"/>
        <v>25</v>
      </c>
      <c r="G1690">
        <f t="shared" si="264"/>
        <v>5</v>
      </c>
      <c r="H1690">
        <f t="shared" si="265"/>
        <v>1</v>
      </c>
      <c r="K1690" t="str">
        <f t="shared" ca="1" si="261"/>
        <v>WOOD</v>
      </c>
      <c r="L1690" t="str">
        <f t="shared" ca="1" si="262"/>
        <v>imp</v>
      </c>
      <c r="M1690" t="str">
        <f t="shared" ca="1" si="259"/>
        <v>OFI</v>
      </c>
      <c r="N1690">
        <f t="shared" ca="1" si="260"/>
        <v>3.6529393353486475</v>
      </c>
    </row>
    <row r="1691" spans="6:14" x14ac:dyDescent="0.35">
      <c r="F1691">
        <f t="shared" si="266"/>
        <v>25</v>
      </c>
      <c r="G1691">
        <f t="shared" si="264"/>
        <v>6</v>
      </c>
      <c r="H1691">
        <f t="shared" si="265"/>
        <v>1</v>
      </c>
      <c r="K1691" t="str">
        <f t="shared" ca="1" si="261"/>
        <v>PPP</v>
      </c>
      <c r="L1691" t="str">
        <f t="shared" ca="1" si="262"/>
        <v>imp</v>
      </c>
      <c r="M1691" t="str">
        <f t="shared" ca="1" si="259"/>
        <v>OFI</v>
      </c>
      <c r="N1691">
        <f t="shared" ca="1" si="260"/>
        <v>52.601957834757393</v>
      </c>
    </row>
    <row r="1692" spans="6:14" x14ac:dyDescent="0.35">
      <c r="F1692">
        <f t="shared" si="266"/>
        <v>25</v>
      </c>
      <c r="G1692">
        <f t="shared" si="264"/>
        <v>7</v>
      </c>
      <c r="H1692">
        <f t="shared" si="265"/>
        <v>1</v>
      </c>
      <c r="K1692" t="str">
        <f t="shared" ca="1" si="261"/>
        <v>PC</v>
      </c>
      <c r="L1692" t="str">
        <f t="shared" ca="1" si="262"/>
        <v>imp</v>
      </c>
      <c r="M1692" t="str">
        <f t="shared" ca="1" si="259"/>
        <v>OFI</v>
      </c>
      <c r="N1692">
        <f t="shared" ca="1" si="260"/>
        <v>13.245791524128066</v>
      </c>
    </row>
    <row r="1693" spans="6:14" x14ac:dyDescent="0.35">
      <c r="F1693">
        <f t="shared" si="266"/>
        <v>25</v>
      </c>
      <c r="G1693">
        <f t="shared" si="264"/>
        <v>8</v>
      </c>
      <c r="H1693">
        <f t="shared" si="265"/>
        <v>1</v>
      </c>
      <c r="K1693" t="str">
        <f t="shared" ca="1" si="261"/>
        <v>CHM</v>
      </c>
      <c r="L1693" t="str">
        <f t="shared" ca="1" si="262"/>
        <v>imp</v>
      </c>
      <c r="M1693" t="str">
        <f t="shared" ca="1" si="259"/>
        <v>OFI</v>
      </c>
      <c r="N1693">
        <f t="shared" ca="1" si="260"/>
        <v>181.57768522562779</v>
      </c>
    </row>
    <row r="1694" spans="6:14" x14ac:dyDescent="0.35">
      <c r="F1694">
        <f t="shared" si="266"/>
        <v>25</v>
      </c>
      <c r="G1694">
        <f t="shared" si="264"/>
        <v>9</v>
      </c>
      <c r="H1694">
        <f t="shared" si="265"/>
        <v>1</v>
      </c>
      <c r="K1694" t="str">
        <f t="shared" ca="1" si="261"/>
        <v>RUBBER</v>
      </c>
      <c r="L1694" t="str">
        <f t="shared" ca="1" si="262"/>
        <v>imp</v>
      </c>
      <c r="M1694" t="str">
        <f t="shared" ca="1" si="259"/>
        <v>OFI</v>
      </c>
      <c r="N1694">
        <f t="shared" ca="1" si="260"/>
        <v>139.06437269983439</v>
      </c>
    </row>
    <row r="1695" spans="6:14" x14ac:dyDescent="0.35">
      <c r="F1695">
        <f t="shared" si="266"/>
        <v>25</v>
      </c>
      <c r="G1695">
        <f t="shared" si="264"/>
        <v>10</v>
      </c>
      <c r="H1695">
        <f t="shared" si="265"/>
        <v>1</v>
      </c>
      <c r="K1695" t="str">
        <f t="shared" ca="1" si="261"/>
        <v>NMM</v>
      </c>
      <c r="L1695" t="str">
        <f t="shared" ca="1" si="262"/>
        <v>imp</v>
      </c>
      <c r="M1695" t="str">
        <f t="shared" ca="1" si="259"/>
        <v>OFI</v>
      </c>
      <c r="N1695">
        <f t="shared" ca="1" si="260"/>
        <v>52.495045203030664</v>
      </c>
    </row>
    <row r="1696" spans="6:14" x14ac:dyDescent="0.35">
      <c r="F1696">
        <f t="shared" si="266"/>
        <v>25</v>
      </c>
      <c r="G1696">
        <f t="shared" si="264"/>
        <v>11</v>
      </c>
      <c r="H1696">
        <f t="shared" si="265"/>
        <v>1</v>
      </c>
      <c r="K1696" t="str">
        <f t="shared" ca="1" si="261"/>
        <v>METAL</v>
      </c>
      <c r="L1696" t="str">
        <f t="shared" ca="1" si="262"/>
        <v>imp</v>
      </c>
      <c r="M1696" t="str">
        <f t="shared" ca="1" si="259"/>
        <v>OFI</v>
      </c>
      <c r="N1696">
        <f t="shared" ca="1" si="260"/>
        <v>657.08771154205522</v>
      </c>
    </row>
    <row r="1697" spans="6:14" x14ac:dyDescent="0.35">
      <c r="F1697">
        <f t="shared" si="266"/>
        <v>25</v>
      </c>
      <c r="G1697">
        <f t="shared" si="264"/>
        <v>12</v>
      </c>
      <c r="H1697">
        <f t="shared" si="265"/>
        <v>1</v>
      </c>
      <c r="K1697" t="str">
        <f t="shared" ca="1" si="261"/>
        <v>MACH</v>
      </c>
      <c r="L1697" t="str">
        <f t="shared" ca="1" si="262"/>
        <v>imp</v>
      </c>
      <c r="M1697" t="str">
        <f t="shared" ca="1" si="259"/>
        <v>OFI</v>
      </c>
      <c r="N1697">
        <f t="shared" ca="1" si="260"/>
        <v>2517.1531255645186</v>
      </c>
    </row>
    <row r="1698" spans="6:14" x14ac:dyDescent="0.35">
      <c r="F1698">
        <f t="shared" si="266"/>
        <v>25</v>
      </c>
      <c r="G1698">
        <f t="shared" si="264"/>
        <v>13</v>
      </c>
      <c r="H1698">
        <f t="shared" si="265"/>
        <v>1</v>
      </c>
      <c r="K1698" t="str">
        <f t="shared" ca="1" si="261"/>
        <v>ELEC</v>
      </c>
      <c r="L1698" t="str">
        <f t="shared" ca="1" si="262"/>
        <v>imp</v>
      </c>
      <c r="M1698" t="str">
        <f t="shared" ca="1" si="259"/>
        <v>OFI</v>
      </c>
      <c r="N1698">
        <f t="shared" ca="1" si="260"/>
        <v>1349.620722638087</v>
      </c>
    </row>
    <row r="1699" spans="6:14" x14ac:dyDescent="0.35">
      <c r="F1699">
        <f t="shared" si="266"/>
        <v>25</v>
      </c>
      <c r="G1699">
        <f t="shared" si="264"/>
        <v>14</v>
      </c>
      <c r="H1699">
        <f t="shared" si="265"/>
        <v>1</v>
      </c>
      <c r="K1699" t="str">
        <f t="shared" ca="1" si="261"/>
        <v>TRNEQUIP</v>
      </c>
      <c r="L1699" t="str">
        <f t="shared" ca="1" si="262"/>
        <v>imp</v>
      </c>
      <c r="M1699" t="str">
        <f t="shared" ca="1" si="259"/>
        <v>OFI</v>
      </c>
      <c r="N1699">
        <f t="shared" ca="1" si="260"/>
        <v>2153.8428690629471</v>
      </c>
    </row>
    <row r="1700" spans="6:14" x14ac:dyDescent="0.35">
      <c r="F1700">
        <f t="shared" si="266"/>
        <v>25</v>
      </c>
      <c r="G1700">
        <f t="shared" si="264"/>
        <v>15</v>
      </c>
      <c r="H1700">
        <f t="shared" si="265"/>
        <v>1</v>
      </c>
      <c r="K1700" t="str">
        <f t="shared" ca="1" si="261"/>
        <v>ROMAN</v>
      </c>
      <c r="L1700" t="str">
        <f t="shared" ca="1" si="262"/>
        <v>imp</v>
      </c>
      <c r="M1700" t="str">
        <f t="shared" ca="1" si="259"/>
        <v>OFI</v>
      </c>
      <c r="N1700">
        <f t="shared" ca="1" si="260"/>
        <v>817.2426584831436</v>
      </c>
    </row>
    <row r="1701" spans="6:14" x14ac:dyDescent="0.35">
      <c r="F1701">
        <f t="shared" ref="F1701:F1716" si="267">F1635+1</f>
        <v>25</v>
      </c>
      <c r="G1701">
        <f t="shared" si="264"/>
        <v>16</v>
      </c>
      <c r="H1701">
        <f t="shared" si="265"/>
        <v>1</v>
      </c>
      <c r="K1701" t="str">
        <f t="shared" ca="1" si="261"/>
        <v>ELYGASWTR</v>
      </c>
      <c r="L1701" t="str">
        <f t="shared" ca="1" si="262"/>
        <v>imp</v>
      </c>
      <c r="M1701" t="str">
        <f t="shared" ca="1" si="259"/>
        <v>OFI</v>
      </c>
      <c r="N1701">
        <f t="shared" ca="1" si="260"/>
        <v>5.4634477198919605E-6</v>
      </c>
    </row>
    <row r="1702" spans="6:14" x14ac:dyDescent="0.35">
      <c r="F1702">
        <f t="shared" si="267"/>
        <v>25</v>
      </c>
      <c r="G1702">
        <f t="shared" si="264"/>
        <v>17</v>
      </c>
      <c r="H1702">
        <f t="shared" si="265"/>
        <v>1</v>
      </c>
      <c r="K1702" t="str">
        <f t="shared" ca="1" si="261"/>
        <v>CNS</v>
      </c>
      <c r="L1702" t="str">
        <f t="shared" ca="1" si="262"/>
        <v>imp</v>
      </c>
      <c r="M1702" t="str">
        <f t="shared" ca="1" si="259"/>
        <v>OFI</v>
      </c>
      <c r="N1702">
        <f t="shared" ca="1" si="260"/>
        <v>159.97996032489928</v>
      </c>
    </row>
    <row r="1703" spans="6:14" x14ac:dyDescent="0.35">
      <c r="F1703">
        <f t="shared" si="267"/>
        <v>25</v>
      </c>
      <c r="G1703">
        <f t="shared" si="264"/>
        <v>18</v>
      </c>
      <c r="H1703">
        <f t="shared" si="265"/>
        <v>1</v>
      </c>
      <c r="K1703" t="str">
        <f t="shared" ca="1" si="261"/>
        <v>TRD</v>
      </c>
      <c r="L1703" t="str">
        <f t="shared" ca="1" si="262"/>
        <v>imp</v>
      </c>
      <c r="M1703" t="str">
        <f t="shared" ca="1" si="259"/>
        <v>OFI</v>
      </c>
      <c r="N1703">
        <f t="shared" ca="1" si="260"/>
        <v>13.997165716734383</v>
      </c>
    </row>
    <row r="1704" spans="6:14" x14ac:dyDescent="0.35">
      <c r="F1704">
        <f t="shared" si="267"/>
        <v>25</v>
      </c>
      <c r="G1704">
        <f t="shared" si="264"/>
        <v>19</v>
      </c>
      <c r="H1704">
        <f t="shared" si="265"/>
        <v>1</v>
      </c>
      <c r="K1704" t="str">
        <f t="shared" ca="1" si="261"/>
        <v>AFS</v>
      </c>
      <c r="L1704" t="str">
        <f t="shared" ca="1" si="262"/>
        <v>imp</v>
      </c>
      <c r="M1704" t="str">
        <f t="shared" ca="1" si="259"/>
        <v>OFI</v>
      </c>
      <c r="N1704">
        <f t="shared" ca="1" si="260"/>
        <v>5.4634477198919605E-6</v>
      </c>
    </row>
    <row r="1705" spans="6:14" x14ac:dyDescent="0.35">
      <c r="F1705">
        <f t="shared" si="267"/>
        <v>25</v>
      </c>
      <c r="G1705">
        <f t="shared" si="264"/>
        <v>20</v>
      </c>
      <c r="H1705">
        <f t="shared" si="265"/>
        <v>1</v>
      </c>
      <c r="K1705" t="str">
        <f t="shared" ca="1" si="261"/>
        <v>OTP</v>
      </c>
      <c r="L1705" t="str">
        <f t="shared" ca="1" si="262"/>
        <v>imp</v>
      </c>
      <c r="M1705" t="str">
        <f t="shared" ca="1" si="259"/>
        <v>OFI</v>
      </c>
      <c r="N1705">
        <f t="shared" ca="1" si="260"/>
        <v>5.4634477198919605E-6</v>
      </c>
    </row>
    <row r="1706" spans="6:14" x14ac:dyDescent="0.35">
      <c r="F1706">
        <f t="shared" si="267"/>
        <v>25</v>
      </c>
      <c r="G1706">
        <f t="shared" si="264"/>
        <v>21</v>
      </c>
      <c r="H1706">
        <f t="shared" si="265"/>
        <v>1</v>
      </c>
      <c r="K1706" t="str">
        <f t="shared" ca="1" si="261"/>
        <v>WTP</v>
      </c>
      <c r="L1706" t="str">
        <f t="shared" ca="1" si="262"/>
        <v>imp</v>
      </c>
      <c r="M1706" t="str">
        <f t="shared" ca="1" si="259"/>
        <v>OFI</v>
      </c>
      <c r="N1706">
        <f t="shared" ca="1" si="260"/>
        <v>5.4634477198919605E-6</v>
      </c>
    </row>
    <row r="1707" spans="6:14" x14ac:dyDescent="0.35">
      <c r="F1707">
        <f t="shared" si="267"/>
        <v>25</v>
      </c>
      <c r="G1707">
        <f t="shared" si="264"/>
        <v>22</v>
      </c>
      <c r="H1707">
        <f t="shared" si="265"/>
        <v>1</v>
      </c>
      <c r="K1707" t="str">
        <f t="shared" ca="1" si="261"/>
        <v>ATP</v>
      </c>
      <c r="L1707" t="str">
        <f t="shared" ca="1" si="262"/>
        <v>imp</v>
      </c>
      <c r="M1707" t="str">
        <f t="shared" ca="1" si="259"/>
        <v>OFI</v>
      </c>
      <c r="N1707">
        <f t="shared" ca="1" si="260"/>
        <v>5.4634477198919605E-6</v>
      </c>
    </row>
    <row r="1708" spans="6:14" x14ac:dyDescent="0.35">
      <c r="F1708">
        <f t="shared" si="267"/>
        <v>25</v>
      </c>
      <c r="G1708">
        <f t="shared" si="264"/>
        <v>23</v>
      </c>
      <c r="H1708">
        <f t="shared" si="265"/>
        <v>1</v>
      </c>
      <c r="K1708" t="str">
        <f t="shared" ca="1" si="261"/>
        <v>WHS</v>
      </c>
      <c r="L1708" t="str">
        <f t="shared" ca="1" si="262"/>
        <v>imp</v>
      </c>
      <c r="M1708" t="str">
        <f t="shared" ca="1" si="259"/>
        <v>OFI</v>
      </c>
      <c r="N1708">
        <f t="shared" ca="1" si="260"/>
        <v>5.4634477198919605E-6</v>
      </c>
    </row>
    <row r="1709" spans="6:14" x14ac:dyDescent="0.35">
      <c r="F1709">
        <f t="shared" si="267"/>
        <v>25</v>
      </c>
      <c r="G1709">
        <f t="shared" si="264"/>
        <v>24</v>
      </c>
      <c r="H1709">
        <f t="shared" si="265"/>
        <v>1</v>
      </c>
      <c r="K1709" t="str">
        <f t="shared" ca="1" si="261"/>
        <v>CMN</v>
      </c>
      <c r="L1709" t="str">
        <f t="shared" ca="1" si="262"/>
        <v>imp</v>
      </c>
      <c r="M1709" t="str">
        <f t="shared" ca="1" si="259"/>
        <v>OFI</v>
      </c>
      <c r="N1709">
        <f t="shared" ca="1" si="260"/>
        <v>5.4634477198919605E-6</v>
      </c>
    </row>
    <row r="1710" spans="6:14" x14ac:dyDescent="0.35">
      <c r="F1710">
        <f t="shared" si="267"/>
        <v>25</v>
      </c>
      <c r="G1710">
        <f t="shared" si="264"/>
        <v>25</v>
      </c>
      <c r="H1710">
        <f t="shared" si="265"/>
        <v>1</v>
      </c>
      <c r="K1710" t="str">
        <f t="shared" ca="1" si="261"/>
        <v>OFI</v>
      </c>
      <c r="L1710" t="str">
        <f t="shared" ca="1" si="262"/>
        <v>imp</v>
      </c>
      <c r="M1710" t="str">
        <f t="shared" ca="1" si="259"/>
        <v>OFI</v>
      </c>
      <c r="N1710">
        <f t="shared" ca="1" si="260"/>
        <v>5.4634477198919605E-6</v>
      </c>
    </row>
    <row r="1711" spans="6:14" x14ac:dyDescent="0.35">
      <c r="F1711">
        <f t="shared" si="267"/>
        <v>25</v>
      </c>
      <c r="G1711">
        <f t="shared" si="264"/>
        <v>26</v>
      </c>
      <c r="H1711">
        <f t="shared" si="265"/>
        <v>1</v>
      </c>
      <c r="K1711" t="str">
        <f t="shared" ca="1" si="261"/>
        <v>RSA</v>
      </c>
      <c r="L1711" t="str">
        <f t="shared" ca="1" si="262"/>
        <v>imp</v>
      </c>
      <c r="M1711" t="str">
        <f t="shared" ca="1" si="259"/>
        <v>OFI</v>
      </c>
      <c r="N1711">
        <f t="shared" ca="1" si="260"/>
        <v>5.4634477198919605E-6</v>
      </c>
    </row>
    <row r="1712" spans="6:14" x14ac:dyDescent="0.35">
      <c r="F1712">
        <f t="shared" si="267"/>
        <v>25</v>
      </c>
      <c r="G1712">
        <f t="shared" si="264"/>
        <v>27</v>
      </c>
      <c r="H1712">
        <f t="shared" si="265"/>
        <v>1</v>
      </c>
      <c r="K1712" t="str">
        <f t="shared" ca="1" si="261"/>
        <v>OBS</v>
      </c>
      <c r="L1712" t="str">
        <f t="shared" ca="1" si="262"/>
        <v>imp</v>
      </c>
      <c r="M1712" t="str">
        <f t="shared" ca="1" si="259"/>
        <v>OFI</v>
      </c>
      <c r="N1712">
        <f t="shared" ca="1" si="260"/>
        <v>5.4634477198919605E-6</v>
      </c>
    </row>
    <row r="1713" spans="6:14" x14ac:dyDescent="0.35">
      <c r="F1713">
        <f t="shared" si="267"/>
        <v>25</v>
      </c>
      <c r="G1713">
        <f t="shared" si="264"/>
        <v>28</v>
      </c>
      <c r="H1713">
        <f t="shared" si="265"/>
        <v>1</v>
      </c>
      <c r="K1713" t="str">
        <f t="shared" ca="1" si="261"/>
        <v>GOV</v>
      </c>
      <c r="L1713" t="str">
        <f t="shared" ca="1" si="262"/>
        <v>imp</v>
      </c>
      <c r="M1713" t="str">
        <f t="shared" ca="1" si="259"/>
        <v>OFI</v>
      </c>
      <c r="N1713">
        <f t="shared" ca="1" si="260"/>
        <v>5.4634477198919605E-6</v>
      </c>
    </row>
    <row r="1714" spans="6:14" x14ac:dyDescent="0.35">
      <c r="F1714">
        <f t="shared" si="267"/>
        <v>25</v>
      </c>
      <c r="G1714">
        <f t="shared" si="264"/>
        <v>29</v>
      </c>
      <c r="H1714">
        <f t="shared" si="265"/>
        <v>1</v>
      </c>
      <c r="K1714" t="str">
        <f t="shared" ca="1" si="261"/>
        <v>EDU</v>
      </c>
      <c r="L1714" t="str">
        <f t="shared" ca="1" si="262"/>
        <v>imp</v>
      </c>
      <c r="M1714" t="str">
        <f t="shared" ca="1" si="259"/>
        <v>OFI</v>
      </c>
      <c r="N1714">
        <f t="shared" ca="1" si="260"/>
        <v>5.4634477198919605E-6</v>
      </c>
    </row>
    <row r="1715" spans="6:14" x14ac:dyDescent="0.35">
      <c r="F1715">
        <f t="shared" si="267"/>
        <v>25</v>
      </c>
      <c r="G1715">
        <f t="shared" si="264"/>
        <v>30</v>
      </c>
      <c r="H1715">
        <f t="shared" si="265"/>
        <v>1</v>
      </c>
      <c r="K1715" t="str">
        <f t="shared" ca="1" si="261"/>
        <v>HHT</v>
      </c>
      <c r="L1715" t="str">
        <f t="shared" ca="1" si="262"/>
        <v>imp</v>
      </c>
      <c r="M1715" t="str">
        <f t="shared" ca="1" si="259"/>
        <v>OFI</v>
      </c>
      <c r="N1715">
        <f t="shared" ca="1" si="260"/>
        <v>5.4634477198919605E-6</v>
      </c>
    </row>
    <row r="1716" spans="6:14" x14ac:dyDescent="0.35">
      <c r="F1716">
        <f t="shared" si="267"/>
        <v>25</v>
      </c>
      <c r="G1716">
        <f t="shared" si="264"/>
        <v>31</v>
      </c>
      <c r="H1716">
        <f t="shared" si="265"/>
        <v>1</v>
      </c>
      <c r="K1716" t="str">
        <f t="shared" ca="1" si="261"/>
        <v>REC</v>
      </c>
      <c r="L1716" t="str">
        <f t="shared" ca="1" si="262"/>
        <v>imp</v>
      </c>
      <c r="M1716" t="str">
        <f t="shared" ca="1" si="259"/>
        <v>OFI</v>
      </c>
      <c r="N1716">
        <f t="shared" ca="1" si="260"/>
        <v>5.4634477198919605E-6</v>
      </c>
    </row>
    <row r="1717" spans="6:14" x14ac:dyDescent="0.35">
      <c r="F1717">
        <f t="shared" ref="F1717:F1732" si="268">F1651+1</f>
        <v>25</v>
      </c>
      <c r="G1717">
        <f t="shared" si="264"/>
        <v>32</v>
      </c>
      <c r="H1717">
        <f t="shared" si="265"/>
        <v>1</v>
      </c>
      <c r="K1717" t="str">
        <f t="shared" ca="1" si="261"/>
        <v>DWE</v>
      </c>
      <c r="L1717" t="str">
        <f t="shared" ca="1" si="262"/>
        <v>imp</v>
      </c>
      <c r="M1717" t="str">
        <f t="shared" ca="1" si="259"/>
        <v>OFI</v>
      </c>
      <c r="N1717">
        <f t="shared" ca="1" si="260"/>
        <v>5.4634477198919605E-6</v>
      </c>
    </row>
    <row r="1718" spans="6:14" x14ac:dyDescent="0.35">
      <c r="F1718">
        <f t="shared" si="268"/>
        <v>26</v>
      </c>
      <c r="G1718">
        <f t="shared" si="264"/>
        <v>0</v>
      </c>
      <c r="H1718">
        <f t="shared" si="265"/>
        <v>0</v>
      </c>
      <c r="K1718" t="str">
        <f t="shared" ca="1" si="261"/>
        <v>AG</v>
      </c>
      <c r="L1718" t="str">
        <f t="shared" ca="1" si="262"/>
        <v>dom</v>
      </c>
      <c r="M1718" t="str">
        <f t="shared" ca="1" si="259"/>
        <v>RSA</v>
      </c>
      <c r="N1718">
        <f t="shared" ca="1" si="260"/>
        <v>1.3193765145945007</v>
      </c>
    </row>
    <row r="1719" spans="6:14" x14ac:dyDescent="0.35">
      <c r="F1719">
        <f t="shared" si="268"/>
        <v>26</v>
      </c>
      <c r="G1719">
        <f t="shared" si="264"/>
        <v>1</v>
      </c>
      <c r="H1719">
        <f t="shared" si="265"/>
        <v>0</v>
      </c>
      <c r="K1719" t="str">
        <f t="shared" ca="1" si="261"/>
        <v>MIN</v>
      </c>
      <c r="L1719" t="str">
        <f t="shared" ca="1" si="262"/>
        <v>dom</v>
      </c>
      <c r="M1719" t="str">
        <f t="shared" ca="1" si="259"/>
        <v>RSA</v>
      </c>
      <c r="N1719">
        <f t="shared" ca="1" si="260"/>
        <v>2.3015430023050318</v>
      </c>
    </row>
    <row r="1720" spans="6:14" x14ac:dyDescent="0.35">
      <c r="F1720">
        <f t="shared" si="268"/>
        <v>26</v>
      </c>
      <c r="G1720">
        <f t="shared" si="264"/>
        <v>2</v>
      </c>
      <c r="H1720">
        <f t="shared" si="265"/>
        <v>0</v>
      </c>
      <c r="K1720" t="str">
        <f t="shared" ca="1" si="261"/>
        <v>FBT</v>
      </c>
      <c r="L1720" t="str">
        <f t="shared" ca="1" si="262"/>
        <v>dom</v>
      </c>
      <c r="M1720" t="str">
        <f t="shared" ca="1" si="259"/>
        <v>RSA</v>
      </c>
      <c r="N1720">
        <f t="shared" ca="1" si="260"/>
        <v>3.8753124734566486</v>
      </c>
    </row>
    <row r="1721" spans="6:14" x14ac:dyDescent="0.35">
      <c r="F1721">
        <f t="shared" si="268"/>
        <v>26</v>
      </c>
      <c r="G1721">
        <f t="shared" si="264"/>
        <v>3</v>
      </c>
      <c r="H1721">
        <f t="shared" si="265"/>
        <v>0</v>
      </c>
      <c r="K1721" t="str">
        <f t="shared" ca="1" si="261"/>
        <v>TEX</v>
      </c>
      <c r="L1721" t="str">
        <f t="shared" ca="1" si="262"/>
        <v>dom</v>
      </c>
      <c r="M1721" t="str">
        <f t="shared" ca="1" si="259"/>
        <v>RSA</v>
      </c>
      <c r="N1721">
        <f t="shared" ca="1" si="260"/>
        <v>20.185933124493378</v>
      </c>
    </row>
    <row r="1722" spans="6:14" x14ac:dyDescent="0.35">
      <c r="F1722">
        <f t="shared" si="268"/>
        <v>26</v>
      </c>
      <c r="G1722">
        <f t="shared" si="264"/>
        <v>4</v>
      </c>
      <c r="H1722">
        <f t="shared" si="265"/>
        <v>0</v>
      </c>
      <c r="K1722" t="str">
        <f t="shared" ca="1" si="261"/>
        <v>LEATHER</v>
      </c>
      <c r="L1722" t="str">
        <f t="shared" ca="1" si="262"/>
        <v>dom</v>
      </c>
      <c r="M1722" t="str">
        <f t="shared" ca="1" si="259"/>
        <v>RSA</v>
      </c>
      <c r="N1722">
        <f t="shared" ca="1" si="260"/>
        <v>0.14323571047134598</v>
      </c>
    </row>
    <row r="1723" spans="6:14" x14ac:dyDescent="0.35">
      <c r="F1723">
        <f t="shared" si="268"/>
        <v>26</v>
      </c>
      <c r="G1723">
        <f t="shared" si="264"/>
        <v>5</v>
      </c>
      <c r="H1723">
        <f t="shared" si="265"/>
        <v>0</v>
      </c>
      <c r="K1723" t="str">
        <f t="shared" ca="1" si="261"/>
        <v>WOOD</v>
      </c>
      <c r="L1723" t="str">
        <f t="shared" ca="1" si="262"/>
        <v>dom</v>
      </c>
      <c r="M1723" t="str">
        <f t="shared" ca="1" si="259"/>
        <v>RSA</v>
      </c>
      <c r="N1723">
        <f t="shared" ca="1" si="260"/>
        <v>0.88174729523778517</v>
      </c>
    </row>
    <row r="1724" spans="6:14" x14ac:dyDescent="0.35">
      <c r="F1724">
        <f t="shared" si="268"/>
        <v>26</v>
      </c>
      <c r="G1724">
        <f t="shared" si="264"/>
        <v>6</v>
      </c>
      <c r="H1724">
        <f t="shared" si="265"/>
        <v>0</v>
      </c>
      <c r="K1724" t="str">
        <f t="shared" ca="1" si="261"/>
        <v>PPP</v>
      </c>
      <c r="L1724" t="str">
        <f t="shared" ca="1" si="262"/>
        <v>dom</v>
      </c>
      <c r="M1724" t="str">
        <f t="shared" ca="1" si="259"/>
        <v>RSA</v>
      </c>
      <c r="N1724">
        <f t="shared" ca="1" si="260"/>
        <v>17.648683313134615</v>
      </c>
    </row>
    <row r="1725" spans="6:14" x14ac:dyDescent="0.35">
      <c r="F1725">
        <f t="shared" si="268"/>
        <v>26</v>
      </c>
      <c r="G1725">
        <f t="shared" si="264"/>
        <v>7</v>
      </c>
      <c r="H1725">
        <f t="shared" si="265"/>
        <v>0</v>
      </c>
      <c r="K1725" t="str">
        <f t="shared" ca="1" si="261"/>
        <v>PC</v>
      </c>
      <c r="L1725" t="str">
        <f t="shared" ca="1" si="262"/>
        <v>dom</v>
      </c>
      <c r="M1725" t="str">
        <f t="shared" ca="1" si="259"/>
        <v>RSA</v>
      </c>
      <c r="N1725">
        <f t="shared" ca="1" si="260"/>
        <v>2.6893194194989052</v>
      </c>
    </row>
    <row r="1726" spans="6:14" x14ac:dyDescent="0.35">
      <c r="F1726">
        <f t="shared" si="268"/>
        <v>26</v>
      </c>
      <c r="G1726">
        <f t="shared" si="264"/>
        <v>8</v>
      </c>
      <c r="H1726">
        <f t="shared" si="265"/>
        <v>0</v>
      </c>
      <c r="K1726" t="str">
        <f t="shared" ca="1" si="261"/>
        <v>CHM</v>
      </c>
      <c r="L1726" t="str">
        <f t="shared" ca="1" si="262"/>
        <v>dom</v>
      </c>
      <c r="M1726" t="str">
        <f t="shared" ca="1" si="259"/>
        <v>RSA</v>
      </c>
      <c r="N1726">
        <f t="shared" ca="1" si="260"/>
        <v>16.746931539565779</v>
      </c>
    </row>
    <row r="1727" spans="6:14" x14ac:dyDescent="0.35">
      <c r="F1727">
        <f t="shared" si="268"/>
        <v>26</v>
      </c>
      <c r="G1727">
        <f t="shared" si="264"/>
        <v>9</v>
      </c>
      <c r="H1727">
        <f t="shared" si="265"/>
        <v>0</v>
      </c>
      <c r="K1727" t="str">
        <f t="shared" ca="1" si="261"/>
        <v>RUBBER</v>
      </c>
      <c r="L1727" t="str">
        <f t="shared" ca="1" si="262"/>
        <v>dom</v>
      </c>
      <c r="M1727" t="str">
        <f t="shared" ca="1" si="259"/>
        <v>RSA</v>
      </c>
      <c r="N1727">
        <f t="shared" ca="1" si="260"/>
        <v>26.215705343655209</v>
      </c>
    </row>
    <row r="1728" spans="6:14" x14ac:dyDescent="0.35">
      <c r="F1728">
        <f t="shared" si="268"/>
        <v>26</v>
      </c>
      <c r="G1728">
        <f t="shared" si="264"/>
        <v>10</v>
      </c>
      <c r="H1728">
        <f t="shared" si="265"/>
        <v>0</v>
      </c>
      <c r="K1728" t="str">
        <f t="shared" ca="1" si="261"/>
        <v>NMM</v>
      </c>
      <c r="L1728" t="str">
        <f t="shared" ca="1" si="262"/>
        <v>dom</v>
      </c>
      <c r="M1728" t="str">
        <f t="shared" ca="1" si="259"/>
        <v>RSA</v>
      </c>
      <c r="N1728">
        <f t="shared" ca="1" si="260"/>
        <v>24.285592597932293</v>
      </c>
    </row>
    <row r="1729" spans="6:14" x14ac:dyDescent="0.35">
      <c r="F1729">
        <f t="shared" si="268"/>
        <v>26</v>
      </c>
      <c r="G1729">
        <f t="shared" si="264"/>
        <v>11</v>
      </c>
      <c r="H1729">
        <f t="shared" si="265"/>
        <v>0</v>
      </c>
      <c r="K1729" t="str">
        <f t="shared" ca="1" si="261"/>
        <v>METAL</v>
      </c>
      <c r="L1729" t="str">
        <f t="shared" ca="1" si="262"/>
        <v>dom</v>
      </c>
      <c r="M1729" t="str">
        <f t="shared" ca="1" si="259"/>
        <v>RSA</v>
      </c>
      <c r="N1729">
        <f t="shared" ca="1" si="260"/>
        <v>71.031155841588486</v>
      </c>
    </row>
    <row r="1730" spans="6:14" x14ac:dyDescent="0.35">
      <c r="F1730">
        <f t="shared" si="268"/>
        <v>26</v>
      </c>
      <c r="G1730">
        <f t="shared" si="264"/>
        <v>12</v>
      </c>
      <c r="H1730">
        <f t="shared" si="265"/>
        <v>0</v>
      </c>
      <c r="K1730" t="str">
        <f t="shared" ca="1" si="261"/>
        <v>MACH</v>
      </c>
      <c r="L1730" t="str">
        <f t="shared" ca="1" si="262"/>
        <v>dom</v>
      </c>
      <c r="M1730" t="str">
        <f t="shared" ref="M1730:M1793" ca="1" si="269">OFFSET(A$2,F1730,0)</f>
        <v>RSA</v>
      </c>
      <c r="N1730">
        <f t="shared" ref="N1730:N1793" ca="1" si="270">SUMIFS(C:C,A:A,K1730,B:B,L1730)*SUMIFS(U:U,S:S,M1730)</f>
        <v>102.8119984158818</v>
      </c>
    </row>
    <row r="1731" spans="6:14" x14ac:dyDescent="0.35">
      <c r="F1731">
        <f t="shared" si="268"/>
        <v>26</v>
      </c>
      <c r="G1731">
        <f t="shared" si="264"/>
        <v>13</v>
      </c>
      <c r="H1731">
        <f t="shared" si="265"/>
        <v>0</v>
      </c>
      <c r="K1731" t="str">
        <f t="shared" ref="K1731:K1794" ca="1" si="271">OFFSET(A$2,G1731,0)</f>
        <v>ELEC</v>
      </c>
      <c r="L1731" t="str">
        <f t="shared" ref="L1731:L1794" ca="1" si="272">OFFSET($V$3,H1731,0)</f>
        <v>dom</v>
      </c>
      <c r="M1731" t="str">
        <f t="shared" ca="1" si="269"/>
        <v>RSA</v>
      </c>
      <c r="N1731">
        <f t="shared" ca="1" si="270"/>
        <v>21.387127911611739</v>
      </c>
    </row>
    <row r="1732" spans="6:14" x14ac:dyDescent="0.35">
      <c r="F1732">
        <f t="shared" si="268"/>
        <v>26</v>
      </c>
      <c r="G1732">
        <f t="shared" si="264"/>
        <v>14</v>
      </c>
      <c r="H1732">
        <f t="shared" si="265"/>
        <v>0</v>
      </c>
      <c r="K1732" t="str">
        <f t="shared" ca="1" si="271"/>
        <v>TRNEQUIP</v>
      </c>
      <c r="L1732" t="str">
        <f t="shared" ca="1" si="272"/>
        <v>dom</v>
      </c>
      <c r="M1732" t="str">
        <f t="shared" ca="1" si="269"/>
        <v>RSA</v>
      </c>
      <c r="N1732">
        <f t="shared" ca="1" si="270"/>
        <v>30.893875725430224</v>
      </c>
    </row>
    <row r="1733" spans="6:14" x14ac:dyDescent="0.35">
      <c r="F1733">
        <f t="shared" ref="F1733:F1748" si="273">F1667+1</f>
        <v>26</v>
      </c>
      <c r="G1733">
        <f t="shared" ref="G1733:G1796" si="274">G1700</f>
        <v>15</v>
      </c>
      <c r="H1733">
        <f t="shared" ref="H1733:H1796" si="275">H1667</f>
        <v>0</v>
      </c>
      <c r="K1733" t="str">
        <f t="shared" ca="1" si="271"/>
        <v>ROMAN</v>
      </c>
      <c r="L1733" t="str">
        <f t="shared" ca="1" si="272"/>
        <v>dom</v>
      </c>
      <c r="M1733" t="str">
        <f t="shared" ca="1" si="269"/>
        <v>RSA</v>
      </c>
      <c r="N1733">
        <f t="shared" ca="1" si="270"/>
        <v>84.122017665707432</v>
      </c>
    </row>
    <row r="1734" spans="6:14" x14ac:dyDescent="0.35">
      <c r="F1734">
        <f t="shared" si="273"/>
        <v>26</v>
      </c>
      <c r="G1734">
        <f t="shared" si="274"/>
        <v>16</v>
      </c>
      <c r="H1734">
        <f t="shared" si="275"/>
        <v>0</v>
      </c>
      <c r="K1734" t="str">
        <f t="shared" ca="1" si="271"/>
        <v>ELYGASWTR</v>
      </c>
      <c r="L1734" t="str">
        <f t="shared" ca="1" si="272"/>
        <v>dom</v>
      </c>
      <c r="M1734" t="str">
        <f t="shared" ca="1" si="269"/>
        <v>RSA</v>
      </c>
      <c r="N1734">
        <f t="shared" ca="1" si="270"/>
        <v>1.9196086636814371E-6</v>
      </c>
    </row>
    <row r="1735" spans="6:14" x14ac:dyDescent="0.35">
      <c r="F1735">
        <f t="shared" si="273"/>
        <v>26</v>
      </c>
      <c r="G1735">
        <f t="shared" si="274"/>
        <v>17</v>
      </c>
      <c r="H1735">
        <f t="shared" si="275"/>
        <v>0</v>
      </c>
      <c r="K1735" t="str">
        <f t="shared" ca="1" si="271"/>
        <v>CNS</v>
      </c>
      <c r="L1735" t="str">
        <f t="shared" ca="1" si="272"/>
        <v>dom</v>
      </c>
      <c r="M1735" t="str">
        <f t="shared" ca="1" si="269"/>
        <v>RSA</v>
      </c>
      <c r="N1735">
        <f t="shared" ca="1" si="270"/>
        <v>2794.4021738571814</v>
      </c>
    </row>
    <row r="1736" spans="6:14" x14ac:dyDescent="0.35">
      <c r="F1736">
        <f t="shared" si="273"/>
        <v>26</v>
      </c>
      <c r="G1736">
        <f t="shared" si="274"/>
        <v>18</v>
      </c>
      <c r="H1736">
        <f t="shared" si="275"/>
        <v>0</v>
      </c>
      <c r="K1736" t="str">
        <f t="shared" ca="1" si="271"/>
        <v>TRD</v>
      </c>
      <c r="L1736" t="str">
        <f t="shared" ca="1" si="272"/>
        <v>dom</v>
      </c>
      <c r="M1736" t="str">
        <f t="shared" ca="1" si="269"/>
        <v>RSA</v>
      </c>
      <c r="N1736">
        <f t="shared" ca="1" si="270"/>
        <v>446.80627715690628</v>
      </c>
    </row>
    <row r="1737" spans="6:14" x14ac:dyDescent="0.35">
      <c r="F1737">
        <f t="shared" si="273"/>
        <v>26</v>
      </c>
      <c r="G1737">
        <f t="shared" si="274"/>
        <v>19</v>
      </c>
      <c r="H1737">
        <f t="shared" si="275"/>
        <v>0</v>
      </c>
      <c r="K1737" t="str">
        <f t="shared" ca="1" si="271"/>
        <v>AFS</v>
      </c>
      <c r="L1737" t="str">
        <f t="shared" ca="1" si="272"/>
        <v>dom</v>
      </c>
      <c r="M1737" t="str">
        <f t="shared" ca="1" si="269"/>
        <v>RSA</v>
      </c>
      <c r="N1737">
        <f t="shared" ca="1" si="270"/>
        <v>1.9196086636814371E-6</v>
      </c>
    </row>
    <row r="1738" spans="6:14" x14ac:dyDescent="0.35">
      <c r="F1738">
        <f t="shared" si="273"/>
        <v>26</v>
      </c>
      <c r="G1738">
        <f t="shared" si="274"/>
        <v>20</v>
      </c>
      <c r="H1738">
        <f t="shared" si="275"/>
        <v>0</v>
      </c>
      <c r="K1738" t="str">
        <f t="shared" ca="1" si="271"/>
        <v>OTP</v>
      </c>
      <c r="L1738" t="str">
        <f t="shared" ca="1" si="272"/>
        <v>dom</v>
      </c>
      <c r="M1738" t="str">
        <f t="shared" ca="1" si="269"/>
        <v>RSA</v>
      </c>
      <c r="N1738">
        <f t="shared" ca="1" si="270"/>
        <v>1.9196086636814371E-6</v>
      </c>
    </row>
    <row r="1739" spans="6:14" x14ac:dyDescent="0.35">
      <c r="F1739">
        <f t="shared" si="273"/>
        <v>26</v>
      </c>
      <c r="G1739">
        <f t="shared" si="274"/>
        <v>21</v>
      </c>
      <c r="H1739">
        <f t="shared" si="275"/>
        <v>0</v>
      </c>
      <c r="K1739" t="str">
        <f t="shared" ca="1" si="271"/>
        <v>WTP</v>
      </c>
      <c r="L1739" t="str">
        <f t="shared" ca="1" si="272"/>
        <v>dom</v>
      </c>
      <c r="M1739" t="str">
        <f t="shared" ca="1" si="269"/>
        <v>RSA</v>
      </c>
      <c r="N1739">
        <f t="shared" ca="1" si="270"/>
        <v>1.9196086636814371E-6</v>
      </c>
    </row>
    <row r="1740" spans="6:14" x14ac:dyDescent="0.35">
      <c r="F1740">
        <f t="shared" si="273"/>
        <v>26</v>
      </c>
      <c r="G1740">
        <f t="shared" si="274"/>
        <v>22</v>
      </c>
      <c r="H1740">
        <f t="shared" si="275"/>
        <v>0</v>
      </c>
      <c r="K1740" t="str">
        <f t="shared" ca="1" si="271"/>
        <v>ATP</v>
      </c>
      <c r="L1740" t="str">
        <f t="shared" ca="1" si="272"/>
        <v>dom</v>
      </c>
      <c r="M1740" t="str">
        <f t="shared" ca="1" si="269"/>
        <v>RSA</v>
      </c>
      <c r="N1740">
        <f t="shared" ca="1" si="270"/>
        <v>1.9196086636814371E-6</v>
      </c>
    </row>
    <row r="1741" spans="6:14" x14ac:dyDescent="0.35">
      <c r="F1741">
        <f t="shared" si="273"/>
        <v>26</v>
      </c>
      <c r="G1741">
        <f t="shared" si="274"/>
        <v>23</v>
      </c>
      <c r="H1741">
        <f t="shared" si="275"/>
        <v>0</v>
      </c>
      <c r="K1741" t="str">
        <f t="shared" ca="1" si="271"/>
        <v>WHS</v>
      </c>
      <c r="L1741" t="str">
        <f t="shared" ca="1" si="272"/>
        <v>dom</v>
      </c>
      <c r="M1741" t="str">
        <f t="shared" ca="1" si="269"/>
        <v>RSA</v>
      </c>
      <c r="N1741">
        <f t="shared" ca="1" si="270"/>
        <v>1.9196086636814371E-6</v>
      </c>
    </row>
    <row r="1742" spans="6:14" x14ac:dyDescent="0.35">
      <c r="F1742">
        <f t="shared" si="273"/>
        <v>26</v>
      </c>
      <c r="G1742">
        <f t="shared" si="274"/>
        <v>24</v>
      </c>
      <c r="H1742">
        <f t="shared" si="275"/>
        <v>0</v>
      </c>
      <c r="K1742" t="str">
        <f t="shared" ca="1" si="271"/>
        <v>CMN</v>
      </c>
      <c r="L1742" t="str">
        <f t="shared" ca="1" si="272"/>
        <v>dom</v>
      </c>
      <c r="M1742" t="str">
        <f t="shared" ca="1" si="269"/>
        <v>RSA</v>
      </c>
      <c r="N1742">
        <f t="shared" ca="1" si="270"/>
        <v>1.9196086636814371E-6</v>
      </c>
    </row>
    <row r="1743" spans="6:14" x14ac:dyDescent="0.35">
      <c r="F1743">
        <f t="shared" si="273"/>
        <v>26</v>
      </c>
      <c r="G1743">
        <f t="shared" si="274"/>
        <v>25</v>
      </c>
      <c r="H1743">
        <f t="shared" si="275"/>
        <v>0</v>
      </c>
      <c r="K1743" t="str">
        <f t="shared" ca="1" si="271"/>
        <v>OFI</v>
      </c>
      <c r="L1743" t="str">
        <f t="shared" ca="1" si="272"/>
        <v>dom</v>
      </c>
      <c r="M1743" t="str">
        <f t="shared" ca="1" si="269"/>
        <v>RSA</v>
      </c>
      <c r="N1743">
        <f t="shared" ca="1" si="270"/>
        <v>1.9196086636814371E-6</v>
      </c>
    </row>
    <row r="1744" spans="6:14" x14ac:dyDescent="0.35">
      <c r="F1744">
        <f t="shared" si="273"/>
        <v>26</v>
      </c>
      <c r="G1744">
        <f t="shared" si="274"/>
        <v>26</v>
      </c>
      <c r="H1744">
        <f t="shared" si="275"/>
        <v>0</v>
      </c>
      <c r="K1744" t="str">
        <f t="shared" ca="1" si="271"/>
        <v>RSA</v>
      </c>
      <c r="L1744" t="str">
        <f t="shared" ca="1" si="272"/>
        <v>dom</v>
      </c>
      <c r="M1744" t="str">
        <f t="shared" ca="1" si="269"/>
        <v>RSA</v>
      </c>
      <c r="N1744">
        <f t="shared" ca="1" si="270"/>
        <v>1.9196086636814371E-6</v>
      </c>
    </row>
    <row r="1745" spans="6:14" x14ac:dyDescent="0.35">
      <c r="F1745">
        <f t="shared" si="273"/>
        <v>26</v>
      </c>
      <c r="G1745">
        <f t="shared" si="274"/>
        <v>27</v>
      </c>
      <c r="H1745">
        <f t="shared" si="275"/>
        <v>0</v>
      </c>
      <c r="K1745" t="str">
        <f t="shared" ca="1" si="271"/>
        <v>OBS</v>
      </c>
      <c r="L1745" t="str">
        <f t="shared" ca="1" si="272"/>
        <v>dom</v>
      </c>
      <c r="M1745" t="str">
        <f t="shared" ca="1" si="269"/>
        <v>RSA</v>
      </c>
      <c r="N1745">
        <f t="shared" ca="1" si="270"/>
        <v>1.9196086636814371E-6</v>
      </c>
    </row>
    <row r="1746" spans="6:14" x14ac:dyDescent="0.35">
      <c r="F1746">
        <f t="shared" si="273"/>
        <v>26</v>
      </c>
      <c r="G1746">
        <f t="shared" si="274"/>
        <v>28</v>
      </c>
      <c r="H1746">
        <f t="shared" si="275"/>
        <v>0</v>
      </c>
      <c r="K1746" t="str">
        <f t="shared" ca="1" si="271"/>
        <v>GOV</v>
      </c>
      <c r="L1746" t="str">
        <f t="shared" ca="1" si="272"/>
        <v>dom</v>
      </c>
      <c r="M1746" t="str">
        <f t="shared" ca="1" si="269"/>
        <v>RSA</v>
      </c>
      <c r="N1746">
        <f t="shared" ca="1" si="270"/>
        <v>1.9196086636814371E-6</v>
      </c>
    </row>
    <row r="1747" spans="6:14" x14ac:dyDescent="0.35">
      <c r="F1747">
        <f t="shared" si="273"/>
        <v>26</v>
      </c>
      <c r="G1747">
        <f t="shared" si="274"/>
        <v>29</v>
      </c>
      <c r="H1747">
        <f t="shared" si="275"/>
        <v>0</v>
      </c>
      <c r="K1747" t="str">
        <f t="shared" ca="1" si="271"/>
        <v>EDU</v>
      </c>
      <c r="L1747" t="str">
        <f t="shared" ca="1" si="272"/>
        <v>dom</v>
      </c>
      <c r="M1747" t="str">
        <f t="shared" ca="1" si="269"/>
        <v>RSA</v>
      </c>
      <c r="N1747">
        <f t="shared" ca="1" si="270"/>
        <v>1.9196086636814371E-6</v>
      </c>
    </row>
    <row r="1748" spans="6:14" x14ac:dyDescent="0.35">
      <c r="F1748">
        <f t="shared" si="273"/>
        <v>26</v>
      </c>
      <c r="G1748">
        <f t="shared" si="274"/>
        <v>30</v>
      </c>
      <c r="H1748">
        <f t="shared" si="275"/>
        <v>0</v>
      </c>
      <c r="K1748" t="str">
        <f t="shared" ca="1" si="271"/>
        <v>HHT</v>
      </c>
      <c r="L1748" t="str">
        <f t="shared" ca="1" si="272"/>
        <v>dom</v>
      </c>
      <c r="M1748" t="str">
        <f t="shared" ca="1" si="269"/>
        <v>RSA</v>
      </c>
      <c r="N1748">
        <f t="shared" ca="1" si="270"/>
        <v>1.9196086636814371E-6</v>
      </c>
    </row>
    <row r="1749" spans="6:14" x14ac:dyDescent="0.35">
      <c r="F1749">
        <f t="shared" ref="F1749:F1764" si="276">F1683+1</f>
        <v>26</v>
      </c>
      <c r="G1749">
        <f t="shared" si="274"/>
        <v>31</v>
      </c>
      <c r="H1749">
        <f t="shared" si="275"/>
        <v>0</v>
      </c>
      <c r="K1749" t="str">
        <f t="shared" ca="1" si="271"/>
        <v>REC</v>
      </c>
      <c r="L1749" t="str">
        <f t="shared" ca="1" si="272"/>
        <v>dom</v>
      </c>
      <c r="M1749" t="str">
        <f t="shared" ca="1" si="269"/>
        <v>RSA</v>
      </c>
      <c r="N1749">
        <f t="shared" ca="1" si="270"/>
        <v>1.9196086636814371E-6</v>
      </c>
    </row>
    <row r="1750" spans="6:14" x14ac:dyDescent="0.35">
      <c r="F1750">
        <f t="shared" si="276"/>
        <v>26</v>
      </c>
      <c r="G1750">
        <f t="shared" si="274"/>
        <v>32</v>
      </c>
      <c r="H1750">
        <f t="shared" si="275"/>
        <v>0</v>
      </c>
      <c r="K1750" t="str">
        <f t="shared" ca="1" si="271"/>
        <v>DWE</v>
      </c>
      <c r="L1750" t="str">
        <f t="shared" ca="1" si="272"/>
        <v>dom</v>
      </c>
      <c r="M1750" t="str">
        <f t="shared" ca="1" si="269"/>
        <v>RSA</v>
      </c>
      <c r="N1750">
        <f t="shared" ca="1" si="270"/>
        <v>1.9196086636814371E-6</v>
      </c>
    </row>
    <row r="1751" spans="6:14" x14ac:dyDescent="0.35">
      <c r="F1751">
        <f t="shared" si="276"/>
        <v>26</v>
      </c>
      <c r="G1751">
        <f t="shared" si="274"/>
        <v>0</v>
      </c>
      <c r="H1751">
        <f t="shared" si="275"/>
        <v>1</v>
      </c>
      <c r="K1751" t="str">
        <f t="shared" ca="1" si="271"/>
        <v>AG</v>
      </c>
      <c r="L1751" t="str">
        <f t="shared" ca="1" si="272"/>
        <v>imp</v>
      </c>
      <c r="M1751" t="str">
        <f t="shared" ca="1" si="269"/>
        <v>RSA</v>
      </c>
      <c r="N1751">
        <f t="shared" ca="1" si="270"/>
        <v>17.75988158541913</v>
      </c>
    </row>
    <row r="1752" spans="6:14" x14ac:dyDescent="0.35">
      <c r="F1752">
        <f t="shared" si="276"/>
        <v>26</v>
      </c>
      <c r="G1752">
        <f t="shared" si="274"/>
        <v>1</v>
      </c>
      <c r="H1752">
        <f t="shared" si="275"/>
        <v>1</v>
      </c>
      <c r="K1752" t="str">
        <f t="shared" ca="1" si="271"/>
        <v>MIN</v>
      </c>
      <c r="L1752" t="str">
        <f t="shared" ca="1" si="272"/>
        <v>imp</v>
      </c>
      <c r="M1752" t="str">
        <f t="shared" ca="1" si="269"/>
        <v>RSA</v>
      </c>
      <c r="N1752">
        <f t="shared" ca="1" si="270"/>
        <v>28.018552003173461</v>
      </c>
    </row>
    <row r="1753" spans="6:14" x14ac:dyDescent="0.35">
      <c r="F1753">
        <f t="shared" si="276"/>
        <v>26</v>
      </c>
      <c r="G1753">
        <f t="shared" si="274"/>
        <v>2</v>
      </c>
      <c r="H1753">
        <f t="shared" si="275"/>
        <v>1</v>
      </c>
      <c r="K1753" t="str">
        <f t="shared" ca="1" si="271"/>
        <v>FBT</v>
      </c>
      <c r="L1753" t="str">
        <f t="shared" ca="1" si="272"/>
        <v>imp</v>
      </c>
      <c r="M1753" t="str">
        <f t="shared" ca="1" si="269"/>
        <v>RSA</v>
      </c>
      <c r="N1753">
        <f t="shared" ca="1" si="270"/>
        <v>7.0111011314312233</v>
      </c>
    </row>
    <row r="1754" spans="6:14" x14ac:dyDescent="0.35">
      <c r="F1754">
        <f t="shared" si="276"/>
        <v>26</v>
      </c>
      <c r="G1754">
        <f t="shared" si="274"/>
        <v>3</v>
      </c>
      <c r="H1754">
        <f t="shared" si="275"/>
        <v>1</v>
      </c>
      <c r="K1754" t="str">
        <f t="shared" ca="1" si="271"/>
        <v>TEX</v>
      </c>
      <c r="L1754" t="str">
        <f t="shared" ca="1" si="272"/>
        <v>imp</v>
      </c>
      <c r="M1754" t="str">
        <f t="shared" ca="1" si="269"/>
        <v>RSA</v>
      </c>
      <c r="N1754">
        <f t="shared" ca="1" si="270"/>
        <v>137.58596022187186</v>
      </c>
    </row>
    <row r="1755" spans="6:14" x14ac:dyDescent="0.35">
      <c r="F1755">
        <f t="shared" si="276"/>
        <v>26</v>
      </c>
      <c r="G1755">
        <f t="shared" si="274"/>
        <v>4</v>
      </c>
      <c r="H1755">
        <f t="shared" si="275"/>
        <v>1</v>
      </c>
      <c r="K1755" t="str">
        <f t="shared" ca="1" si="271"/>
        <v>LEATHER</v>
      </c>
      <c r="L1755" t="str">
        <f t="shared" ca="1" si="272"/>
        <v>imp</v>
      </c>
      <c r="M1755" t="str">
        <f t="shared" ca="1" si="269"/>
        <v>RSA</v>
      </c>
      <c r="N1755">
        <f t="shared" ca="1" si="270"/>
        <v>71.705603071472595</v>
      </c>
    </row>
    <row r="1756" spans="6:14" x14ac:dyDescent="0.35">
      <c r="F1756">
        <f t="shared" si="276"/>
        <v>26</v>
      </c>
      <c r="G1756">
        <f t="shared" si="274"/>
        <v>5</v>
      </c>
      <c r="H1756">
        <f t="shared" si="275"/>
        <v>1</v>
      </c>
      <c r="K1756" t="str">
        <f t="shared" ca="1" si="271"/>
        <v>WOOD</v>
      </c>
      <c r="L1756" t="str">
        <f t="shared" ca="1" si="272"/>
        <v>imp</v>
      </c>
      <c r="M1756" t="str">
        <f t="shared" ca="1" si="269"/>
        <v>RSA</v>
      </c>
      <c r="N1756">
        <f t="shared" ca="1" si="270"/>
        <v>1.2834778249102821</v>
      </c>
    </row>
    <row r="1757" spans="6:14" x14ac:dyDescent="0.35">
      <c r="F1757">
        <f t="shared" si="276"/>
        <v>26</v>
      </c>
      <c r="G1757">
        <f t="shared" si="274"/>
        <v>6</v>
      </c>
      <c r="H1757">
        <f t="shared" si="275"/>
        <v>1</v>
      </c>
      <c r="K1757" t="str">
        <f t="shared" ca="1" si="271"/>
        <v>PPP</v>
      </c>
      <c r="L1757" t="str">
        <f t="shared" ca="1" si="272"/>
        <v>imp</v>
      </c>
      <c r="M1757" t="str">
        <f t="shared" ca="1" si="269"/>
        <v>RSA</v>
      </c>
      <c r="N1757">
        <f t="shared" ca="1" si="270"/>
        <v>18.481951171338874</v>
      </c>
    </row>
    <row r="1758" spans="6:14" x14ac:dyDescent="0.35">
      <c r="F1758">
        <f t="shared" si="276"/>
        <v>26</v>
      </c>
      <c r="G1758">
        <f t="shared" si="274"/>
        <v>7</v>
      </c>
      <c r="H1758">
        <f t="shared" si="275"/>
        <v>1</v>
      </c>
      <c r="K1758" t="str">
        <f t="shared" ca="1" si="271"/>
        <v>PC</v>
      </c>
      <c r="L1758" t="str">
        <f t="shared" ca="1" si="272"/>
        <v>imp</v>
      </c>
      <c r="M1758" t="str">
        <f t="shared" ca="1" si="269"/>
        <v>RSA</v>
      </c>
      <c r="N1758">
        <f t="shared" ca="1" si="270"/>
        <v>4.6539726324199533</v>
      </c>
    </row>
    <row r="1759" spans="6:14" x14ac:dyDescent="0.35">
      <c r="F1759">
        <f t="shared" si="276"/>
        <v>26</v>
      </c>
      <c r="G1759">
        <f t="shared" si="274"/>
        <v>8</v>
      </c>
      <c r="H1759">
        <f t="shared" si="275"/>
        <v>1</v>
      </c>
      <c r="K1759" t="str">
        <f t="shared" ca="1" si="271"/>
        <v>CHM</v>
      </c>
      <c r="L1759" t="str">
        <f t="shared" ca="1" si="272"/>
        <v>imp</v>
      </c>
      <c r="M1759" t="str">
        <f t="shared" ca="1" si="269"/>
        <v>RSA</v>
      </c>
      <c r="N1759">
        <f t="shared" ca="1" si="270"/>
        <v>63.798194027054528</v>
      </c>
    </row>
    <row r="1760" spans="6:14" x14ac:dyDescent="0.35">
      <c r="F1760">
        <f t="shared" si="276"/>
        <v>26</v>
      </c>
      <c r="G1760">
        <f t="shared" si="274"/>
        <v>9</v>
      </c>
      <c r="H1760">
        <f t="shared" si="275"/>
        <v>1</v>
      </c>
      <c r="K1760" t="str">
        <f t="shared" ca="1" si="271"/>
        <v>RUBBER</v>
      </c>
      <c r="L1760" t="str">
        <f t="shared" ca="1" si="272"/>
        <v>imp</v>
      </c>
      <c r="M1760" t="str">
        <f t="shared" ca="1" si="269"/>
        <v>RSA</v>
      </c>
      <c r="N1760">
        <f t="shared" ca="1" si="270"/>
        <v>48.860936963318338</v>
      </c>
    </row>
    <row r="1761" spans="6:14" x14ac:dyDescent="0.35">
      <c r="F1761">
        <f t="shared" si="276"/>
        <v>26</v>
      </c>
      <c r="G1761">
        <f t="shared" si="274"/>
        <v>10</v>
      </c>
      <c r="H1761">
        <f t="shared" si="275"/>
        <v>1</v>
      </c>
      <c r="K1761" t="str">
        <f t="shared" ca="1" si="271"/>
        <v>NMM</v>
      </c>
      <c r="L1761" t="str">
        <f t="shared" ca="1" si="272"/>
        <v>imp</v>
      </c>
      <c r="M1761" t="str">
        <f t="shared" ca="1" si="269"/>
        <v>RSA</v>
      </c>
      <c r="N1761">
        <f t="shared" ca="1" si="270"/>
        <v>18.44438690338178</v>
      </c>
    </row>
    <row r="1762" spans="6:14" x14ac:dyDescent="0.35">
      <c r="F1762">
        <f t="shared" si="276"/>
        <v>26</v>
      </c>
      <c r="G1762">
        <f t="shared" si="274"/>
        <v>11</v>
      </c>
      <c r="H1762">
        <f t="shared" si="275"/>
        <v>1</v>
      </c>
      <c r="K1762" t="str">
        <f t="shared" ca="1" si="271"/>
        <v>METAL</v>
      </c>
      <c r="L1762" t="str">
        <f t="shared" ca="1" si="272"/>
        <v>imp</v>
      </c>
      <c r="M1762" t="str">
        <f t="shared" ca="1" si="269"/>
        <v>RSA</v>
      </c>
      <c r="N1762">
        <f t="shared" ca="1" si="270"/>
        <v>230.87093142344213</v>
      </c>
    </row>
    <row r="1763" spans="6:14" x14ac:dyDescent="0.35">
      <c r="F1763">
        <f t="shared" si="276"/>
        <v>26</v>
      </c>
      <c r="G1763">
        <f t="shared" si="274"/>
        <v>12</v>
      </c>
      <c r="H1763">
        <f t="shared" si="275"/>
        <v>1</v>
      </c>
      <c r="K1763" t="str">
        <f t="shared" ca="1" si="271"/>
        <v>MACH</v>
      </c>
      <c r="L1763" t="str">
        <f t="shared" ca="1" si="272"/>
        <v>imp</v>
      </c>
      <c r="M1763" t="str">
        <f t="shared" ca="1" si="269"/>
        <v>RSA</v>
      </c>
      <c r="N1763">
        <f t="shared" ca="1" si="270"/>
        <v>884.41387112641928</v>
      </c>
    </row>
    <row r="1764" spans="6:14" x14ac:dyDescent="0.35">
      <c r="F1764">
        <f t="shared" si="276"/>
        <v>26</v>
      </c>
      <c r="G1764">
        <f t="shared" si="274"/>
        <v>13</v>
      </c>
      <c r="H1764">
        <f t="shared" si="275"/>
        <v>1</v>
      </c>
      <c r="K1764" t="str">
        <f t="shared" ca="1" si="271"/>
        <v>ELEC</v>
      </c>
      <c r="L1764" t="str">
        <f t="shared" ca="1" si="272"/>
        <v>imp</v>
      </c>
      <c r="M1764" t="str">
        <f t="shared" ca="1" si="269"/>
        <v>RSA</v>
      </c>
      <c r="N1764">
        <f t="shared" ca="1" si="270"/>
        <v>474.19573951945961</v>
      </c>
    </row>
    <row r="1765" spans="6:14" x14ac:dyDescent="0.35">
      <c r="F1765">
        <f t="shared" ref="F1765:F1780" si="277">F1699+1</f>
        <v>26</v>
      </c>
      <c r="G1765">
        <f t="shared" si="274"/>
        <v>14</v>
      </c>
      <c r="H1765">
        <f t="shared" si="275"/>
        <v>1</v>
      </c>
      <c r="K1765" t="str">
        <f t="shared" ca="1" si="271"/>
        <v>TRNEQUIP</v>
      </c>
      <c r="L1765" t="str">
        <f t="shared" ca="1" si="272"/>
        <v>imp</v>
      </c>
      <c r="M1765" t="str">
        <f t="shared" ca="1" si="269"/>
        <v>RSA</v>
      </c>
      <c r="N1765">
        <f t="shared" ca="1" si="270"/>
        <v>756.76306311273288</v>
      </c>
    </row>
    <row r="1766" spans="6:14" x14ac:dyDescent="0.35">
      <c r="F1766">
        <f t="shared" si="277"/>
        <v>26</v>
      </c>
      <c r="G1766">
        <f t="shared" si="274"/>
        <v>15</v>
      </c>
      <c r="H1766">
        <f t="shared" si="275"/>
        <v>1</v>
      </c>
      <c r="K1766" t="str">
        <f t="shared" ca="1" si="271"/>
        <v>ROMAN</v>
      </c>
      <c r="L1766" t="str">
        <f t="shared" ca="1" si="272"/>
        <v>imp</v>
      </c>
      <c r="M1766" t="str">
        <f t="shared" ca="1" si="269"/>
        <v>RSA</v>
      </c>
      <c r="N1766">
        <f t="shared" ca="1" si="270"/>
        <v>287.14214320061529</v>
      </c>
    </row>
    <row r="1767" spans="6:14" x14ac:dyDescent="0.35">
      <c r="F1767">
        <f t="shared" si="277"/>
        <v>26</v>
      </c>
      <c r="G1767">
        <f t="shared" si="274"/>
        <v>16</v>
      </c>
      <c r="H1767">
        <f t="shared" si="275"/>
        <v>1</v>
      </c>
      <c r="K1767" t="str">
        <f t="shared" ca="1" si="271"/>
        <v>ELYGASWTR</v>
      </c>
      <c r="L1767" t="str">
        <f t="shared" ca="1" si="272"/>
        <v>imp</v>
      </c>
      <c r="M1767" t="str">
        <f t="shared" ca="1" si="269"/>
        <v>RSA</v>
      </c>
      <c r="N1767">
        <f t="shared" ca="1" si="270"/>
        <v>1.9196086636814371E-6</v>
      </c>
    </row>
    <row r="1768" spans="6:14" x14ac:dyDescent="0.35">
      <c r="F1768">
        <f t="shared" si="277"/>
        <v>26</v>
      </c>
      <c r="G1768">
        <f t="shared" si="274"/>
        <v>17</v>
      </c>
      <c r="H1768">
        <f t="shared" si="275"/>
        <v>1</v>
      </c>
      <c r="K1768" t="str">
        <f t="shared" ca="1" si="271"/>
        <v>CNS</v>
      </c>
      <c r="L1768" t="str">
        <f t="shared" ca="1" si="272"/>
        <v>imp</v>
      </c>
      <c r="M1768" t="str">
        <f t="shared" ca="1" si="269"/>
        <v>RSA</v>
      </c>
      <c r="N1768">
        <f t="shared" ca="1" si="270"/>
        <v>56.209729386989004</v>
      </c>
    </row>
    <row r="1769" spans="6:14" x14ac:dyDescent="0.35">
      <c r="F1769">
        <f t="shared" si="277"/>
        <v>26</v>
      </c>
      <c r="G1769">
        <f t="shared" si="274"/>
        <v>18</v>
      </c>
      <c r="H1769">
        <f t="shared" si="275"/>
        <v>1</v>
      </c>
      <c r="K1769" t="str">
        <f t="shared" ca="1" si="271"/>
        <v>TRD</v>
      </c>
      <c r="L1769" t="str">
        <f t="shared" ca="1" si="272"/>
        <v>imp</v>
      </c>
      <c r="M1769" t="str">
        <f t="shared" ca="1" si="269"/>
        <v>RSA</v>
      </c>
      <c r="N1769">
        <f t="shared" ca="1" si="270"/>
        <v>4.9179715729684785</v>
      </c>
    </row>
    <row r="1770" spans="6:14" x14ac:dyDescent="0.35">
      <c r="F1770">
        <f t="shared" si="277"/>
        <v>26</v>
      </c>
      <c r="G1770">
        <f t="shared" si="274"/>
        <v>19</v>
      </c>
      <c r="H1770">
        <f t="shared" si="275"/>
        <v>1</v>
      </c>
      <c r="K1770" t="str">
        <f t="shared" ca="1" si="271"/>
        <v>AFS</v>
      </c>
      <c r="L1770" t="str">
        <f t="shared" ca="1" si="272"/>
        <v>imp</v>
      </c>
      <c r="M1770" t="str">
        <f t="shared" ca="1" si="269"/>
        <v>RSA</v>
      </c>
      <c r="N1770">
        <f t="shared" ca="1" si="270"/>
        <v>1.9196086636814371E-6</v>
      </c>
    </row>
    <row r="1771" spans="6:14" x14ac:dyDescent="0.35">
      <c r="F1771">
        <f t="shared" si="277"/>
        <v>26</v>
      </c>
      <c r="G1771">
        <f t="shared" si="274"/>
        <v>20</v>
      </c>
      <c r="H1771">
        <f t="shared" si="275"/>
        <v>1</v>
      </c>
      <c r="K1771" t="str">
        <f t="shared" ca="1" si="271"/>
        <v>OTP</v>
      </c>
      <c r="L1771" t="str">
        <f t="shared" ca="1" si="272"/>
        <v>imp</v>
      </c>
      <c r="M1771" t="str">
        <f t="shared" ca="1" si="269"/>
        <v>RSA</v>
      </c>
      <c r="N1771">
        <f t="shared" ca="1" si="270"/>
        <v>1.9196086636814371E-6</v>
      </c>
    </row>
    <row r="1772" spans="6:14" x14ac:dyDescent="0.35">
      <c r="F1772">
        <f t="shared" si="277"/>
        <v>26</v>
      </c>
      <c r="G1772">
        <f t="shared" si="274"/>
        <v>21</v>
      </c>
      <c r="H1772">
        <f t="shared" si="275"/>
        <v>1</v>
      </c>
      <c r="K1772" t="str">
        <f t="shared" ca="1" si="271"/>
        <v>WTP</v>
      </c>
      <c r="L1772" t="str">
        <f t="shared" ca="1" si="272"/>
        <v>imp</v>
      </c>
      <c r="M1772" t="str">
        <f t="shared" ca="1" si="269"/>
        <v>RSA</v>
      </c>
      <c r="N1772">
        <f t="shared" ca="1" si="270"/>
        <v>1.9196086636814371E-6</v>
      </c>
    </row>
    <row r="1773" spans="6:14" x14ac:dyDescent="0.35">
      <c r="F1773">
        <f t="shared" si="277"/>
        <v>26</v>
      </c>
      <c r="G1773">
        <f t="shared" si="274"/>
        <v>22</v>
      </c>
      <c r="H1773">
        <f t="shared" si="275"/>
        <v>1</v>
      </c>
      <c r="K1773" t="str">
        <f t="shared" ca="1" si="271"/>
        <v>ATP</v>
      </c>
      <c r="L1773" t="str">
        <f t="shared" ca="1" si="272"/>
        <v>imp</v>
      </c>
      <c r="M1773" t="str">
        <f t="shared" ca="1" si="269"/>
        <v>RSA</v>
      </c>
      <c r="N1773">
        <f t="shared" ca="1" si="270"/>
        <v>1.9196086636814371E-6</v>
      </c>
    </row>
    <row r="1774" spans="6:14" x14ac:dyDescent="0.35">
      <c r="F1774">
        <f t="shared" si="277"/>
        <v>26</v>
      </c>
      <c r="G1774">
        <f t="shared" si="274"/>
        <v>23</v>
      </c>
      <c r="H1774">
        <f t="shared" si="275"/>
        <v>1</v>
      </c>
      <c r="K1774" t="str">
        <f t="shared" ca="1" si="271"/>
        <v>WHS</v>
      </c>
      <c r="L1774" t="str">
        <f t="shared" ca="1" si="272"/>
        <v>imp</v>
      </c>
      <c r="M1774" t="str">
        <f t="shared" ca="1" si="269"/>
        <v>RSA</v>
      </c>
      <c r="N1774">
        <f t="shared" ca="1" si="270"/>
        <v>1.9196086636814371E-6</v>
      </c>
    </row>
    <row r="1775" spans="6:14" x14ac:dyDescent="0.35">
      <c r="F1775">
        <f t="shared" si="277"/>
        <v>26</v>
      </c>
      <c r="G1775">
        <f t="shared" si="274"/>
        <v>24</v>
      </c>
      <c r="H1775">
        <f t="shared" si="275"/>
        <v>1</v>
      </c>
      <c r="K1775" t="str">
        <f t="shared" ca="1" si="271"/>
        <v>CMN</v>
      </c>
      <c r="L1775" t="str">
        <f t="shared" ca="1" si="272"/>
        <v>imp</v>
      </c>
      <c r="M1775" t="str">
        <f t="shared" ca="1" si="269"/>
        <v>RSA</v>
      </c>
      <c r="N1775">
        <f t="shared" ca="1" si="270"/>
        <v>1.9196086636814371E-6</v>
      </c>
    </row>
    <row r="1776" spans="6:14" x14ac:dyDescent="0.35">
      <c r="F1776">
        <f t="shared" si="277"/>
        <v>26</v>
      </c>
      <c r="G1776">
        <f t="shared" si="274"/>
        <v>25</v>
      </c>
      <c r="H1776">
        <f t="shared" si="275"/>
        <v>1</v>
      </c>
      <c r="K1776" t="str">
        <f t="shared" ca="1" si="271"/>
        <v>OFI</v>
      </c>
      <c r="L1776" t="str">
        <f t="shared" ca="1" si="272"/>
        <v>imp</v>
      </c>
      <c r="M1776" t="str">
        <f t="shared" ca="1" si="269"/>
        <v>RSA</v>
      </c>
      <c r="N1776">
        <f t="shared" ca="1" si="270"/>
        <v>1.9196086636814371E-6</v>
      </c>
    </row>
    <row r="1777" spans="6:14" x14ac:dyDescent="0.35">
      <c r="F1777">
        <f t="shared" si="277"/>
        <v>26</v>
      </c>
      <c r="G1777">
        <f t="shared" si="274"/>
        <v>26</v>
      </c>
      <c r="H1777">
        <f t="shared" si="275"/>
        <v>1</v>
      </c>
      <c r="K1777" t="str">
        <f t="shared" ca="1" si="271"/>
        <v>RSA</v>
      </c>
      <c r="L1777" t="str">
        <f t="shared" ca="1" si="272"/>
        <v>imp</v>
      </c>
      <c r="M1777" t="str">
        <f t="shared" ca="1" si="269"/>
        <v>RSA</v>
      </c>
      <c r="N1777">
        <f t="shared" ca="1" si="270"/>
        <v>1.9196086636814371E-6</v>
      </c>
    </row>
    <row r="1778" spans="6:14" x14ac:dyDescent="0.35">
      <c r="F1778">
        <f t="shared" si="277"/>
        <v>26</v>
      </c>
      <c r="G1778">
        <f t="shared" si="274"/>
        <v>27</v>
      </c>
      <c r="H1778">
        <f t="shared" si="275"/>
        <v>1</v>
      </c>
      <c r="K1778" t="str">
        <f t="shared" ca="1" si="271"/>
        <v>OBS</v>
      </c>
      <c r="L1778" t="str">
        <f t="shared" ca="1" si="272"/>
        <v>imp</v>
      </c>
      <c r="M1778" t="str">
        <f t="shared" ca="1" si="269"/>
        <v>RSA</v>
      </c>
      <c r="N1778">
        <f t="shared" ca="1" si="270"/>
        <v>1.9196086636814371E-6</v>
      </c>
    </row>
    <row r="1779" spans="6:14" x14ac:dyDescent="0.35">
      <c r="F1779">
        <f t="shared" si="277"/>
        <v>26</v>
      </c>
      <c r="G1779">
        <f t="shared" si="274"/>
        <v>28</v>
      </c>
      <c r="H1779">
        <f t="shared" si="275"/>
        <v>1</v>
      </c>
      <c r="K1779" t="str">
        <f t="shared" ca="1" si="271"/>
        <v>GOV</v>
      </c>
      <c r="L1779" t="str">
        <f t="shared" ca="1" si="272"/>
        <v>imp</v>
      </c>
      <c r="M1779" t="str">
        <f t="shared" ca="1" si="269"/>
        <v>RSA</v>
      </c>
      <c r="N1779">
        <f t="shared" ca="1" si="270"/>
        <v>1.9196086636814371E-6</v>
      </c>
    </row>
    <row r="1780" spans="6:14" x14ac:dyDescent="0.35">
      <c r="F1780">
        <f t="shared" si="277"/>
        <v>26</v>
      </c>
      <c r="G1780">
        <f t="shared" si="274"/>
        <v>29</v>
      </c>
      <c r="H1780">
        <f t="shared" si="275"/>
        <v>1</v>
      </c>
      <c r="K1780" t="str">
        <f t="shared" ca="1" si="271"/>
        <v>EDU</v>
      </c>
      <c r="L1780" t="str">
        <f t="shared" ca="1" si="272"/>
        <v>imp</v>
      </c>
      <c r="M1780" t="str">
        <f t="shared" ca="1" si="269"/>
        <v>RSA</v>
      </c>
      <c r="N1780">
        <f t="shared" ca="1" si="270"/>
        <v>1.9196086636814371E-6</v>
      </c>
    </row>
    <row r="1781" spans="6:14" x14ac:dyDescent="0.35">
      <c r="F1781">
        <f t="shared" ref="F1781:F1796" si="278">F1715+1</f>
        <v>26</v>
      </c>
      <c r="G1781">
        <f t="shared" si="274"/>
        <v>30</v>
      </c>
      <c r="H1781">
        <f t="shared" si="275"/>
        <v>1</v>
      </c>
      <c r="K1781" t="str">
        <f t="shared" ca="1" si="271"/>
        <v>HHT</v>
      </c>
      <c r="L1781" t="str">
        <f t="shared" ca="1" si="272"/>
        <v>imp</v>
      </c>
      <c r="M1781" t="str">
        <f t="shared" ca="1" si="269"/>
        <v>RSA</v>
      </c>
      <c r="N1781">
        <f t="shared" ca="1" si="270"/>
        <v>1.9196086636814371E-6</v>
      </c>
    </row>
    <row r="1782" spans="6:14" x14ac:dyDescent="0.35">
      <c r="F1782">
        <f t="shared" si="278"/>
        <v>26</v>
      </c>
      <c r="G1782">
        <f t="shared" si="274"/>
        <v>31</v>
      </c>
      <c r="H1782">
        <f t="shared" si="275"/>
        <v>1</v>
      </c>
      <c r="K1782" t="str">
        <f t="shared" ca="1" si="271"/>
        <v>REC</v>
      </c>
      <c r="L1782" t="str">
        <f t="shared" ca="1" si="272"/>
        <v>imp</v>
      </c>
      <c r="M1782" t="str">
        <f t="shared" ca="1" si="269"/>
        <v>RSA</v>
      </c>
      <c r="N1782">
        <f t="shared" ca="1" si="270"/>
        <v>1.9196086636814371E-6</v>
      </c>
    </row>
    <row r="1783" spans="6:14" x14ac:dyDescent="0.35">
      <c r="F1783">
        <f t="shared" si="278"/>
        <v>26</v>
      </c>
      <c r="G1783">
        <f t="shared" si="274"/>
        <v>32</v>
      </c>
      <c r="H1783">
        <f t="shared" si="275"/>
        <v>1</v>
      </c>
      <c r="K1783" t="str">
        <f t="shared" ca="1" si="271"/>
        <v>DWE</v>
      </c>
      <c r="L1783" t="str">
        <f t="shared" ca="1" si="272"/>
        <v>imp</v>
      </c>
      <c r="M1783" t="str">
        <f t="shared" ca="1" si="269"/>
        <v>RSA</v>
      </c>
      <c r="N1783">
        <f t="shared" ca="1" si="270"/>
        <v>1.9196086636814371E-6</v>
      </c>
    </row>
    <row r="1784" spans="6:14" x14ac:dyDescent="0.35">
      <c r="F1784">
        <f t="shared" si="278"/>
        <v>27</v>
      </c>
      <c r="G1784">
        <f t="shared" si="274"/>
        <v>0</v>
      </c>
      <c r="H1784">
        <f t="shared" si="275"/>
        <v>0</v>
      </c>
      <c r="K1784" t="str">
        <f t="shared" ca="1" si="271"/>
        <v>AG</v>
      </c>
      <c r="L1784" t="str">
        <f t="shared" ca="1" si="272"/>
        <v>dom</v>
      </c>
      <c r="M1784" t="str">
        <f t="shared" ca="1" si="269"/>
        <v>OBS</v>
      </c>
      <c r="N1784">
        <f t="shared" ca="1" si="270"/>
        <v>0.74452854084380016</v>
      </c>
    </row>
    <row r="1785" spans="6:14" x14ac:dyDescent="0.35">
      <c r="F1785">
        <f t="shared" si="278"/>
        <v>27</v>
      </c>
      <c r="G1785">
        <f t="shared" si="274"/>
        <v>1</v>
      </c>
      <c r="H1785">
        <f t="shared" si="275"/>
        <v>0</v>
      </c>
      <c r="K1785" t="str">
        <f t="shared" ca="1" si="271"/>
        <v>MIN</v>
      </c>
      <c r="L1785" t="str">
        <f t="shared" ca="1" si="272"/>
        <v>dom</v>
      </c>
      <c r="M1785" t="str">
        <f t="shared" ca="1" si="269"/>
        <v>OBS</v>
      </c>
      <c r="N1785">
        <f t="shared" ca="1" si="270"/>
        <v>1.2987683456849117</v>
      </c>
    </row>
    <row r="1786" spans="6:14" x14ac:dyDescent="0.35">
      <c r="F1786">
        <f t="shared" si="278"/>
        <v>27</v>
      </c>
      <c r="G1786">
        <f t="shared" si="274"/>
        <v>2</v>
      </c>
      <c r="H1786">
        <f t="shared" si="275"/>
        <v>0</v>
      </c>
      <c r="K1786" t="str">
        <f t="shared" ca="1" si="271"/>
        <v>FBT</v>
      </c>
      <c r="L1786" t="str">
        <f t="shared" ca="1" si="272"/>
        <v>dom</v>
      </c>
      <c r="M1786" t="str">
        <f t="shared" ca="1" si="269"/>
        <v>OBS</v>
      </c>
      <c r="N1786">
        <f t="shared" ca="1" si="270"/>
        <v>2.1868516752120786</v>
      </c>
    </row>
    <row r="1787" spans="6:14" x14ac:dyDescent="0.35">
      <c r="F1787">
        <f t="shared" si="278"/>
        <v>27</v>
      </c>
      <c r="G1787">
        <f t="shared" si="274"/>
        <v>3</v>
      </c>
      <c r="H1787">
        <f t="shared" si="275"/>
        <v>0</v>
      </c>
      <c r="K1787" t="str">
        <f t="shared" ca="1" si="271"/>
        <v>TEX</v>
      </c>
      <c r="L1787" t="str">
        <f t="shared" ca="1" si="272"/>
        <v>dom</v>
      </c>
      <c r="M1787" t="str">
        <f t="shared" ca="1" si="269"/>
        <v>OBS</v>
      </c>
      <c r="N1787">
        <f t="shared" ca="1" si="270"/>
        <v>11.390988977372109</v>
      </c>
    </row>
    <row r="1788" spans="6:14" x14ac:dyDescent="0.35">
      <c r="F1788">
        <f t="shared" si="278"/>
        <v>27</v>
      </c>
      <c r="G1788">
        <f t="shared" si="274"/>
        <v>4</v>
      </c>
      <c r="H1788">
        <f t="shared" si="275"/>
        <v>0</v>
      </c>
      <c r="K1788" t="str">
        <f t="shared" ca="1" si="271"/>
        <v>LEATHER</v>
      </c>
      <c r="L1788" t="str">
        <f t="shared" ca="1" si="272"/>
        <v>dom</v>
      </c>
      <c r="M1788" t="str">
        <f t="shared" ca="1" si="269"/>
        <v>OBS</v>
      </c>
      <c r="N1788">
        <f t="shared" ca="1" si="270"/>
        <v>8.0828386237216082E-2</v>
      </c>
    </row>
    <row r="1789" spans="6:14" x14ac:dyDescent="0.35">
      <c r="F1789">
        <f t="shared" si="278"/>
        <v>27</v>
      </c>
      <c r="G1789">
        <f t="shared" si="274"/>
        <v>5</v>
      </c>
      <c r="H1789">
        <f t="shared" si="275"/>
        <v>0</v>
      </c>
      <c r="K1789" t="str">
        <f t="shared" ca="1" si="271"/>
        <v>WOOD</v>
      </c>
      <c r="L1789" t="str">
        <f t="shared" ca="1" si="272"/>
        <v>dom</v>
      </c>
      <c r="M1789" t="str">
        <f t="shared" ca="1" si="269"/>
        <v>OBS</v>
      </c>
      <c r="N1789">
        <f t="shared" ca="1" si="270"/>
        <v>0.49757292164482803</v>
      </c>
    </row>
    <row r="1790" spans="6:14" x14ac:dyDescent="0.35">
      <c r="F1790">
        <f t="shared" si="278"/>
        <v>27</v>
      </c>
      <c r="G1790">
        <f t="shared" si="274"/>
        <v>6</v>
      </c>
      <c r="H1790">
        <f t="shared" si="275"/>
        <v>0</v>
      </c>
      <c r="K1790" t="str">
        <f t="shared" ca="1" si="271"/>
        <v>PPP</v>
      </c>
      <c r="L1790" t="str">
        <f t="shared" ca="1" si="272"/>
        <v>dom</v>
      </c>
      <c r="M1790" t="str">
        <f t="shared" ca="1" si="269"/>
        <v>OBS</v>
      </c>
      <c r="N1790">
        <f t="shared" ca="1" si="270"/>
        <v>9.9592104979835092</v>
      </c>
    </row>
    <row r="1791" spans="6:14" x14ac:dyDescent="0.35">
      <c r="F1791">
        <f t="shared" si="278"/>
        <v>27</v>
      </c>
      <c r="G1791">
        <f t="shared" si="274"/>
        <v>7</v>
      </c>
      <c r="H1791">
        <f t="shared" si="275"/>
        <v>0</v>
      </c>
      <c r="K1791" t="str">
        <f t="shared" ca="1" si="271"/>
        <v>PC</v>
      </c>
      <c r="L1791" t="str">
        <f t="shared" ca="1" si="272"/>
        <v>dom</v>
      </c>
      <c r="M1791" t="str">
        <f t="shared" ca="1" si="269"/>
        <v>OBS</v>
      </c>
      <c r="N1791">
        <f t="shared" ca="1" si="270"/>
        <v>1.5175918633641878</v>
      </c>
    </row>
    <row r="1792" spans="6:14" x14ac:dyDescent="0.35">
      <c r="F1792">
        <f t="shared" si="278"/>
        <v>27</v>
      </c>
      <c r="G1792">
        <f t="shared" si="274"/>
        <v>8</v>
      </c>
      <c r="H1792">
        <f t="shared" si="275"/>
        <v>0</v>
      </c>
      <c r="K1792" t="str">
        <f t="shared" ca="1" si="271"/>
        <v>CHM</v>
      </c>
      <c r="L1792" t="str">
        <f t="shared" ca="1" si="272"/>
        <v>dom</v>
      </c>
      <c r="M1792" t="str">
        <f t="shared" ca="1" si="269"/>
        <v>OBS</v>
      </c>
      <c r="N1792">
        <f t="shared" ca="1" si="270"/>
        <v>9.4503489829027583</v>
      </c>
    </row>
    <row r="1793" spans="6:14" x14ac:dyDescent="0.35">
      <c r="F1793">
        <f t="shared" si="278"/>
        <v>27</v>
      </c>
      <c r="G1793">
        <f t="shared" si="274"/>
        <v>9</v>
      </c>
      <c r="H1793">
        <f t="shared" si="275"/>
        <v>0</v>
      </c>
      <c r="K1793" t="str">
        <f t="shared" ca="1" si="271"/>
        <v>RUBBER</v>
      </c>
      <c r="L1793" t="str">
        <f t="shared" ca="1" si="272"/>
        <v>dom</v>
      </c>
      <c r="M1793" t="str">
        <f t="shared" ca="1" si="269"/>
        <v>OBS</v>
      </c>
      <c r="N1793">
        <f t="shared" ca="1" si="270"/>
        <v>14.793609428997172</v>
      </c>
    </row>
    <row r="1794" spans="6:14" x14ac:dyDescent="0.35">
      <c r="F1794">
        <f t="shared" si="278"/>
        <v>27</v>
      </c>
      <c r="G1794">
        <f t="shared" si="274"/>
        <v>10</v>
      </c>
      <c r="H1794">
        <f t="shared" si="275"/>
        <v>0</v>
      </c>
      <c r="K1794" t="str">
        <f t="shared" ca="1" si="271"/>
        <v>NMM</v>
      </c>
      <c r="L1794" t="str">
        <f t="shared" ca="1" si="272"/>
        <v>dom</v>
      </c>
      <c r="M1794" t="str">
        <f t="shared" ref="M1794:M1857" ca="1" si="279">OFFSET(A$2,F1794,0)</f>
        <v>OBS</v>
      </c>
      <c r="N1794">
        <f t="shared" ref="N1794:N1857" ca="1" si="280">SUMIFS(C:C,A:A,K1794,B:B,L1794)*SUMIFS(U:U,S:S,M1794)</f>
        <v>13.704440408371729</v>
      </c>
    </row>
    <row r="1795" spans="6:14" x14ac:dyDescent="0.35">
      <c r="F1795">
        <f t="shared" si="278"/>
        <v>27</v>
      </c>
      <c r="G1795">
        <f t="shared" si="274"/>
        <v>11</v>
      </c>
      <c r="H1795">
        <f t="shared" si="275"/>
        <v>0</v>
      </c>
      <c r="K1795" t="str">
        <f t="shared" ref="K1795:K1858" ca="1" si="281">OFFSET(A$2,G1795,0)</f>
        <v>METAL</v>
      </c>
      <c r="L1795" t="str">
        <f t="shared" ref="L1795:L1858" ca="1" si="282">OFFSET($V$3,H1795,0)</f>
        <v>dom</v>
      </c>
      <c r="M1795" t="str">
        <f t="shared" ca="1" si="279"/>
        <v>OBS</v>
      </c>
      <c r="N1795">
        <f t="shared" ca="1" si="280"/>
        <v>40.083116705651022</v>
      </c>
    </row>
    <row r="1796" spans="6:14" x14ac:dyDescent="0.35">
      <c r="F1796">
        <f t="shared" si="278"/>
        <v>27</v>
      </c>
      <c r="G1796">
        <f t="shared" si="274"/>
        <v>12</v>
      </c>
      <c r="H1796">
        <f t="shared" si="275"/>
        <v>0</v>
      </c>
      <c r="K1796" t="str">
        <f t="shared" ca="1" si="281"/>
        <v>MACH</v>
      </c>
      <c r="L1796" t="str">
        <f t="shared" ca="1" si="282"/>
        <v>dom</v>
      </c>
      <c r="M1796" t="str">
        <f t="shared" ca="1" si="279"/>
        <v>OBS</v>
      </c>
      <c r="N1796">
        <f t="shared" ca="1" si="280"/>
        <v>58.017151522010757</v>
      </c>
    </row>
    <row r="1797" spans="6:14" x14ac:dyDescent="0.35">
      <c r="F1797">
        <f t="shared" ref="F1797:F1812" si="283">F1731+1</f>
        <v>27</v>
      </c>
      <c r="G1797">
        <f t="shared" ref="G1797:G1860" si="284">G1764</f>
        <v>13</v>
      </c>
      <c r="H1797">
        <f t="shared" ref="H1797:H1860" si="285">H1731</f>
        <v>0</v>
      </c>
      <c r="K1797" t="str">
        <f t="shared" ca="1" si="281"/>
        <v>ELEC</v>
      </c>
      <c r="L1797" t="str">
        <f t="shared" ca="1" si="282"/>
        <v>dom</v>
      </c>
      <c r="M1797" t="str">
        <f t="shared" ca="1" si="279"/>
        <v>OBS</v>
      </c>
      <c r="N1797">
        <f t="shared" ca="1" si="280"/>
        <v>12.068827177635416</v>
      </c>
    </row>
    <row r="1798" spans="6:14" x14ac:dyDescent="0.35">
      <c r="F1798">
        <f t="shared" si="283"/>
        <v>27</v>
      </c>
      <c r="G1798">
        <f t="shared" si="284"/>
        <v>14</v>
      </c>
      <c r="H1798">
        <f t="shared" si="285"/>
        <v>0</v>
      </c>
      <c r="K1798" t="str">
        <f t="shared" ca="1" si="281"/>
        <v>TRNEQUIP</v>
      </c>
      <c r="L1798" t="str">
        <f t="shared" ca="1" si="282"/>
        <v>dom</v>
      </c>
      <c r="M1798" t="str">
        <f t="shared" ca="1" si="279"/>
        <v>OBS</v>
      </c>
      <c r="N1798">
        <f t="shared" ca="1" si="280"/>
        <v>17.43351648330162</v>
      </c>
    </row>
    <row r="1799" spans="6:14" x14ac:dyDescent="0.35">
      <c r="F1799">
        <f t="shared" si="283"/>
        <v>27</v>
      </c>
      <c r="G1799">
        <f t="shared" si="284"/>
        <v>15</v>
      </c>
      <c r="H1799">
        <f t="shared" si="285"/>
        <v>0</v>
      </c>
      <c r="K1799" t="str">
        <f t="shared" ca="1" si="281"/>
        <v>ROMAN</v>
      </c>
      <c r="L1799" t="str">
        <f t="shared" ca="1" si="282"/>
        <v>dom</v>
      </c>
      <c r="M1799" t="str">
        <f t="shared" ca="1" si="279"/>
        <v>OBS</v>
      </c>
      <c r="N1799">
        <f t="shared" ca="1" si="280"/>
        <v>47.470333428463924</v>
      </c>
    </row>
    <row r="1800" spans="6:14" x14ac:dyDescent="0.35">
      <c r="F1800">
        <f t="shared" si="283"/>
        <v>27</v>
      </c>
      <c r="G1800">
        <f t="shared" si="284"/>
        <v>16</v>
      </c>
      <c r="H1800">
        <f t="shared" si="285"/>
        <v>0</v>
      </c>
      <c r="K1800" t="str">
        <f t="shared" ca="1" si="281"/>
        <v>ELYGASWTR</v>
      </c>
      <c r="L1800" t="str">
        <f t="shared" ca="1" si="282"/>
        <v>dom</v>
      </c>
      <c r="M1800" t="str">
        <f t="shared" ca="1" si="279"/>
        <v>OBS</v>
      </c>
      <c r="N1800">
        <f t="shared" ca="1" si="280"/>
        <v>1.0832415323090022E-6</v>
      </c>
    </row>
    <row r="1801" spans="6:14" x14ac:dyDescent="0.35">
      <c r="F1801">
        <f t="shared" si="283"/>
        <v>27</v>
      </c>
      <c r="G1801">
        <f t="shared" si="284"/>
        <v>17</v>
      </c>
      <c r="H1801">
        <f t="shared" si="285"/>
        <v>0</v>
      </c>
      <c r="K1801" t="str">
        <f t="shared" ca="1" si="281"/>
        <v>CNS</v>
      </c>
      <c r="L1801" t="str">
        <f t="shared" ca="1" si="282"/>
        <v>dom</v>
      </c>
      <c r="M1801" t="str">
        <f t="shared" ca="1" si="279"/>
        <v>OBS</v>
      </c>
      <c r="N1801">
        <f t="shared" ca="1" si="280"/>
        <v>1576.8904099919187</v>
      </c>
    </row>
    <row r="1802" spans="6:14" x14ac:dyDescent="0.35">
      <c r="F1802">
        <f t="shared" si="283"/>
        <v>27</v>
      </c>
      <c r="G1802">
        <f t="shared" si="284"/>
        <v>18</v>
      </c>
      <c r="H1802">
        <f t="shared" si="285"/>
        <v>0</v>
      </c>
      <c r="K1802" t="str">
        <f t="shared" ca="1" si="281"/>
        <v>TRD</v>
      </c>
      <c r="L1802" t="str">
        <f t="shared" ca="1" si="282"/>
        <v>dom</v>
      </c>
      <c r="M1802" t="str">
        <f t="shared" ca="1" si="279"/>
        <v>OBS</v>
      </c>
      <c r="N1802">
        <f t="shared" ca="1" si="280"/>
        <v>252.1342633370447</v>
      </c>
    </row>
    <row r="1803" spans="6:14" x14ac:dyDescent="0.35">
      <c r="F1803">
        <f t="shared" si="283"/>
        <v>27</v>
      </c>
      <c r="G1803">
        <f t="shared" si="284"/>
        <v>19</v>
      </c>
      <c r="H1803">
        <f t="shared" si="285"/>
        <v>0</v>
      </c>
      <c r="K1803" t="str">
        <f t="shared" ca="1" si="281"/>
        <v>AFS</v>
      </c>
      <c r="L1803" t="str">
        <f t="shared" ca="1" si="282"/>
        <v>dom</v>
      </c>
      <c r="M1803" t="str">
        <f t="shared" ca="1" si="279"/>
        <v>OBS</v>
      </c>
      <c r="N1803">
        <f t="shared" ca="1" si="280"/>
        <v>1.0832415323090022E-6</v>
      </c>
    </row>
    <row r="1804" spans="6:14" x14ac:dyDescent="0.35">
      <c r="F1804">
        <f t="shared" si="283"/>
        <v>27</v>
      </c>
      <c r="G1804">
        <f t="shared" si="284"/>
        <v>20</v>
      </c>
      <c r="H1804">
        <f t="shared" si="285"/>
        <v>0</v>
      </c>
      <c r="K1804" t="str">
        <f t="shared" ca="1" si="281"/>
        <v>OTP</v>
      </c>
      <c r="L1804" t="str">
        <f t="shared" ca="1" si="282"/>
        <v>dom</v>
      </c>
      <c r="M1804" t="str">
        <f t="shared" ca="1" si="279"/>
        <v>OBS</v>
      </c>
      <c r="N1804">
        <f t="shared" ca="1" si="280"/>
        <v>1.0832415323090022E-6</v>
      </c>
    </row>
    <row r="1805" spans="6:14" x14ac:dyDescent="0.35">
      <c r="F1805">
        <f t="shared" si="283"/>
        <v>27</v>
      </c>
      <c r="G1805">
        <f t="shared" si="284"/>
        <v>21</v>
      </c>
      <c r="H1805">
        <f t="shared" si="285"/>
        <v>0</v>
      </c>
      <c r="K1805" t="str">
        <f t="shared" ca="1" si="281"/>
        <v>WTP</v>
      </c>
      <c r="L1805" t="str">
        <f t="shared" ca="1" si="282"/>
        <v>dom</v>
      </c>
      <c r="M1805" t="str">
        <f t="shared" ca="1" si="279"/>
        <v>OBS</v>
      </c>
      <c r="N1805">
        <f t="shared" ca="1" si="280"/>
        <v>1.0832415323090022E-6</v>
      </c>
    </row>
    <row r="1806" spans="6:14" x14ac:dyDescent="0.35">
      <c r="F1806">
        <f t="shared" si="283"/>
        <v>27</v>
      </c>
      <c r="G1806">
        <f t="shared" si="284"/>
        <v>22</v>
      </c>
      <c r="H1806">
        <f t="shared" si="285"/>
        <v>0</v>
      </c>
      <c r="K1806" t="str">
        <f t="shared" ca="1" si="281"/>
        <v>ATP</v>
      </c>
      <c r="L1806" t="str">
        <f t="shared" ca="1" si="282"/>
        <v>dom</v>
      </c>
      <c r="M1806" t="str">
        <f t="shared" ca="1" si="279"/>
        <v>OBS</v>
      </c>
      <c r="N1806">
        <f t="shared" ca="1" si="280"/>
        <v>1.0832415323090022E-6</v>
      </c>
    </row>
    <row r="1807" spans="6:14" x14ac:dyDescent="0.35">
      <c r="F1807">
        <f t="shared" si="283"/>
        <v>27</v>
      </c>
      <c r="G1807">
        <f t="shared" si="284"/>
        <v>23</v>
      </c>
      <c r="H1807">
        <f t="shared" si="285"/>
        <v>0</v>
      </c>
      <c r="K1807" t="str">
        <f t="shared" ca="1" si="281"/>
        <v>WHS</v>
      </c>
      <c r="L1807" t="str">
        <f t="shared" ca="1" si="282"/>
        <v>dom</v>
      </c>
      <c r="M1807" t="str">
        <f t="shared" ca="1" si="279"/>
        <v>OBS</v>
      </c>
      <c r="N1807">
        <f t="shared" ca="1" si="280"/>
        <v>1.0832415323090022E-6</v>
      </c>
    </row>
    <row r="1808" spans="6:14" x14ac:dyDescent="0.35">
      <c r="F1808">
        <f t="shared" si="283"/>
        <v>27</v>
      </c>
      <c r="G1808">
        <f t="shared" si="284"/>
        <v>24</v>
      </c>
      <c r="H1808">
        <f t="shared" si="285"/>
        <v>0</v>
      </c>
      <c r="K1808" t="str">
        <f t="shared" ca="1" si="281"/>
        <v>CMN</v>
      </c>
      <c r="L1808" t="str">
        <f t="shared" ca="1" si="282"/>
        <v>dom</v>
      </c>
      <c r="M1808" t="str">
        <f t="shared" ca="1" si="279"/>
        <v>OBS</v>
      </c>
      <c r="N1808">
        <f t="shared" ca="1" si="280"/>
        <v>1.0832415323090022E-6</v>
      </c>
    </row>
    <row r="1809" spans="6:14" x14ac:dyDescent="0.35">
      <c r="F1809">
        <f t="shared" si="283"/>
        <v>27</v>
      </c>
      <c r="G1809">
        <f t="shared" si="284"/>
        <v>25</v>
      </c>
      <c r="H1809">
        <f t="shared" si="285"/>
        <v>0</v>
      </c>
      <c r="K1809" t="str">
        <f t="shared" ca="1" si="281"/>
        <v>OFI</v>
      </c>
      <c r="L1809" t="str">
        <f t="shared" ca="1" si="282"/>
        <v>dom</v>
      </c>
      <c r="M1809" t="str">
        <f t="shared" ca="1" si="279"/>
        <v>OBS</v>
      </c>
      <c r="N1809">
        <f t="shared" ca="1" si="280"/>
        <v>1.0832415323090022E-6</v>
      </c>
    </row>
    <row r="1810" spans="6:14" x14ac:dyDescent="0.35">
      <c r="F1810">
        <f t="shared" si="283"/>
        <v>27</v>
      </c>
      <c r="G1810">
        <f t="shared" si="284"/>
        <v>26</v>
      </c>
      <c r="H1810">
        <f t="shared" si="285"/>
        <v>0</v>
      </c>
      <c r="K1810" t="str">
        <f t="shared" ca="1" si="281"/>
        <v>RSA</v>
      </c>
      <c r="L1810" t="str">
        <f t="shared" ca="1" si="282"/>
        <v>dom</v>
      </c>
      <c r="M1810" t="str">
        <f t="shared" ca="1" si="279"/>
        <v>OBS</v>
      </c>
      <c r="N1810">
        <f t="shared" ca="1" si="280"/>
        <v>1.0832415323090022E-6</v>
      </c>
    </row>
    <row r="1811" spans="6:14" x14ac:dyDescent="0.35">
      <c r="F1811">
        <f t="shared" si="283"/>
        <v>27</v>
      </c>
      <c r="G1811">
        <f t="shared" si="284"/>
        <v>27</v>
      </c>
      <c r="H1811">
        <f t="shared" si="285"/>
        <v>0</v>
      </c>
      <c r="K1811" t="str">
        <f t="shared" ca="1" si="281"/>
        <v>OBS</v>
      </c>
      <c r="L1811" t="str">
        <f t="shared" ca="1" si="282"/>
        <v>dom</v>
      </c>
      <c r="M1811" t="str">
        <f t="shared" ca="1" si="279"/>
        <v>OBS</v>
      </c>
      <c r="N1811">
        <f t="shared" ca="1" si="280"/>
        <v>1.0832415323090022E-6</v>
      </c>
    </row>
    <row r="1812" spans="6:14" x14ac:dyDescent="0.35">
      <c r="F1812">
        <f t="shared" si="283"/>
        <v>27</v>
      </c>
      <c r="G1812">
        <f t="shared" si="284"/>
        <v>28</v>
      </c>
      <c r="H1812">
        <f t="shared" si="285"/>
        <v>0</v>
      </c>
      <c r="K1812" t="str">
        <f t="shared" ca="1" si="281"/>
        <v>GOV</v>
      </c>
      <c r="L1812" t="str">
        <f t="shared" ca="1" si="282"/>
        <v>dom</v>
      </c>
      <c r="M1812" t="str">
        <f t="shared" ca="1" si="279"/>
        <v>OBS</v>
      </c>
      <c r="N1812">
        <f t="shared" ca="1" si="280"/>
        <v>1.0832415323090022E-6</v>
      </c>
    </row>
    <row r="1813" spans="6:14" x14ac:dyDescent="0.35">
      <c r="F1813">
        <f t="shared" ref="F1813:F1828" si="286">F1747+1</f>
        <v>27</v>
      </c>
      <c r="G1813">
        <f t="shared" si="284"/>
        <v>29</v>
      </c>
      <c r="H1813">
        <f t="shared" si="285"/>
        <v>0</v>
      </c>
      <c r="K1813" t="str">
        <f t="shared" ca="1" si="281"/>
        <v>EDU</v>
      </c>
      <c r="L1813" t="str">
        <f t="shared" ca="1" si="282"/>
        <v>dom</v>
      </c>
      <c r="M1813" t="str">
        <f t="shared" ca="1" si="279"/>
        <v>OBS</v>
      </c>
      <c r="N1813">
        <f t="shared" ca="1" si="280"/>
        <v>1.0832415323090022E-6</v>
      </c>
    </row>
    <row r="1814" spans="6:14" x14ac:dyDescent="0.35">
      <c r="F1814">
        <f t="shared" si="286"/>
        <v>27</v>
      </c>
      <c r="G1814">
        <f t="shared" si="284"/>
        <v>30</v>
      </c>
      <c r="H1814">
        <f t="shared" si="285"/>
        <v>0</v>
      </c>
      <c r="K1814" t="str">
        <f t="shared" ca="1" si="281"/>
        <v>HHT</v>
      </c>
      <c r="L1814" t="str">
        <f t="shared" ca="1" si="282"/>
        <v>dom</v>
      </c>
      <c r="M1814" t="str">
        <f t="shared" ca="1" si="279"/>
        <v>OBS</v>
      </c>
      <c r="N1814">
        <f t="shared" ca="1" si="280"/>
        <v>1.0832415323090022E-6</v>
      </c>
    </row>
    <row r="1815" spans="6:14" x14ac:dyDescent="0.35">
      <c r="F1815">
        <f t="shared" si="286"/>
        <v>27</v>
      </c>
      <c r="G1815">
        <f t="shared" si="284"/>
        <v>31</v>
      </c>
      <c r="H1815">
        <f t="shared" si="285"/>
        <v>0</v>
      </c>
      <c r="K1815" t="str">
        <f t="shared" ca="1" si="281"/>
        <v>REC</v>
      </c>
      <c r="L1815" t="str">
        <f t="shared" ca="1" si="282"/>
        <v>dom</v>
      </c>
      <c r="M1815" t="str">
        <f t="shared" ca="1" si="279"/>
        <v>OBS</v>
      </c>
      <c r="N1815">
        <f t="shared" ca="1" si="280"/>
        <v>1.0832415323090022E-6</v>
      </c>
    </row>
    <row r="1816" spans="6:14" x14ac:dyDescent="0.35">
      <c r="F1816">
        <f t="shared" si="286"/>
        <v>27</v>
      </c>
      <c r="G1816">
        <f t="shared" si="284"/>
        <v>32</v>
      </c>
      <c r="H1816">
        <f t="shared" si="285"/>
        <v>0</v>
      </c>
      <c r="K1816" t="str">
        <f t="shared" ca="1" si="281"/>
        <v>DWE</v>
      </c>
      <c r="L1816" t="str">
        <f t="shared" ca="1" si="282"/>
        <v>dom</v>
      </c>
      <c r="M1816" t="str">
        <f t="shared" ca="1" si="279"/>
        <v>OBS</v>
      </c>
      <c r="N1816">
        <f t="shared" ca="1" si="280"/>
        <v>1.0832415323090022E-6</v>
      </c>
    </row>
    <row r="1817" spans="6:14" x14ac:dyDescent="0.35">
      <c r="F1817">
        <f t="shared" si="286"/>
        <v>27</v>
      </c>
      <c r="G1817">
        <f t="shared" si="284"/>
        <v>0</v>
      </c>
      <c r="H1817">
        <f t="shared" si="285"/>
        <v>1</v>
      </c>
      <c r="K1817" t="str">
        <f t="shared" ca="1" si="281"/>
        <v>AG</v>
      </c>
      <c r="L1817" t="str">
        <f t="shared" ca="1" si="282"/>
        <v>imp</v>
      </c>
      <c r="M1817" t="str">
        <f t="shared" ca="1" si="279"/>
        <v>OBS</v>
      </c>
      <c r="N1817">
        <f t="shared" ca="1" si="280"/>
        <v>10.021960051649609</v>
      </c>
    </row>
    <row r="1818" spans="6:14" x14ac:dyDescent="0.35">
      <c r="F1818">
        <f t="shared" si="286"/>
        <v>27</v>
      </c>
      <c r="G1818">
        <f t="shared" si="284"/>
        <v>1</v>
      </c>
      <c r="H1818">
        <f t="shared" si="285"/>
        <v>1</v>
      </c>
      <c r="K1818" t="str">
        <f t="shared" ca="1" si="281"/>
        <v>MIN</v>
      </c>
      <c r="L1818" t="str">
        <f t="shared" ca="1" si="282"/>
        <v>imp</v>
      </c>
      <c r="M1818" t="str">
        <f t="shared" ca="1" si="279"/>
        <v>OBS</v>
      </c>
      <c r="N1818">
        <f t="shared" ca="1" si="280"/>
        <v>15.810961775297486</v>
      </c>
    </row>
    <row r="1819" spans="6:14" x14ac:dyDescent="0.35">
      <c r="F1819">
        <f t="shared" si="286"/>
        <v>27</v>
      </c>
      <c r="G1819">
        <f t="shared" si="284"/>
        <v>2</v>
      </c>
      <c r="H1819">
        <f t="shared" si="285"/>
        <v>1</v>
      </c>
      <c r="K1819" t="str">
        <f t="shared" ca="1" si="281"/>
        <v>FBT</v>
      </c>
      <c r="L1819" t="str">
        <f t="shared" ca="1" si="282"/>
        <v>imp</v>
      </c>
      <c r="M1819" t="str">
        <f t="shared" ca="1" si="279"/>
        <v>OBS</v>
      </c>
      <c r="N1819">
        <f t="shared" ca="1" si="280"/>
        <v>3.9563876098682251</v>
      </c>
    </row>
    <row r="1820" spans="6:14" x14ac:dyDescent="0.35">
      <c r="F1820">
        <f t="shared" si="286"/>
        <v>27</v>
      </c>
      <c r="G1820">
        <f t="shared" si="284"/>
        <v>3</v>
      </c>
      <c r="H1820">
        <f t="shared" si="285"/>
        <v>1</v>
      </c>
      <c r="K1820" t="str">
        <f t="shared" ca="1" si="281"/>
        <v>TEX</v>
      </c>
      <c r="L1820" t="str">
        <f t="shared" ca="1" si="282"/>
        <v>imp</v>
      </c>
      <c r="M1820" t="str">
        <f t="shared" ca="1" si="279"/>
        <v>OBS</v>
      </c>
      <c r="N1820">
        <f t="shared" ca="1" si="280"/>
        <v>77.640213442837009</v>
      </c>
    </row>
    <row r="1821" spans="6:14" x14ac:dyDescent="0.35">
      <c r="F1821">
        <f t="shared" si="286"/>
        <v>27</v>
      </c>
      <c r="G1821">
        <f t="shared" si="284"/>
        <v>4</v>
      </c>
      <c r="H1821">
        <f t="shared" si="285"/>
        <v>1</v>
      </c>
      <c r="K1821" t="str">
        <f t="shared" ca="1" si="281"/>
        <v>LEATHER</v>
      </c>
      <c r="L1821" t="str">
        <f t="shared" ca="1" si="282"/>
        <v>imp</v>
      </c>
      <c r="M1821" t="str">
        <f t="shared" ca="1" si="279"/>
        <v>OBS</v>
      </c>
      <c r="N1821">
        <f t="shared" ca="1" si="280"/>
        <v>40.463709513228842</v>
      </c>
    </row>
    <row r="1822" spans="6:14" x14ac:dyDescent="0.35">
      <c r="F1822">
        <f t="shared" si="286"/>
        <v>27</v>
      </c>
      <c r="G1822">
        <f t="shared" si="284"/>
        <v>5</v>
      </c>
      <c r="H1822">
        <f t="shared" si="285"/>
        <v>1</v>
      </c>
      <c r="K1822" t="str">
        <f t="shared" ca="1" si="281"/>
        <v>WOOD</v>
      </c>
      <c r="L1822" t="str">
        <f t="shared" ca="1" si="282"/>
        <v>imp</v>
      </c>
      <c r="M1822" t="str">
        <f t="shared" ca="1" si="279"/>
        <v>OBS</v>
      </c>
      <c r="N1822">
        <f t="shared" ca="1" si="280"/>
        <v>0.72427079125288063</v>
      </c>
    </row>
    <row r="1823" spans="6:14" x14ac:dyDescent="0.35">
      <c r="F1823">
        <f t="shared" si="286"/>
        <v>27</v>
      </c>
      <c r="G1823">
        <f t="shared" si="284"/>
        <v>6</v>
      </c>
      <c r="H1823">
        <f t="shared" si="285"/>
        <v>1</v>
      </c>
      <c r="K1823" t="str">
        <f t="shared" ca="1" si="281"/>
        <v>PPP</v>
      </c>
      <c r="L1823" t="str">
        <f t="shared" ca="1" si="282"/>
        <v>imp</v>
      </c>
      <c r="M1823" t="str">
        <f t="shared" ca="1" si="279"/>
        <v>OBS</v>
      </c>
      <c r="N1823">
        <f t="shared" ca="1" si="280"/>
        <v>10.42942631260374</v>
      </c>
    </row>
    <row r="1824" spans="6:14" x14ac:dyDescent="0.35">
      <c r="F1824">
        <f t="shared" si="286"/>
        <v>27</v>
      </c>
      <c r="G1824">
        <f t="shared" si="284"/>
        <v>7</v>
      </c>
      <c r="H1824">
        <f t="shared" si="285"/>
        <v>1</v>
      </c>
      <c r="K1824" t="str">
        <f t="shared" ca="1" si="281"/>
        <v>PC</v>
      </c>
      <c r="L1824" t="str">
        <f t="shared" ca="1" si="282"/>
        <v>imp</v>
      </c>
      <c r="M1824" t="str">
        <f t="shared" ca="1" si="279"/>
        <v>OBS</v>
      </c>
      <c r="N1824">
        <f t="shared" ca="1" si="280"/>
        <v>2.6262521841292221</v>
      </c>
    </row>
    <row r="1825" spans="6:14" x14ac:dyDescent="0.35">
      <c r="F1825">
        <f t="shared" si="286"/>
        <v>27</v>
      </c>
      <c r="G1825">
        <f t="shared" si="284"/>
        <v>8</v>
      </c>
      <c r="H1825">
        <f t="shared" si="285"/>
        <v>1</v>
      </c>
      <c r="K1825" t="str">
        <f t="shared" ca="1" si="281"/>
        <v>CHM</v>
      </c>
      <c r="L1825" t="str">
        <f t="shared" ca="1" si="282"/>
        <v>imp</v>
      </c>
      <c r="M1825" t="str">
        <f t="shared" ca="1" si="279"/>
        <v>OBS</v>
      </c>
      <c r="N1825">
        <f t="shared" ca="1" si="280"/>
        <v>36.001532376852381</v>
      </c>
    </row>
    <row r="1826" spans="6:14" x14ac:dyDescent="0.35">
      <c r="F1826">
        <f t="shared" si="286"/>
        <v>27</v>
      </c>
      <c r="G1826">
        <f t="shared" si="284"/>
        <v>9</v>
      </c>
      <c r="H1826">
        <f t="shared" si="285"/>
        <v>1</v>
      </c>
      <c r="K1826" t="str">
        <f t="shared" ca="1" si="281"/>
        <v>RUBBER</v>
      </c>
      <c r="L1826" t="str">
        <f t="shared" ca="1" si="282"/>
        <v>imp</v>
      </c>
      <c r="M1826" t="str">
        <f t="shared" ca="1" si="279"/>
        <v>OBS</v>
      </c>
      <c r="N1826">
        <f t="shared" ca="1" si="280"/>
        <v>27.572388699628242</v>
      </c>
    </row>
    <row r="1827" spans="6:14" x14ac:dyDescent="0.35">
      <c r="F1827">
        <f t="shared" si="286"/>
        <v>27</v>
      </c>
      <c r="G1827">
        <f t="shared" si="284"/>
        <v>10</v>
      </c>
      <c r="H1827">
        <f t="shared" si="285"/>
        <v>1</v>
      </c>
      <c r="K1827" t="str">
        <f t="shared" ca="1" si="281"/>
        <v>NMM</v>
      </c>
      <c r="L1827" t="str">
        <f t="shared" ca="1" si="282"/>
        <v>imp</v>
      </c>
      <c r="M1827" t="str">
        <f t="shared" ca="1" si="279"/>
        <v>OBS</v>
      </c>
      <c r="N1827">
        <f t="shared" ca="1" si="280"/>
        <v>10.408228671672139</v>
      </c>
    </row>
    <row r="1828" spans="6:14" x14ac:dyDescent="0.35">
      <c r="F1828">
        <f t="shared" si="286"/>
        <v>27</v>
      </c>
      <c r="G1828">
        <f t="shared" si="284"/>
        <v>11</v>
      </c>
      <c r="H1828">
        <f t="shared" si="285"/>
        <v>1</v>
      </c>
      <c r="K1828" t="str">
        <f t="shared" ca="1" si="281"/>
        <v>METAL</v>
      </c>
      <c r="L1828" t="str">
        <f t="shared" ca="1" si="282"/>
        <v>imp</v>
      </c>
      <c r="M1828" t="str">
        <f t="shared" ca="1" si="279"/>
        <v>OBS</v>
      </c>
      <c r="N1828">
        <f t="shared" ca="1" si="280"/>
        <v>130.28123192625827</v>
      </c>
    </row>
    <row r="1829" spans="6:14" x14ac:dyDescent="0.35">
      <c r="F1829">
        <f t="shared" ref="F1829:F1844" si="287">F1763+1</f>
        <v>27</v>
      </c>
      <c r="G1829">
        <f t="shared" si="284"/>
        <v>12</v>
      </c>
      <c r="H1829">
        <f t="shared" si="285"/>
        <v>1</v>
      </c>
      <c r="K1829" t="str">
        <f t="shared" ca="1" si="281"/>
        <v>MACH</v>
      </c>
      <c r="L1829" t="str">
        <f t="shared" ca="1" si="282"/>
        <v>imp</v>
      </c>
      <c r="M1829" t="str">
        <f t="shared" ca="1" si="279"/>
        <v>OBS</v>
      </c>
      <c r="N1829">
        <f t="shared" ca="1" si="280"/>
        <v>499.07767925833167</v>
      </c>
    </row>
    <row r="1830" spans="6:14" x14ac:dyDescent="0.35">
      <c r="F1830">
        <f t="shared" si="287"/>
        <v>27</v>
      </c>
      <c r="G1830">
        <f t="shared" si="284"/>
        <v>13</v>
      </c>
      <c r="H1830">
        <f t="shared" si="285"/>
        <v>1</v>
      </c>
      <c r="K1830" t="str">
        <f t="shared" ca="1" si="281"/>
        <v>ELEC</v>
      </c>
      <c r="L1830" t="str">
        <f t="shared" ca="1" si="282"/>
        <v>imp</v>
      </c>
      <c r="M1830" t="str">
        <f t="shared" ca="1" si="279"/>
        <v>OBS</v>
      </c>
      <c r="N1830">
        <f t="shared" ca="1" si="280"/>
        <v>267.59022774274388</v>
      </c>
    </row>
    <row r="1831" spans="6:14" x14ac:dyDescent="0.35">
      <c r="F1831">
        <f t="shared" si="287"/>
        <v>27</v>
      </c>
      <c r="G1831">
        <f t="shared" si="284"/>
        <v>14</v>
      </c>
      <c r="H1831">
        <f t="shared" si="285"/>
        <v>1</v>
      </c>
      <c r="K1831" t="str">
        <f t="shared" ca="1" si="281"/>
        <v>TRNEQUIP</v>
      </c>
      <c r="L1831" t="str">
        <f t="shared" ca="1" si="282"/>
        <v>imp</v>
      </c>
      <c r="M1831" t="str">
        <f t="shared" ca="1" si="279"/>
        <v>OBS</v>
      </c>
      <c r="N1831">
        <f t="shared" ca="1" si="280"/>
        <v>427.04390514103835</v>
      </c>
    </row>
    <row r="1832" spans="6:14" x14ac:dyDescent="0.35">
      <c r="F1832">
        <f t="shared" si="287"/>
        <v>27</v>
      </c>
      <c r="G1832">
        <f t="shared" si="284"/>
        <v>15</v>
      </c>
      <c r="H1832">
        <f t="shared" si="285"/>
        <v>1</v>
      </c>
      <c r="K1832" t="str">
        <f t="shared" ca="1" si="281"/>
        <v>ROMAN</v>
      </c>
      <c r="L1832" t="str">
        <f t="shared" ca="1" si="282"/>
        <v>imp</v>
      </c>
      <c r="M1832" t="str">
        <f t="shared" ca="1" si="279"/>
        <v>OBS</v>
      </c>
      <c r="N1832">
        <f t="shared" ca="1" si="280"/>
        <v>162.03526326798445</v>
      </c>
    </row>
    <row r="1833" spans="6:14" x14ac:dyDescent="0.35">
      <c r="F1833">
        <f t="shared" si="287"/>
        <v>27</v>
      </c>
      <c r="G1833">
        <f t="shared" si="284"/>
        <v>16</v>
      </c>
      <c r="H1833">
        <f t="shared" si="285"/>
        <v>1</v>
      </c>
      <c r="K1833" t="str">
        <f t="shared" ca="1" si="281"/>
        <v>ELYGASWTR</v>
      </c>
      <c r="L1833" t="str">
        <f t="shared" ca="1" si="282"/>
        <v>imp</v>
      </c>
      <c r="M1833" t="str">
        <f t="shared" ca="1" si="279"/>
        <v>OBS</v>
      </c>
      <c r="N1833">
        <f t="shared" ca="1" si="280"/>
        <v>1.0832415323090022E-6</v>
      </c>
    </row>
    <row r="1834" spans="6:14" x14ac:dyDescent="0.35">
      <c r="F1834">
        <f t="shared" si="287"/>
        <v>27</v>
      </c>
      <c r="G1834">
        <f t="shared" si="284"/>
        <v>17</v>
      </c>
      <c r="H1834">
        <f t="shared" si="285"/>
        <v>1</v>
      </c>
      <c r="K1834" t="str">
        <f t="shared" ca="1" si="281"/>
        <v>CNS</v>
      </c>
      <c r="L1834" t="str">
        <f t="shared" ca="1" si="282"/>
        <v>imp</v>
      </c>
      <c r="M1834" t="str">
        <f t="shared" ca="1" si="279"/>
        <v>OBS</v>
      </c>
      <c r="N1834">
        <f t="shared" ca="1" si="280"/>
        <v>31.719336625134616</v>
      </c>
    </row>
    <row r="1835" spans="6:14" x14ac:dyDescent="0.35">
      <c r="F1835">
        <f t="shared" si="287"/>
        <v>27</v>
      </c>
      <c r="G1835">
        <f t="shared" si="284"/>
        <v>18</v>
      </c>
      <c r="H1835">
        <f t="shared" si="285"/>
        <v>1</v>
      </c>
      <c r="K1835" t="str">
        <f t="shared" ca="1" si="281"/>
        <v>TRD</v>
      </c>
      <c r="L1835" t="str">
        <f t="shared" ca="1" si="282"/>
        <v>imp</v>
      </c>
      <c r="M1835" t="str">
        <f t="shared" ca="1" si="279"/>
        <v>OBS</v>
      </c>
      <c r="N1835">
        <f t="shared" ca="1" si="280"/>
        <v>2.7752276614222313</v>
      </c>
    </row>
    <row r="1836" spans="6:14" x14ac:dyDescent="0.35">
      <c r="F1836">
        <f t="shared" si="287"/>
        <v>27</v>
      </c>
      <c r="G1836">
        <f t="shared" si="284"/>
        <v>19</v>
      </c>
      <c r="H1836">
        <f t="shared" si="285"/>
        <v>1</v>
      </c>
      <c r="K1836" t="str">
        <f t="shared" ca="1" si="281"/>
        <v>AFS</v>
      </c>
      <c r="L1836" t="str">
        <f t="shared" ca="1" si="282"/>
        <v>imp</v>
      </c>
      <c r="M1836" t="str">
        <f t="shared" ca="1" si="279"/>
        <v>OBS</v>
      </c>
      <c r="N1836">
        <f t="shared" ca="1" si="280"/>
        <v>1.0832415323090022E-6</v>
      </c>
    </row>
    <row r="1837" spans="6:14" x14ac:dyDescent="0.35">
      <c r="F1837">
        <f t="shared" si="287"/>
        <v>27</v>
      </c>
      <c r="G1837">
        <f t="shared" si="284"/>
        <v>20</v>
      </c>
      <c r="H1837">
        <f t="shared" si="285"/>
        <v>1</v>
      </c>
      <c r="K1837" t="str">
        <f t="shared" ca="1" si="281"/>
        <v>OTP</v>
      </c>
      <c r="L1837" t="str">
        <f t="shared" ca="1" si="282"/>
        <v>imp</v>
      </c>
      <c r="M1837" t="str">
        <f t="shared" ca="1" si="279"/>
        <v>OBS</v>
      </c>
      <c r="N1837">
        <f t="shared" ca="1" si="280"/>
        <v>1.0832415323090022E-6</v>
      </c>
    </row>
    <row r="1838" spans="6:14" x14ac:dyDescent="0.35">
      <c r="F1838">
        <f t="shared" si="287"/>
        <v>27</v>
      </c>
      <c r="G1838">
        <f t="shared" si="284"/>
        <v>21</v>
      </c>
      <c r="H1838">
        <f t="shared" si="285"/>
        <v>1</v>
      </c>
      <c r="K1838" t="str">
        <f t="shared" ca="1" si="281"/>
        <v>WTP</v>
      </c>
      <c r="L1838" t="str">
        <f t="shared" ca="1" si="282"/>
        <v>imp</v>
      </c>
      <c r="M1838" t="str">
        <f t="shared" ca="1" si="279"/>
        <v>OBS</v>
      </c>
      <c r="N1838">
        <f t="shared" ca="1" si="280"/>
        <v>1.0832415323090022E-6</v>
      </c>
    </row>
    <row r="1839" spans="6:14" x14ac:dyDescent="0.35">
      <c r="F1839">
        <f t="shared" si="287"/>
        <v>27</v>
      </c>
      <c r="G1839">
        <f t="shared" si="284"/>
        <v>22</v>
      </c>
      <c r="H1839">
        <f t="shared" si="285"/>
        <v>1</v>
      </c>
      <c r="K1839" t="str">
        <f t="shared" ca="1" si="281"/>
        <v>ATP</v>
      </c>
      <c r="L1839" t="str">
        <f t="shared" ca="1" si="282"/>
        <v>imp</v>
      </c>
      <c r="M1839" t="str">
        <f t="shared" ca="1" si="279"/>
        <v>OBS</v>
      </c>
      <c r="N1839">
        <f t="shared" ca="1" si="280"/>
        <v>1.0832415323090022E-6</v>
      </c>
    </row>
    <row r="1840" spans="6:14" x14ac:dyDescent="0.35">
      <c r="F1840">
        <f t="shared" si="287"/>
        <v>27</v>
      </c>
      <c r="G1840">
        <f t="shared" si="284"/>
        <v>23</v>
      </c>
      <c r="H1840">
        <f t="shared" si="285"/>
        <v>1</v>
      </c>
      <c r="K1840" t="str">
        <f t="shared" ca="1" si="281"/>
        <v>WHS</v>
      </c>
      <c r="L1840" t="str">
        <f t="shared" ca="1" si="282"/>
        <v>imp</v>
      </c>
      <c r="M1840" t="str">
        <f t="shared" ca="1" si="279"/>
        <v>OBS</v>
      </c>
      <c r="N1840">
        <f t="shared" ca="1" si="280"/>
        <v>1.0832415323090022E-6</v>
      </c>
    </row>
    <row r="1841" spans="6:14" x14ac:dyDescent="0.35">
      <c r="F1841">
        <f t="shared" si="287"/>
        <v>27</v>
      </c>
      <c r="G1841">
        <f t="shared" si="284"/>
        <v>24</v>
      </c>
      <c r="H1841">
        <f t="shared" si="285"/>
        <v>1</v>
      </c>
      <c r="K1841" t="str">
        <f t="shared" ca="1" si="281"/>
        <v>CMN</v>
      </c>
      <c r="L1841" t="str">
        <f t="shared" ca="1" si="282"/>
        <v>imp</v>
      </c>
      <c r="M1841" t="str">
        <f t="shared" ca="1" si="279"/>
        <v>OBS</v>
      </c>
      <c r="N1841">
        <f t="shared" ca="1" si="280"/>
        <v>1.0832415323090022E-6</v>
      </c>
    </row>
    <row r="1842" spans="6:14" x14ac:dyDescent="0.35">
      <c r="F1842">
        <f t="shared" si="287"/>
        <v>27</v>
      </c>
      <c r="G1842">
        <f t="shared" si="284"/>
        <v>25</v>
      </c>
      <c r="H1842">
        <f t="shared" si="285"/>
        <v>1</v>
      </c>
      <c r="K1842" t="str">
        <f t="shared" ca="1" si="281"/>
        <v>OFI</v>
      </c>
      <c r="L1842" t="str">
        <f t="shared" ca="1" si="282"/>
        <v>imp</v>
      </c>
      <c r="M1842" t="str">
        <f t="shared" ca="1" si="279"/>
        <v>OBS</v>
      </c>
      <c r="N1842">
        <f t="shared" ca="1" si="280"/>
        <v>1.0832415323090022E-6</v>
      </c>
    </row>
    <row r="1843" spans="6:14" x14ac:dyDescent="0.35">
      <c r="F1843">
        <f t="shared" si="287"/>
        <v>27</v>
      </c>
      <c r="G1843">
        <f t="shared" si="284"/>
        <v>26</v>
      </c>
      <c r="H1843">
        <f t="shared" si="285"/>
        <v>1</v>
      </c>
      <c r="K1843" t="str">
        <f t="shared" ca="1" si="281"/>
        <v>RSA</v>
      </c>
      <c r="L1843" t="str">
        <f t="shared" ca="1" si="282"/>
        <v>imp</v>
      </c>
      <c r="M1843" t="str">
        <f t="shared" ca="1" si="279"/>
        <v>OBS</v>
      </c>
      <c r="N1843">
        <f t="shared" ca="1" si="280"/>
        <v>1.0832415323090022E-6</v>
      </c>
    </row>
    <row r="1844" spans="6:14" x14ac:dyDescent="0.35">
      <c r="F1844">
        <f t="shared" si="287"/>
        <v>27</v>
      </c>
      <c r="G1844">
        <f t="shared" si="284"/>
        <v>27</v>
      </c>
      <c r="H1844">
        <f t="shared" si="285"/>
        <v>1</v>
      </c>
      <c r="K1844" t="str">
        <f t="shared" ca="1" si="281"/>
        <v>OBS</v>
      </c>
      <c r="L1844" t="str">
        <f t="shared" ca="1" si="282"/>
        <v>imp</v>
      </c>
      <c r="M1844" t="str">
        <f t="shared" ca="1" si="279"/>
        <v>OBS</v>
      </c>
      <c r="N1844">
        <f t="shared" ca="1" si="280"/>
        <v>1.0832415323090022E-6</v>
      </c>
    </row>
    <row r="1845" spans="6:14" x14ac:dyDescent="0.35">
      <c r="F1845">
        <f t="shared" ref="F1845:F1860" si="288">F1779+1</f>
        <v>27</v>
      </c>
      <c r="G1845">
        <f t="shared" si="284"/>
        <v>28</v>
      </c>
      <c r="H1845">
        <f t="shared" si="285"/>
        <v>1</v>
      </c>
      <c r="K1845" t="str">
        <f t="shared" ca="1" si="281"/>
        <v>GOV</v>
      </c>
      <c r="L1845" t="str">
        <f t="shared" ca="1" si="282"/>
        <v>imp</v>
      </c>
      <c r="M1845" t="str">
        <f t="shared" ca="1" si="279"/>
        <v>OBS</v>
      </c>
      <c r="N1845">
        <f t="shared" ca="1" si="280"/>
        <v>1.0832415323090022E-6</v>
      </c>
    </row>
    <row r="1846" spans="6:14" x14ac:dyDescent="0.35">
      <c r="F1846">
        <f t="shared" si="288"/>
        <v>27</v>
      </c>
      <c r="G1846">
        <f t="shared" si="284"/>
        <v>29</v>
      </c>
      <c r="H1846">
        <f t="shared" si="285"/>
        <v>1</v>
      </c>
      <c r="K1846" t="str">
        <f t="shared" ca="1" si="281"/>
        <v>EDU</v>
      </c>
      <c r="L1846" t="str">
        <f t="shared" ca="1" si="282"/>
        <v>imp</v>
      </c>
      <c r="M1846" t="str">
        <f t="shared" ca="1" si="279"/>
        <v>OBS</v>
      </c>
      <c r="N1846">
        <f t="shared" ca="1" si="280"/>
        <v>1.0832415323090022E-6</v>
      </c>
    </row>
    <row r="1847" spans="6:14" x14ac:dyDescent="0.35">
      <c r="F1847">
        <f t="shared" si="288"/>
        <v>27</v>
      </c>
      <c r="G1847">
        <f t="shared" si="284"/>
        <v>30</v>
      </c>
      <c r="H1847">
        <f t="shared" si="285"/>
        <v>1</v>
      </c>
      <c r="K1847" t="str">
        <f t="shared" ca="1" si="281"/>
        <v>HHT</v>
      </c>
      <c r="L1847" t="str">
        <f t="shared" ca="1" si="282"/>
        <v>imp</v>
      </c>
      <c r="M1847" t="str">
        <f t="shared" ca="1" si="279"/>
        <v>OBS</v>
      </c>
      <c r="N1847">
        <f t="shared" ca="1" si="280"/>
        <v>1.0832415323090022E-6</v>
      </c>
    </row>
    <row r="1848" spans="6:14" x14ac:dyDescent="0.35">
      <c r="F1848">
        <f t="shared" si="288"/>
        <v>27</v>
      </c>
      <c r="G1848">
        <f t="shared" si="284"/>
        <v>31</v>
      </c>
      <c r="H1848">
        <f t="shared" si="285"/>
        <v>1</v>
      </c>
      <c r="K1848" t="str">
        <f t="shared" ca="1" si="281"/>
        <v>REC</v>
      </c>
      <c r="L1848" t="str">
        <f t="shared" ca="1" si="282"/>
        <v>imp</v>
      </c>
      <c r="M1848" t="str">
        <f t="shared" ca="1" si="279"/>
        <v>OBS</v>
      </c>
      <c r="N1848">
        <f t="shared" ca="1" si="280"/>
        <v>1.0832415323090022E-6</v>
      </c>
    </row>
    <row r="1849" spans="6:14" x14ac:dyDescent="0.35">
      <c r="F1849">
        <f t="shared" si="288"/>
        <v>27</v>
      </c>
      <c r="G1849">
        <f t="shared" si="284"/>
        <v>32</v>
      </c>
      <c r="H1849">
        <f t="shared" si="285"/>
        <v>1</v>
      </c>
      <c r="K1849" t="str">
        <f t="shared" ca="1" si="281"/>
        <v>DWE</v>
      </c>
      <c r="L1849" t="str">
        <f t="shared" ca="1" si="282"/>
        <v>imp</v>
      </c>
      <c r="M1849" t="str">
        <f t="shared" ca="1" si="279"/>
        <v>OBS</v>
      </c>
      <c r="N1849">
        <f t="shared" ca="1" si="280"/>
        <v>1.0832415323090022E-6</v>
      </c>
    </row>
    <row r="1850" spans="6:14" x14ac:dyDescent="0.35">
      <c r="F1850">
        <f t="shared" si="288"/>
        <v>28</v>
      </c>
      <c r="G1850">
        <f t="shared" si="284"/>
        <v>0</v>
      </c>
      <c r="H1850">
        <f t="shared" si="285"/>
        <v>0</v>
      </c>
      <c r="K1850" t="str">
        <f t="shared" ca="1" si="281"/>
        <v>AG</v>
      </c>
      <c r="L1850" t="str">
        <f t="shared" ca="1" si="282"/>
        <v>dom</v>
      </c>
      <c r="M1850" t="str">
        <f t="shared" ca="1" si="279"/>
        <v>GOV</v>
      </c>
      <c r="N1850">
        <f t="shared" ca="1" si="280"/>
        <v>0.81891468832502801</v>
      </c>
    </row>
    <row r="1851" spans="6:14" x14ac:dyDescent="0.35">
      <c r="F1851">
        <f t="shared" si="288"/>
        <v>28</v>
      </c>
      <c r="G1851">
        <f t="shared" si="284"/>
        <v>1</v>
      </c>
      <c r="H1851">
        <f t="shared" si="285"/>
        <v>0</v>
      </c>
      <c r="K1851" t="str">
        <f t="shared" ca="1" si="281"/>
        <v>MIN</v>
      </c>
      <c r="L1851" t="str">
        <f t="shared" ca="1" si="282"/>
        <v>dom</v>
      </c>
      <c r="M1851" t="str">
        <f t="shared" ca="1" si="279"/>
        <v>GOV</v>
      </c>
      <c r="N1851">
        <f t="shared" ca="1" si="280"/>
        <v>1.4285288161117085</v>
      </c>
    </row>
    <row r="1852" spans="6:14" x14ac:dyDescent="0.35">
      <c r="F1852">
        <f t="shared" si="288"/>
        <v>28</v>
      </c>
      <c r="G1852">
        <f t="shared" si="284"/>
        <v>2</v>
      </c>
      <c r="H1852">
        <f t="shared" si="285"/>
        <v>0</v>
      </c>
      <c r="K1852" t="str">
        <f t="shared" ca="1" si="281"/>
        <v>FBT</v>
      </c>
      <c r="L1852" t="str">
        <f t="shared" ca="1" si="282"/>
        <v>dom</v>
      </c>
      <c r="M1852" t="str">
        <f t="shared" ca="1" si="279"/>
        <v>GOV</v>
      </c>
      <c r="N1852">
        <f t="shared" ca="1" si="280"/>
        <v>2.4053409100875265</v>
      </c>
    </row>
    <row r="1853" spans="6:14" x14ac:dyDescent="0.35">
      <c r="F1853">
        <f t="shared" si="288"/>
        <v>28</v>
      </c>
      <c r="G1853">
        <f t="shared" si="284"/>
        <v>3</v>
      </c>
      <c r="H1853">
        <f t="shared" si="285"/>
        <v>0</v>
      </c>
      <c r="K1853" t="str">
        <f t="shared" ca="1" si="281"/>
        <v>TEX</v>
      </c>
      <c r="L1853" t="str">
        <f t="shared" ca="1" si="282"/>
        <v>dom</v>
      </c>
      <c r="M1853" t="str">
        <f t="shared" ca="1" si="279"/>
        <v>GOV</v>
      </c>
      <c r="N1853">
        <f t="shared" ca="1" si="280"/>
        <v>12.529067290753527</v>
      </c>
    </row>
    <row r="1854" spans="6:14" x14ac:dyDescent="0.35">
      <c r="F1854">
        <f t="shared" si="288"/>
        <v>28</v>
      </c>
      <c r="G1854">
        <f t="shared" si="284"/>
        <v>4</v>
      </c>
      <c r="H1854">
        <f t="shared" si="285"/>
        <v>0</v>
      </c>
      <c r="K1854" t="str">
        <f t="shared" ca="1" si="281"/>
        <v>LEATHER</v>
      </c>
      <c r="L1854" t="str">
        <f t="shared" ca="1" si="282"/>
        <v>dom</v>
      </c>
      <c r="M1854" t="str">
        <f t="shared" ca="1" si="279"/>
        <v>GOV</v>
      </c>
      <c r="N1854">
        <f t="shared" ca="1" si="280"/>
        <v>8.8903982979950752E-2</v>
      </c>
    </row>
    <row r="1855" spans="6:14" x14ac:dyDescent="0.35">
      <c r="F1855">
        <f t="shared" si="288"/>
        <v>28</v>
      </c>
      <c r="G1855">
        <f t="shared" si="284"/>
        <v>5</v>
      </c>
      <c r="H1855">
        <f t="shared" si="285"/>
        <v>0</v>
      </c>
      <c r="K1855" t="str">
        <f t="shared" ca="1" si="281"/>
        <v>WOOD</v>
      </c>
      <c r="L1855" t="str">
        <f t="shared" ca="1" si="282"/>
        <v>dom</v>
      </c>
      <c r="M1855" t="str">
        <f t="shared" ca="1" si="279"/>
        <v>GOV</v>
      </c>
      <c r="N1855">
        <f t="shared" ca="1" si="280"/>
        <v>0.54728563338344038</v>
      </c>
    </row>
    <row r="1856" spans="6:14" x14ac:dyDescent="0.35">
      <c r="F1856">
        <f t="shared" si="288"/>
        <v>28</v>
      </c>
      <c r="G1856">
        <f t="shared" si="284"/>
        <v>6</v>
      </c>
      <c r="H1856">
        <f t="shared" si="285"/>
        <v>0</v>
      </c>
      <c r="K1856" t="str">
        <f t="shared" ca="1" si="281"/>
        <v>PPP</v>
      </c>
      <c r="L1856" t="str">
        <f t="shared" ca="1" si="282"/>
        <v>dom</v>
      </c>
      <c r="M1856" t="str">
        <f t="shared" ca="1" si="279"/>
        <v>GOV</v>
      </c>
      <c r="N1856">
        <f t="shared" ca="1" si="280"/>
        <v>10.954239244712261</v>
      </c>
    </row>
    <row r="1857" spans="6:14" x14ac:dyDescent="0.35">
      <c r="F1857">
        <f t="shared" si="288"/>
        <v>28</v>
      </c>
      <c r="G1857">
        <f t="shared" si="284"/>
        <v>7</v>
      </c>
      <c r="H1857">
        <f t="shared" si="285"/>
        <v>0</v>
      </c>
      <c r="K1857" t="str">
        <f t="shared" ca="1" si="281"/>
        <v>PC</v>
      </c>
      <c r="L1857" t="str">
        <f t="shared" ca="1" si="282"/>
        <v>dom</v>
      </c>
      <c r="M1857" t="str">
        <f t="shared" ca="1" si="279"/>
        <v>GOV</v>
      </c>
      <c r="N1857">
        <f t="shared" ca="1" si="280"/>
        <v>1.669215079898748</v>
      </c>
    </row>
    <row r="1858" spans="6:14" x14ac:dyDescent="0.35">
      <c r="F1858">
        <f t="shared" si="288"/>
        <v>28</v>
      </c>
      <c r="G1858">
        <f t="shared" si="284"/>
        <v>8</v>
      </c>
      <c r="H1858">
        <f t="shared" si="285"/>
        <v>0</v>
      </c>
      <c r="K1858" t="str">
        <f t="shared" ca="1" si="281"/>
        <v>CHM</v>
      </c>
      <c r="L1858" t="str">
        <f t="shared" ca="1" si="282"/>
        <v>dom</v>
      </c>
      <c r="M1858" t="str">
        <f t="shared" ref="M1858:M1921" ca="1" si="289">OFFSET(A$2,F1858,0)</f>
        <v>GOV</v>
      </c>
      <c r="N1858">
        <f t="shared" ref="N1858:N1921" ca="1" si="290">SUMIFS(C:C,A:A,K1858,B:B,L1858)*SUMIFS(U:U,S:S,M1858)</f>
        <v>10.394537169959456</v>
      </c>
    </row>
    <row r="1859" spans="6:14" x14ac:dyDescent="0.35">
      <c r="F1859">
        <f t="shared" si="288"/>
        <v>28</v>
      </c>
      <c r="G1859">
        <f t="shared" si="284"/>
        <v>9</v>
      </c>
      <c r="H1859">
        <f t="shared" si="285"/>
        <v>0</v>
      </c>
      <c r="K1859" t="str">
        <f t="shared" ref="K1859:K1922" ca="1" si="291">OFFSET(A$2,G1859,0)</f>
        <v>RUBBER</v>
      </c>
      <c r="L1859" t="str">
        <f t="shared" ref="L1859:L1922" ca="1" si="292">OFFSET($V$3,H1859,0)</f>
        <v>dom</v>
      </c>
      <c r="M1859" t="str">
        <f t="shared" ca="1" si="289"/>
        <v>GOV</v>
      </c>
      <c r="N1859">
        <f t="shared" ca="1" si="290"/>
        <v>16.271644927163432</v>
      </c>
    </row>
    <row r="1860" spans="6:14" x14ac:dyDescent="0.35">
      <c r="F1860">
        <f t="shared" si="288"/>
        <v>28</v>
      </c>
      <c r="G1860">
        <f t="shared" si="284"/>
        <v>10</v>
      </c>
      <c r="H1860">
        <f t="shared" si="285"/>
        <v>0</v>
      </c>
      <c r="K1860" t="str">
        <f t="shared" ca="1" si="291"/>
        <v>NMM</v>
      </c>
      <c r="L1860" t="str">
        <f t="shared" ca="1" si="292"/>
        <v>dom</v>
      </c>
      <c r="M1860" t="str">
        <f t="shared" ca="1" si="289"/>
        <v>GOV</v>
      </c>
      <c r="N1860">
        <f t="shared" ca="1" si="290"/>
        <v>15.073656589405557</v>
      </c>
    </row>
    <row r="1861" spans="6:14" x14ac:dyDescent="0.35">
      <c r="F1861">
        <f t="shared" ref="F1861:F1876" si="293">F1795+1</f>
        <v>28</v>
      </c>
      <c r="G1861">
        <f t="shared" ref="G1861:G1924" si="294">G1828</f>
        <v>11</v>
      </c>
      <c r="H1861">
        <f t="shared" ref="H1861:H1924" si="295">H1795</f>
        <v>0</v>
      </c>
      <c r="K1861" t="str">
        <f t="shared" ca="1" si="291"/>
        <v>METAL</v>
      </c>
      <c r="L1861" t="str">
        <f t="shared" ca="1" si="292"/>
        <v>dom</v>
      </c>
      <c r="M1861" t="str">
        <f t="shared" ca="1" si="289"/>
        <v>GOV</v>
      </c>
      <c r="N1861">
        <f t="shared" ca="1" si="290"/>
        <v>44.087837098766698</v>
      </c>
    </row>
    <row r="1862" spans="6:14" x14ac:dyDescent="0.35">
      <c r="F1862">
        <f t="shared" si="293"/>
        <v>28</v>
      </c>
      <c r="G1862">
        <f t="shared" si="294"/>
        <v>12</v>
      </c>
      <c r="H1862">
        <f t="shared" si="295"/>
        <v>0</v>
      </c>
      <c r="K1862" t="str">
        <f t="shared" ca="1" si="291"/>
        <v>MACH</v>
      </c>
      <c r="L1862" t="str">
        <f t="shared" ca="1" si="292"/>
        <v>dom</v>
      </c>
      <c r="M1862" t="str">
        <f t="shared" ca="1" si="289"/>
        <v>GOV</v>
      </c>
      <c r="N1862">
        <f t="shared" ca="1" si="290"/>
        <v>63.813668583218274</v>
      </c>
    </row>
    <row r="1863" spans="6:14" x14ac:dyDescent="0.35">
      <c r="F1863">
        <f t="shared" si="293"/>
        <v>28</v>
      </c>
      <c r="G1863">
        <f t="shared" si="294"/>
        <v>13</v>
      </c>
      <c r="H1863">
        <f t="shared" si="295"/>
        <v>0</v>
      </c>
      <c r="K1863" t="str">
        <f t="shared" ca="1" si="291"/>
        <v>ELEC</v>
      </c>
      <c r="L1863" t="str">
        <f t="shared" ca="1" si="292"/>
        <v>dom</v>
      </c>
      <c r="M1863" t="str">
        <f t="shared" ca="1" si="289"/>
        <v>GOV</v>
      </c>
      <c r="N1863">
        <f t="shared" ca="1" si="290"/>
        <v>13.274628579612004</v>
      </c>
    </row>
    <row r="1864" spans="6:14" x14ac:dyDescent="0.35">
      <c r="F1864">
        <f t="shared" si="293"/>
        <v>28</v>
      </c>
      <c r="G1864">
        <f t="shared" si="294"/>
        <v>14</v>
      </c>
      <c r="H1864">
        <f t="shared" si="295"/>
        <v>0</v>
      </c>
      <c r="K1864" t="str">
        <f t="shared" ca="1" si="291"/>
        <v>TRNEQUIP</v>
      </c>
      <c r="L1864" t="str">
        <f t="shared" ca="1" si="292"/>
        <v>dom</v>
      </c>
      <c r="M1864" t="str">
        <f t="shared" ca="1" si="289"/>
        <v>GOV</v>
      </c>
      <c r="N1864">
        <f t="shared" ca="1" si="290"/>
        <v>19.175306162409914</v>
      </c>
    </row>
    <row r="1865" spans="6:14" x14ac:dyDescent="0.35">
      <c r="F1865">
        <f t="shared" si="293"/>
        <v>28</v>
      </c>
      <c r="G1865">
        <f t="shared" si="294"/>
        <v>15</v>
      </c>
      <c r="H1865">
        <f t="shared" si="295"/>
        <v>0</v>
      </c>
      <c r="K1865" t="str">
        <f t="shared" ca="1" si="291"/>
        <v>ROMAN</v>
      </c>
      <c r="L1865" t="str">
        <f t="shared" ca="1" si="292"/>
        <v>dom</v>
      </c>
      <c r="M1865" t="str">
        <f t="shared" ca="1" si="289"/>
        <v>GOV</v>
      </c>
      <c r="N1865">
        <f t="shared" ca="1" si="290"/>
        <v>52.213113630537592</v>
      </c>
    </row>
    <row r="1866" spans="6:14" x14ac:dyDescent="0.35">
      <c r="F1866">
        <f t="shared" si="293"/>
        <v>28</v>
      </c>
      <c r="G1866">
        <f t="shared" si="294"/>
        <v>16</v>
      </c>
      <c r="H1866">
        <f t="shared" si="295"/>
        <v>0</v>
      </c>
      <c r="K1866" t="str">
        <f t="shared" ca="1" si="291"/>
        <v>ELYGASWTR</v>
      </c>
      <c r="L1866" t="str">
        <f t="shared" ca="1" si="292"/>
        <v>dom</v>
      </c>
      <c r="M1866" t="str">
        <f t="shared" ca="1" si="289"/>
        <v>GOV</v>
      </c>
      <c r="N1866">
        <f t="shared" ca="1" si="290"/>
        <v>1.1914686316876325E-6</v>
      </c>
    </row>
    <row r="1867" spans="6:14" x14ac:dyDescent="0.35">
      <c r="F1867">
        <f t="shared" si="293"/>
        <v>28</v>
      </c>
      <c r="G1867">
        <f t="shared" si="294"/>
        <v>17</v>
      </c>
      <c r="H1867">
        <f t="shared" si="295"/>
        <v>0</v>
      </c>
      <c r="K1867" t="str">
        <f t="shared" ca="1" si="291"/>
        <v>CNS</v>
      </c>
      <c r="L1867" t="str">
        <f t="shared" ca="1" si="292"/>
        <v>dom</v>
      </c>
      <c r="M1867" t="str">
        <f t="shared" ca="1" si="289"/>
        <v>GOV</v>
      </c>
      <c r="N1867">
        <f t="shared" ca="1" si="290"/>
        <v>1734.4381682906853</v>
      </c>
    </row>
    <row r="1868" spans="6:14" x14ac:dyDescent="0.35">
      <c r="F1868">
        <f t="shared" si="293"/>
        <v>28</v>
      </c>
      <c r="G1868">
        <f t="shared" si="294"/>
        <v>18</v>
      </c>
      <c r="H1868">
        <f t="shared" si="295"/>
        <v>0</v>
      </c>
      <c r="K1868" t="str">
        <f t="shared" ca="1" si="291"/>
        <v>TRD</v>
      </c>
      <c r="L1868" t="str">
        <f t="shared" ca="1" si="292"/>
        <v>dom</v>
      </c>
      <c r="M1868" t="str">
        <f t="shared" ca="1" si="289"/>
        <v>GOV</v>
      </c>
      <c r="N1868">
        <f t="shared" ca="1" si="290"/>
        <v>277.32509950889124</v>
      </c>
    </row>
    <row r="1869" spans="6:14" x14ac:dyDescent="0.35">
      <c r="F1869">
        <f t="shared" si="293"/>
        <v>28</v>
      </c>
      <c r="G1869">
        <f t="shared" si="294"/>
        <v>19</v>
      </c>
      <c r="H1869">
        <f t="shared" si="295"/>
        <v>0</v>
      </c>
      <c r="K1869" t="str">
        <f t="shared" ca="1" si="291"/>
        <v>AFS</v>
      </c>
      <c r="L1869" t="str">
        <f t="shared" ca="1" si="292"/>
        <v>dom</v>
      </c>
      <c r="M1869" t="str">
        <f t="shared" ca="1" si="289"/>
        <v>GOV</v>
      </c>
      <c r="N1869">
        <f t="shared" ca="1" si="290"/>
        <v>1.1914686316876325E-6</v>
      </c>
    </row>
    <row r="1870" spans="6:14" x14ac:dyDescent="0.35">
      <c r="F1870">
        <f t="shared" si="293"/>
        <v>28</v>
      </c>
      <c r="G1870">
        <f t="shared" si="294"/>
        <v>20</v>
      </c>
      <c r="H1870">
        <f t="shared" si="295"/>
        <v>0</v>
      </c>
      <c r="K1870" t="str">
        <f t="shared" ca="1" si="291"/>
        <v>OTP</v>
      </c>
      <c r="L1870" t="str">
        <f t="shared" ca="1" si="292"/>
        <v>dom</v>
      </c>
      <c r="M1870" t="str">
        <f t="shared" ca="1" si="289"/>
        <v>GOV</v>
      </c>
      <c r="N1870">
        <f t="shared" ca="1" si="290"/>
        <v>1.1914686316876325E-6</v>
      </c>
    </row>
    <row r="1871" spans="6:14" x14ac:dyDescent="0.35">
      <c r="F1871">
        <f t="shared" si="293"/>
        <v>28</v>
      </c>
      <c r="G1871">
        <f t="shared" si="294"/>
        <v>21</v>
      </c>
      <c r="H1871">
        <f t="shared" si="295"/>
        <v>0</v>
      </c>
      <c r="K1871" t="str">
        <f t="shared" ca="1" si="291"/>
        <v>WTP</v>
      </c>
      <c r="L1871" t="str">
        <f t="shared" ca="1" si="292"/>
        <v>dom</v>
      </c>
      <c r="M1871" t="str">
        <f t="shared" ca="1" si="289"/>
        <v>GOV</v>
      </c>
      <c r="N1871">
        <f t="shared" ca="1" si="290"/>
        <v>1.1914686316876325E-6</v>
      </c>
    </row>
    <row r="1872" spans="6:14" x14ac:dyDescent="0.35">
      <c r="F1872">
        <f t="shared" si="293"/>
        <v>28</v>
      </c>
      <c r="G1872">
        <f t="shared" si="294"/>
        <v>22</v>
      </c>
      <c r="H1872">
        <f t="shared" si="295"/>
        <v>0</v>
      </c>
      <c r="K1872" t="str">
        <f t="shared" ca="1" si="291"/>
        <v>ATP</v>
      </c>
      <c r="L1872" t="str">
        <f t="shared" ca="1" si="292"/>
        <v>dom</v>
      </c>
      <c r="M1872" t="str">
        <f t="shared" ca="1" si="289"/>
        <v>GOV</v>
      </c>
      <c r="N1872">
        <f t="shared" ca="1" si="290"/>
        <v>1.1914686316876325E-6</v>
      </c>
    </row>
    <row r="1873" spans="6:14" x14ac:dyDescent="0.35">
      <c r="F1873">
        <f t="shared" si="293"/>
        <v>28</v>
      </c>
      <c r="G1873">
        <f t="shared" si="294"/>
        <v>23</v>
      </c>
      <c r="H1873">
        <f t="shared" si="295"/>
        <v>0</v>
      </c>
      <c r="K1873" t="str">
        <f t="shared" ca="1" si="291"/>
        <v>WHS</v>
      </c>
      <c r="L1873" t="str">
        <f t="shared" ca="1" si="292"/>
        <v>dom</v>
      </c>
      <c r="M1873" t="str">
        <f t="shared" ca="1" si="289"/>
        <v>GOV</v>
      </c>
      <c r="N1873">
        <f t="shared" ca="1" si="290"/>
        <v>1.1914686316876325E-6</v>
      </c>
    </row>
    <row r="1874" spans="6:14" x14ac:dyDescent="0.35">
      <c r="F1874">
        <f t="shared" si="293"/>
        <v>28</v>
      </c>
      <c r="G1874">
        <f t="shared" si="294"/>
        <v>24</v>
      </c>
      <c r="H1874">
        <f t="shared" si="295"/>
        <v>0</v>
      </c>
      <c r="K1874" t="str">
        <f t="shared" ca="1" si="291"/>
        <v>CMN</v>
      </c>
      <c r="L1874" t="str">
        <f t="shared" ca="1" si="292"/>
        <v>dom</v>
      </c>
      <c r="M1874" t="str">
        <f t="shared" ca="1" si="289"/>
        <v>GOV</v>
      </c>
      <c r="N1874">
        <f t="shared" ca="1" si="290"/>
        <v>1.1914686316876325E-6</v>
      </c>
    </row>
    <row r="1875" spans="6:14" x14ac:dyDescent="0.35">
      <c r="F1875">
        <f t="shared" si="293"/>
        <v>28</v>
      </c>
      <c r="G1875">
        <f t="shared" si="294"/>
        <v>25</v>
      </c>
      <c r="H1875">
        <f t="shared" si="295"/>
        <v>0</v>
      </c>
      <c r="K1875" t="str">
        <f t="shared" ca="1" si="291"/>
        <v>OFI</v>
      </c>
      <c r="L1875" t="str">
        <f t="shared" ca="1" si="292"/>
        <v>dom</v>
      </c>
      <c r="M1875" t="str">
        <f t="shared" ca="1" si="289"/>
        <v>GOV</v>
      </c>
      <c r="N1875">
        <f t="shared" ca="1" si="290"/>
        <v>1.1914686316876325E-6</v>
      </c>
    </row>
    <row r="1876" spans="6:14" x14ac:dyDescent="0.35">
      <c r="F1876">
        <f t="shared" si="293"/>
        <v>28</v>
      </c>
      <c r="G1876">
        <f t="shared" si="294"/>
        <v>26</v>
      </c>
      <c r="H1876">
        <f t="shared" si="295"/>
        <v>0</v>
      </c>
      <c r="K1876" t="str">
        <f t="shared" ca="1" si="291"/>
        <v>RSA</v>
      </c>
      <c r="L1876" t="str">
        <f t="shared" ca="1" si="292"/>
        <v>dom</v>
      </c>
      <c r="M1876" t="str">
        <f t="shared" ca="1" si="289"/>
        <v>GOV</v>
      </c>
      <c r="N1876">
        <f t="shared" ca="1" si="290"/>
        <v>1.1914686316876325E-6</v>
      </c>
    </row>
    <row r="1877" spans="6:14" x14ac:dyDescent="0.35">
      <c r="F1877">
        <f t="shared" ref="F1877:F1892" si="296">F1811+1</f>
        <v>28</v>
      </c>
      <c r="G1877">
        <f t="shared" si="294"/>
        <v>27</v>
      </c>
      <c r="H1877">
        <f t="shared" si="295"/>
        <v>0</v>
      </c>
      <c r="K1877" t="str">
        <f t="shared" ca="1" si="291"/>
        <v>OBS</v>
      </c>
      <c r="L1877" t="str">
        <f t="shared" ca="1" si="292"/>
        <v>dom</v>
      </c>
      <c r="M1877" t="str">
        <f t="shared" ca="1" si="289"/>
        <v>GOV</v>
      </c>
      <c r="N1877">
        <f t="shared" ca="1" si="290"/>
        <v>1.1914686316876325E-6</v>
      </c>
    </row>
    <row r="1878" spans="6:14" x14ac:dyDescent="0.35">
      <c r="F1878">
        <f t="shared" si="296"/>
        <v>28</v>
      </c>
      <c r="G1878">
        <f t="shared" si="294"/>
        <v>28</v>
      </c>
      <c r="H1878">
        <f t="shared" si="295"/>
        <v>0</v>
      </c>
      <c r="K1878" t="str">
        <f t="shared" ca="1" si="291"/>
        <v>GOV</v>
      </c>
      <c r="L1878" t="str">
        <f t="shared" ca="1" si="292"/>
        <v>dom</v>
      </c>
      <c r="M1878" t="str">
        <f t="shared" ca="1" si="289"/>
        <v>GOV</v>
      </c>
      <c r="N1878">
        <f t="shared" ca="1" si="290"/>
        <v>1.1914686316876325E-6</v>
      </c>
    </row>
    <row r="1879" spans="6:14" x14ac:dyDescent="0.35">
      <c r="F1879">
        <f t="shared" si="296"/>
        <v>28</v>
      </c>
      <c r="G1879">
        <f t="shared" si="294"/>
        <v>29</v>
      </c>
      <c r="H1879">
        <f t="shared" si="295"/>
        <v>0</v>
      </c>
      <c r="K1879" t="str">
        <f t="shared" ca="1" si="291"/>
        <v>EDU</v>
      </c>
      <c r="L1879" t="str">
        <f t="shared" ca="1" si="292"/>
        <v>dom</v>
      </c>
      <c r="M1879" t="str">
        <f t="shared" ca="1" si="289"/>
        <v>GOV</v>
      </c>
      <c r="N1879">
        <f t="shared" ca="1" si="290"/>
        <v>1.1914686316876325E-6</v>
      </c>
    </row>
    <row r="1880" spans="6:14" x14ac:dyDescent="0.35">
      <c r="F1880">
        <f t="shared" si="296"/>
        <v>28</v>
      </c>
      <c r="G1880">
        <f t="shared" si="294"/>
        <v>30</v>
      </c>
      <c r="H1880">
        <f t="shared" si="295"/>
        <v>0</v>
      </c>
      <c r="K1880" t="str">
        <f t="shared" ca="1" si="291"/>
        <v>HHT</v>
      </c>
      <c r="L1880" t="str">
        <f t="shared" ca="1" si="292"/>
        <v>dom</v>
      </c>
      <c r="M1880" t="str">
        <f t="shared" ca="1" si="289"/>
        <v>GOV</v>
      </c>
      <c r="N1880">
        <f t="shared" ca="1" si="290"/>
        <v>1.1914686316876325E-6</v>
      </c>
    </row>
    <row r="1881" spans="6:14" x14ac:dyDescent="0.35">
      <c r="F1881">
        <f t="shared" si="296"/>
        <v>28</v>
      </c>
      <c r="G1881">
        <f t="shared" si="294"/>
        <v>31</v>
      </c>
      <c r="H1881">
        <f t="shared" si="295"/>
        <v>0</v>
      </c>
      <c r="K1881" t="str">
        <f t="shared" ca="1" si="291"/>
        <v>REC</v>
      </c>
      <c r="L1881" t="str">
        <f t="shared" ca="1" si="292"/>
        <v>dom</v>
      </c>
      <c r="M1881" t="str">
        <f t="shared" ca="1" si="289"/>
        <v>GOV</v>
      </c>
      <c r="N1881">
        <f t="shared" ca="1" si="290"/>
        <v>1.1914686316876325E-6</v>
      </c>
    </row>
    <row r="1882" spans="6:14" x14ac:dyDescent="0.35">
      <c r="F1882">
        <f t="shared" si="296"/>
        <v>28</v>
      </c>
      <c r="G1882">
        <f t="shared" si="294"/>
        <v>32</v>
      </c>
      <c r="H1882">
        <f t="shared" si="295"/>
        <v>0</v>
      </c>
      <c r="K1882" t="str">
        <f t="shared" ca="1" si="291"/>
        <v>DWE</v>
      </c>
      <c r="L1882" t="str">
        <f t="shared" ca="1" si="292"/>
        <v>dom</v>
      </c>
      <c r="M1882" t="str">
        <f t="shared" ca="1" si="289"/>
        <v>GOV</v>
      </c>
      <c r="N1882">
        <f t="shared" ca="1" si="290"/>
        <v>1.1914686316876325E-6</v>
      </c>
    </row>
    <row r="1883" spans="6:14" x14ac:dyDescent="0.35">
      <c r="F1883">
        <f t="shared" si="296"/>
        <v>28</v>
      </c>
      <c r="G1883">
        <f t="shared" si="294"/>
        <v>0</v>
      </c>
      <c r="H1883">
        <f t="shared" si="295"/>
        <v>1</v>
      </c>
      <c r="K1883" t="str">
        <f t="shared" ca="1" si="291"/>
        <v>AG</v>
      </c>
      <c r="L1883" t="str">
        <f t="shared" ca="1" si="292"/>
        <v>imp</v>
      </c>
      <c r="M1883" t="str">
        <f t="shared" ca="1" si="289"/>
        <v>GOV</v>
      </c>
      <c r="N1883">
        <f t="shared" ca="1" si="290"/>
        <v>11.023258131650794</v>
      </c>
    </row>
    <row r="1884" spans="6:14" x14ac:dyDescent="0.35">
      <c r="F1884">
        <f t="shared" si="296"/>
        <v>28</v>
      </c>
      <c r="G1884">
        <f t="shared" si="294"/>
        <v>1</v>
      </c>
      <c r="H1884">
        <f t="shared" si="295"/>
        <v>1</v>
      </c>
      <c r="K1884" t="str">
        <f t="shared" ca="1" si="291"/>
        <v>MIN</v>
      </c>
      <c r="L1884" t="str">
        <f t="shared" ca="1" si="292"/>
        <v>imp</v>
      </c>
      <c r="M1884" t="str">
        <f t="shared" ca="1" si="289"/>
        <v>GOV</v>
      </c>
      <c r="N1884">
        <f t="shared" ca="1" si="290"/>
        <v>17.390641357633442</v>
      </c>
    </row>
    <row r="1885" spans="6:14" x14ac:dyDescent="0.35">
      <c r="F1885">
        <f t="shared" si="296"/>
        <v>28</v>
      </c>
      <c r="G1885">
        <f t="shared" si="294"/>
        <v>2</v>
      </c>
      <c r="H1885">
        <f t="shared" si="295"/>
        <v>1</v>
      </c>
      <c r="K1885" t="str">
        <f t="shared" ca="1" si="291"/>
        <v>FBT</v>
      </c>
      <c r="L1885" t="str">
        <f t="shared" ca="1" si="292"/>
        <v>imp</v>
      </c>
      <c r="M1885" t="str">
        <f t="shared" ca="1" si="289"/>
        <v>GOV</v>
      </c>
      <c r="N1885">
        <f t="shared" ca="1" si="290"/>
        <v>4.351671895285973</v>
      </c>
    </row>
    <row r="1886" spans="6:14" x14ac:dyDescent="0.35">
      <c r="F1886">
        <f t="shared" si="296"/>
        <v>28</v>
      </c>
      <c r="G1886">
        <f t="shared" si="294"/>
        <v>3</v>
      </c>
      <c r="H1886">
        <f t="shared" si="295"/>
        <v>1</v>
      </c>
      <c r="K1886" t="str">
        <f t="shared" ca="1" si="291"/>
        <v>TEX</v>
      </c>
      <c r="L1886" t="str">
        <f t="shared" ca="1" si="292"/>
        <v>imp</v>
      </c>
      <c r="M1886" t="str">
        <f t="shared" ca="1" si="289"/>
        <v>GOV</v>
      </c>
      <c r="N1886">
        <f t="shared" ca="1" si="290"/>
        <v>85.397278552909839</v>
      </c>
    </row>
    <row r="1887" spans="6:14" x14ac:dyDescent="0.35">
      <c r="F1887">
        <f t="shared" si="296"/>
        <v>28</v>
      </c>
      <c r="G1887">
        <f t="shared" si="294"/>
        <v>4</v>
      </c>
      <c r="H1887">
        <f t="shared" si="295"/>
        <v>1</v>
      </c>
      <c r="K1887" t="str">
        <f t="shared" ca="1" si="291"/>
        <v>LEATHER</v>
      </c>
      <c r="L1887" t="str">
        <f t="shared" ca="1" si="292"/>
        <v>imp</v>
      </c>
      <c r="M1887" t="str">
        <f t="shared" ca="1" si="289"/>
        <v>GOV</v>
      </c>
      <c r="N1887">
        <f t="shared" ca="1" si="290"/>
        <v>44.506455087599072</v>
      </c>
    </row>
    <row r="1888" spans="6:14" x14ac:dyDescent="0.35">
      <c r="F1888">
        <f t="shared" si="296"/>
        <v>28</v>
      </c>
      <c r="G1888">
        <f t="shared" si="294"/>
        <v>5</v>
      </c>
      <c r="H1888">
        <f t="shared" si="295"/>
        <v>1</v>
      </c>
      <c r="K1888" t="str">
        <f t="shared" ca="1" si="291"/>
        <v>WOOD</v>
      </c>
      <c r="L1888" t="str">
        <f t="shared" ca="1" si="292"/>
        <v>imp</v>
      </c>
      <c r="M1888" t="str">
        <f t="shared" ca="1" si="289"/>
        <v>GOV</v>
      </c>
      <c r="N1888">
        <f t="shared" ca="1" si="290"/>
        <v>0.79663297878356021</v>
      </c>
    </row>
    <row r="1889" spans="6:14" x14ac:dyDescent="0.35">
      <c r="F1889">
        <f t="shared" si="296"/>
        <v>28</v>
      </c>
      <c r="G1889">
        <f t="shared" si="294"/>
        <v>6</v>
      </c>
      <c r="H1889">
        <f t="shared" si="295"/>
        <v>1</v>
      </c>
      <c r="K1889" t="str">
        <f t="shared" ca="1" si="291"/>
        <v>PPP</v>
      </c>
      <c r="L1889" t="str">
        <f t="shared" ca="1" si="292"/>
        <v>imp</v>
      </c>
      <c r="M1889" t="str">
        <f t="shared" ca="1" si="289"/>
        <v>GOV</v>
      </c>
      <c r="N1889">
        <f t="shared" ca="1" si="290"/>
        <v>11.471434511449539</v>
      </c>
    </row>
    <row r="1890" spans="6:14" x14ac:dyDescent="0.35">
      <c r="F1890">
        <f t="shared" si="296"/>
        <v>28</v>
      </c>
      <c r="G1890">
        <f t="shared" si="294"/>
        <v>7</v>
      </c>
      <c r="H1890">
        <f t="shared" si="295"/>
        <v>1</v>
      </c>
      <c r="K1890" t="str">
        <f t="shared" ca="1" si="291"/>
        <v>PC</v>
      </c>
      <c r="L1890" t="str">
        <f t="shared" ca="1" si="292"/>
        <v>imp</v>
      </c>
      <c r="M1890" t="str">
        <f t="shared" ca="1" si="289"/>
        <v>GOV</v>
      </c>
      <c r="N1890">
        <f t="shared" ca="1" si="290"/>
        <v>2.8886421014722541</v>
      </c>
    </row>
    <row r="1891" spans="6:14" x14ac:dyDescent="0.35">
      <c r="F1891">
        <f t="shared" si="296"/>
        <v>28</v>
      </c>
      <c r="G1891">
        <f t="shared" si="294"/>
        <v>8</v>
      </c>
      <c r="H1891">
        <f t="shared" si="295"/>
        <v>1</v>
      </c>
      <c r="K1891" t="str">
        <f t="shared" ca="1" si="291"/>
        <v>CHM</v>
      </c>
      <c r="L1891" t="str">
        <f t="shared" ca="1" si="292"/>
        <v>imp</v>
      </c>
      <c r="M1891" t="str">
        <f t="shared" ca="1" si="289"/>
        <v>GOV</v>
      </c>
      <c r="N1891">
        <f t="shared" ca="1" si="290"/>
        <v>39.598460029752893</v>
      </c>
    </row>
    <row r="1892" spans="6:14" x14ac:dyDescent="0.35">
      <c r="F1892">
        <f t="shared" si="296"/>
        <v>28</v>
      </c>
      <c r="G1892">
        <f t="shared" si="294"/>
        <v>9</v>
      </c>
      <c r="H1892">
        <f t="shared" si="295"/>
        <v>1</v>
      </c>
      <c r="K1892" t="str">
        <f t="shared" ca="1" si="291"/>
        <v>RUBBER</v>
      </c>
      <c r="L1892" t="str">
        <f t="shared" ca="1" si="292"/>
        <v>imp</v>
      </c>
      <c r="M1892" t="str">
        <f t="shared" ca="1" si="289"/>
        <v>GOV</v>
      </c>
      <c r="N1892">
        <f t="shared" ca="1" si="290"/>
        <v>30.327157200370753</v>
      </c>
    </row>
    <row r="1893" spans="6:14" x14ac:dyDescent="0.35">
      <c r="F1893">
        <f t="shared" ref="F1893:F1908" si="297">F1827+1</f>
        <v>28</v>
      </c>
      <c r="G1893">
        <f t="shared" si="294"/>
        <v>10</v>
      </c>
      <c r="H1893">
        <f t="shared" si="295"/>
        <v>1</v>
      </c>
      <c r="K1893" t="str">
        <f t="shared" ca="1" si="291"/>
        <v>NMM</v>
      </c>
      <c r="L1893" t="str">
        <f t="shared" ca="1" si="292"/>
        <v>imp</v>
      </c>
      <c r="M1893" t="str">
        <f t="shared" ca="1" si="289"/>
        <v>GOV</v>
      </c>
      <c r="N1893">
        <f t="shared" ca="1" si="290"/>
        <v>11.448119005643603</v>
      </c>
    </row>
    <row r="1894" spans="6:14" x14ac:dyDescent="0.35">
      <c r="F1894">
        <f t="shared" si="297"/>
        <v>28</v>
      </c>
      <c r="G1894">
        <f t="shared" si="294"/>
        <v>11</v>
      </c>
      <c r="H1894">
        <f t="shared" si="295"/>
        <v>1</v>
      </c>
      <c r="K1894" t="str">
        <f t="shared" ca="1" si="291"/>
        <v>METAL</v>
      </c>
      <c r="L1894" t="str">
        <f t="shared" ca="1" si="292"/>
        <v>imp</v>
      </c>
      <c r="M1894" t="str">
        <f t="shared" ca="1" si="289"/>
        <v>GOV</v>
      </c>
      <c r="N1894">
        <f t="shared" ca="1" si="290"/>
        <v>143.29768247242458</v>
      </c>
    </row>
    <row r="1895" spans="6:14" x14ac:dyDescent="0.35">
      <c r="F1895">
        <f t="shared" si="297"/>
        <v>28</v>
      </c>
      <c r="G1895">
        <f t="shared" si="294"/>
        <v>12</v>
      </c>
      <c r="H1895">
        <f t="shared" si="295"/>
        <v>1</v>
      </c>
      <c r="K1895" t="str">
        <f t="shared" ca="1" si="291"/>
        <v>MACH</v>
      </c>
      <c r="L1895" t="str">
        <f t="shared" ca="1" si="292"/>
        <v>imp</v>
      </c>
      <c r="M1895" t="str">
        <f t="shared" ca="1" si="289"/>
        <v>GOV</v>
      </c>
      <c r="N1895">
        <f t="shared" ca="1" si="290"/>
        <v>548.94073193838699</v>
      </c>
    </row>
    <row r="1896" spans="6:14" x14ac:dyDescent="0.35">
      <c r="F1896">
        <f t="shared" si="297"/>
        <v>28</v>
      </c>
      <c r="G1896">
        <f t="shared" si="294"/>
        <v>13</v>
      </c>
      <c r="H1896">
        <f t="shared" si="295"/>
        <v>1</v>
      </c>
      <c r="K1896" t="str">
        <f t="shared" ca="1" si="291"/>
        <v>ELEC</v>
      </c>
      <c r="L1896" t="str">
        <f t="shared" ca="1" si="292"/>
        <v>imp</v>
      </c>
      <c r="M1896" t="str">
        <f t="shared" ca="1" si="289"/>
        <v>GOV</v>
      </c>
      <c r="N1896">
        <f t="shared" ca="1" si="290"/>
        <v>294.32527556622694</v>
      </c>
    </row>
    <row r="1897" spans="6:14" x14ac:dyDescent="0.35">
      <c r="F1897">
        <f t="shared" si="297"/>
        <v>28</v>
      </c>
      <c r="G1897">
        <f t="shared" si="294"/>
        <v>14</v>
      </c>
      <c r="H1897">
        <f t="shared" si="295"/>
        <v>1</v>
      </c>
      <c r="K1897" t="str">
        <f t="shared" ca="1" si="291"/>
        <v>TRNEQUIP</v>
      </c>
      <c r="L1897" t="str">
        <f t="shared" ca="1" si="292"/>
        <v>imp</v>
      </c>
      <c r="M1897" t="str">
        <f t="shared" ca="1" si="289"/>
        <v>GOV</v>
      </c>
      <c r="N1897">
        <f t="shared" ca="1" si="290"/>
        <v>469.7100343303627</v>
      </c>
    </row>
    <row r="1898" spans="6:14" x14ac:dyDescent="0.35">
      <c r="F1898">
        <f t="shared" si="297"/>
        <v>28</v>
      </c>
      <c r="G1898">
        <f t="shared" si="294"/>
        <v>15</v>
      </c>
      <c r="H1898">
        <f t="shared" si="295"/>
        <v>1</v>
      </c>
      <c r="K1898" t="str">
        <f t="shared" ca="1" si="291"/>
        <v>ROMAN</v>
      </c>
      <c r="L1898" t="str">
        <f t="shared" ca="1" si="292"/>
        <v>imp</v>
      </c>
      <c r="M1898" t="str">
        <f t="shared" ca="1" si="289"/>
        <v>GOV</v>
      </c>
      <c r="N1898">
        <f t="shared" ca="1" si="290"/>
        <v>178.22427192163735</v>
      </c>
    </row>
    <row r="1899" spans="6:14" x14ac:dyDescent="0.35">
      <c r="F1899">
        <f t="shared" si="297"/>
        <v>28</v>
      </c>
      <c r="G1899">
        <f t="shared" si="294"/>
        <v>16</v>
      </c>
      <c r="H1899">
        <f t="shared" si="295"/>
        <v>1</v>
      </c>
      <c r="K1899" t="str">
        <f t="shared" ca="1" si="291"/>
        <v>ELYGASWTR</v>
      </c>
      <c r="L1899" t="str">
        <f t="shared" ca="1" si="292"/>
        <v>imp</v>
      </c>
      <c r="M1899" t="str">
        <f t="shared" ca="1" si="289"/>
        <v>GOV</v>
      </c>
      <c r="N1899">
        <f t="shared" ca="1" si="290"/>
        <v>1.1914686316876325E-6</v>
      </c>
    </row>
    <row r="1900" spans="6:14" x14ac:dyDescent="0.35">
      <c r="F1900">
        <f t="shared" si="297"/>
        <v>28</v>
      </c>
      <c r="G1900">
        <f t="shared" si="294"/>
        <v>17</v>
      </c>
      <c r="H1900">
        <f t="shared" si="295"/>
        <v>1</v>
      </c>
      <c r="K1900" t="str">
        <f t="shared" ca="1" si="291"/>
        <v>CNS</v>
      </c>
      <c r="L1900" t="str">
        <f t="shared" ca="1" si="292"/>
        <v>imp</v>
      </c>
      <c r="M1900" t="str">
        <f t="shared" ca="1" si="289"/>
        <v>GOV</v>
      </c>
      <c r="N1900">
        <f t="shared" ca="1" si="290"/>
        <v>34.888428369461693</v>
      </c>
    </row>
    <row r="1901" spans="6:14" x14ac:dyDescent="0.35">
      <c r="F1901">
        <f t="shared" si="297"/>
        <v>28</v>
      </c>
      <c r="G1901">
        <f t="shared" si="294"/>
        <v>18</v>
      </c>
      <c r="H1901">
        <f t="shared" si="295"/>
        <v>1</v>
      </c>
      <c r="K1901" t="str">
        <f t="shared" ca="1" si="291"/>
        <v>TRD</v>
      </c>
      <c r="L1901" t="str">
        <f t="shared" ca="1" si="292"/>
        <v>imp</v>
      </c>
      <c r="M1901" t="str">
        <f t="shared" ca="1" si="289"/>
        <v>GOV</v>
      </c>
      <c r="N1901">
        <f t="shared" ca="1" si="290"/>
        <v>3.0525017789229154</v>
      </c>
    </row>
    <row r="1902" spans="6:14" x14ac:dyDescent="0.35">
      <c r="F1902">
        <f t="shared" si="297"/>
        <v>28</v>
      </c>
      <c r="G1902">
        <f t="shared" si="294"/>
        <v>19</v>
      </c>
      <c r="H1902">
        <f t="shared" si="295"/>
        <v>1</v>
      </c>
      <c r="K1902" t="str">
        <f t="shared" ca="1" si="291"/>
        <v>AFS</v>
      </c>
      <c r="L1902" t="str">
        <f t="shared" ca="1" si="292"/>
        <v>imp</v>
      </c>
      <c r="M1902" t="str">
        <f t="shared" ca="1" si="289"/>
        <v>GOV</v>
      </c>
      <c r="N1902">
        <f t="shared" ca="1" si="290"/>
        <v>1.1914686316876325E-6</v>
      </c>
    </row>
    <row r="1903" spans="6:14" x14ac:dyDescent="0.35">
      <c r="F1903">
        <f t="shared" si="297"/>
        <v>28</v>
      </c>
      <c r="G1903">
        <f t="shared" si="294"/>
        <v>20</v>
      </c>
      <c r="H1903">
        <f t="shared" si="295"/>
        <v>1</v>
      </c>
      <c r="K1903" t="str">
        <f t="shared" ca="1" si="291"/>
        <v>OTP</v>
      </c>
      <c r="L1903" t="str">
        <f t="shared" ca="1" si="292"/>
        <v>imp</v>
      </c>
      <c r="M1903" t="str">
        <f t="shared" ca="1" si="289"/>
        <v>GOV</v>
      </c>
      <c r="N1903">
        <f t="shared" ca="1" si="290"/>
        <v>1.1914686316876325E-6</v>
      </c>
    </row>
    <row r="1904" spans="6:14" x14ac:dyDescent="0.35">
      <c r="F1904">
        <f t="shared" si="297"/>
        <v>28</v>
      </c>
      <c r="G1904">
        <f t="shared" si="294"/>
        <v>21</v>
      </c>
      <c r="H1904">
        <f t="shared" si="295"/>
        <v>1</v>
      </c>
      <c r="K1904" t="str">
        <f t="shared" ca="1" si="291"/>
        <v>WTP</v>
      </c>
      <c r="L1904" t="str">
        <f t="shared" ca="1" si="292"/>
        <v>imp</v>
      </c>
      <c r="M1904" t="str">
        <f t="shared" ca="1" si="289"/>
        <v>GOV</v>
      </c>
      <c r="N1904">
        <f t="shared" ca="1" si="290"/>
        <v>1.1914686316876325E-6</v>
      </c>
    </row>
    <row r="1905" spans="6:14" x14ac:dyDescent="0.35">
      <c r="F1905">
        <f t="shared" si="297"/>
        <v>28</v>
      </c>
      <c r="G1905">
        <f t="shared" si="294"/>
        <v>22</v>
      </c>
      <c r="H1905">
        <f t="shared" si="295"/>
        <v>1</v>
      </c>
      <c r="K1905" t="str">
        <f t="shared" ca="1" si="291"/>
        <v>ATP</v>
      </c>
      <c r="L1905" t="str">
        <f t="shared" ca="1" si="292"/>
        <v>imp</v>
      </c>
      <c r="M1905" t="str">
        <f t="shared" ca="1" si="289"/>
        <v>GOV</v>
      </c>
      <c r="N1905">
        <f t="shared" ca="1" si="290"/>
        <v>1.1914686316876325E-6</v>
      </c>
    </row>
    <row r="1906" spans="6:14" x14ac:dyDescent="0.35">
      <c r="F1906">
        <f t="shared" si="297"/>
        <v>28</v>
      </c>
      <c r="G1906">
        <f t="shared" si="294"/>
        <v>23</v>
      </c>
      <c r="H1906">
        <f t="shared" si="295"/>
        <v>1</v>
      </c>
      <c r="K1906" t="str">
        <f t="shared" ca="1" si="291"/>
        <v>WHS</v>
      </c>
      <c r="L1906" t="str">
        <f t="shared" ca="1" si="292"/>
        <v>imp</v>
      </c>
      <c r="M1906" t="str">
        <f t="shared" ca="1" si="289"/>
        <v>GOV</v>
      </c>
      <c r="N1906">
        <f t="shared" ca="1" si="290"/>
        <v>1.1914686316876325E-6</v>
      </c>
    </row>
    <row r="1907" spans="6:14" x14ac:dyDescent="0.35">
      <c r="F1907">
        <f t="shared" si="297"/>
        <v>28</v>
      </c>
      <c r="G1907">
        <f t="shared" si="294"/>
        <v>24</v>
      </c>
      <c r="H1907">
        <f t="shared" si="295"/>
        <v>1</v>
      </c>
      <c r="K1907" t="str">
        <f t="shared" ca="1" si="291"/>
        <v>CMN</v>
      </c>
      <c r="L1907" t="str">
        <f t="shared" ca="1" si="292"/>
        <v>imp</v>
      </c>
      <c r="M1907" t="str">
        <f t="shared" ca="1" si="289"/>
        <v>GOV</v>
      </c>
      <c r="N1907">
        <f t="shared" ca="1" si="290"/>
        <v>1.1914686316876325E-6</v>
      </c>
    </row>
    <row r="1908" spans="6:14" x14ac:dyDescent="0.35">
      <c r="F1908">
        <f t="shared" si="297"/>
        <v>28</v>
      </c>
      <c r="G1908">
        <f t="shared" si="294"/>
        <v>25</v>
      </c>
      <c r="H1908">
        <f t="shared" si="295"/>
        <v>1</v>
      </c>
      <c r="K1908" t="str">
        <f t="shared" ca="1" si="291"/>
        <v>OFI</v>
      </c>
      <c r="L1908" t="str">
        <f t="shared" ca="1" si="292"/>
        <v>imp</v>
      </c>
      <c r="M1908" t="str">
        <f t="shared" ca="1" si="289"/>
        <v>GOV</v>
      </c>
      <c r="N1908">
        <f t="shared" ca="1" si="290"/>
        <v>1.1914686316876325E-6</v>
      </c>
    </row>
    <row r="1909" spans="6:14" x14ac:dyDescent="0.35">
      <c r="F1909">
        <f t="shared" ref="F1909:F1924" si="298">F1843+1</f>
        <v>28</v>
      </c>
      <c r="G1909">
        <f t="shared" si="294"/>
        <v>26</v>
      </c>
      <c r="H1909">
        <f t="shared" si="295"/>
        <v>1</v>
      </c>
      <c r="K1909" t="str">
        <f t="shared" ca="1" si="291"/>
        <v>RSA</v>
      </c>
      <c r="L1909" t="str">
        <f t="shared" ca="1" si="292"/>
        <v>imp</v>
      </c>
      <c r="M1909" t="str">
        <f t="shared" ca="1" si="289"/>
        <v>GOV</v>
      </c>
      <c r="N1909">
        <f t="shared" ca="1" si="290"/>
        <v>1.1914686316876325E-6</v>
      </c>
    </row>
    <row r="1910" spans="6:14" x14ac:dyDescent="0.35">
      <c r="F1910">
        <f t="shared" si="298"/>
        <v>28</v>
      </c>
      <c r="G1910">
        <f t="shared" si="294"/>
        <v>27</v>
      </c>
      <c r="H1910">
        <f t="shared" si="295"/>
        <v>1</v>
      </c>
      <c r="K1910" t="str">
        <f t="shared" ca="1" si="291"/>
        <v>OBS</v>
      </c>
      <c r="L1910" t="str">
        <f t="shared" ca="1" si="292"/>
        <v>imp</v>
      </c>
      <c r="M1910" t="str">
        <f t="shared" ca="1" si="289"/>
        <v>GOV</v>
      </c>
      <c r="N1910">
        <f t="shared" ca="1" si="290"/>
        <v>1.1914686316876325E-6</v>
      </c>
    </row>
    <row r="1911" spans="6:14" x14ac:dyDescent="0.35">
      <c r="F1911">
        <f t="shared" si="298"/>
        <v>28</v>
      </c>
      <c r="G1911">
        <f t="shared" si="294"/>
        <v>28</v>
      </c>
      <c r="H1911">
        <f t="shared" si="295"/>
        <v>1</v>
      </c>
      <c r="K1911" t="str">
        <f t="shared" ca="1" si="291"/>
        <v>GOV</v>
      </c>
      <c r="L1911" t="str">
        <f t="shared" ca="1" si="292"/>
        <v>imp</v>
      </c>
      <c r="M1911" t="str">
        <f t="shared" ca="1" si="289"/>
        <v>GOV</v>
      </c>
      <c r="N1911">
        <f t="shared" ca="1" si="290"/>
        <v>1.1914686316876325E-6</v>
      </c>
    </row>
    <row r="1912" spans="6:14" x14ac:dyDescent="0.35">
      <c r="F1912">
        <f t="shared" si="298"/>
        <v>28</v>
      </c>
      <c r="G1912">
        <f t="shared" si="294"/>
        <v>29</v>
      </c>
      <c r="H1912">
        <f t="shared" si="295"/>
        <v>1</v>
      </c>
      <c r="K1912" t="str">
        <f t="shared" ca="1" si="291"/>
        <v>EDU</v>
      </c>
      <c r="L1912" t="str">
        <f t="shared" ca="1" si="292"/>
        <v>imp</v>
      </c>
      <c r="M1912" t="str">
        <f t="shared" ca="1" si="289"/>
        <v>GOV</v>
      </c>
      <c r="N1912">
        <f t="shared" ca="1" si="290"/>
        <v>1.1914686316876325E-6</v>
      </c>
    </row>
    <row r="1913" spans="6:14" x14ac:dyDescent="0.35">
      <c r="F1913">
        <f t="shared" si="298"/>
        <v>28</v>
      </c>
      <c r="G1913">
        <f t="shared" si="294"/>
        <v>30</v>
      </c>
      <c r="H1913">
        <f t="shared" si="295"/>
        <v>1</v>
      </c>
      <c r="K1913" t="str">
        <f t="shared" ca="1" si="291"/>
        <v>HHT</v>
      </c>
      <c r="L1913" t="str">
        <f t="shared" ca="1" si="292"/>
        <v>imp</v>
      </c>
      <c r="M1913" t="str">
        <f t="shared" ca="1" si="289"/>
        <v>GOV</v>
      </c>
      <c r="N1913">
        <f t="shared" ca="1" si="290"/>
        <v>1.1914686316876325E-6</v>
      </c>
    </row>
    <row r="1914" spans="6:14" x14ac:dyDescent="0.35">
      <c r="F1914">
        <f t="shared" si="298"/>
        <v>28</v>
      </c>
      <c r="G1914">
        <f t="shared" si="294"/>
        <v>31</v>
      </c>
      <c r="H1914">
        <f t="shared" si="295"/>
        <v>1</v>
      </c>
      <c r="K1914" t="str">
        <f t="shared" ca="1" si="291"/>
        <v>REC</v>
      </c>
      <c r="L1914" t="str">
        <f t="shared" ca="1" si="292"/>
        <v>imp</v>
      </c>
      <c r="M1914" t="str">
        <f t="shared" ca="1" si="289"/>
        <v>GOV</v>
      </c>
      <c r="N1914">
        <f t="shared" ca="1" si="290"/>
        <v>1.1914686316876325E-6</v>
      </c>
    </row>
    <row r="1915" spans="6:14" x14ac:dyDescent="0.35">
      <c r="F1915">
        <f t="shared" si="298"/>
        <v>28</v>
      </c>
      <c r="G1915">
        <f t="shared" si="294"/>
        <v>32</v>
      </c>
      <c r="H1915">
        <f t="shared" si="295"/>
        <v>1</v>
      </c>
      <c r="K1915" t="str">
        <f t="shared" ca="1" si="291"/>
        <v>DWE</v>
      </c>
      <c r="L1915" t="str">
        <f t="shared" ca="1" si="292"/>
        <v>imp</v>
      </c>
      <c r="M1915" t="str">
        <f t="shared" ca="1" si="289"/>
        <v>GOV</v>
      </c>
      <c r="N1915">
        <f t="shared" ca="1" si="290"/>
        <v>1.1914686316876325E-6</v>
      </c>
    </row>
    <row r="1916" spans="6:14" x14ac:dyDescent="0.35">
      <c r="F1916">
        <f t="shared" si="298"/>
        <v>29</v>
      </c>
      <c r="G1916">
        <f t="shared" si="294"/>
        <v>0</v>
      </c>
      <c r="H1916">
        <f t="shared" si="295"/>
        <v>0</v>
      </c>
      <c r="K1916" t="str">
        <f t="shared" ca="1" si="291"/>
        <v>AG</v>
      </c>
      <c r="L1916" t="str">
        <f t="shared" ca="1" si="292"/>
        <v>dom</v>
      </c>
      <c r="M1916" t="str">
        <f t="shared" ca="1" si="289"/>
        <v>EDU</v>
      </c>
      <c r="N1916">
        <f t="shared" ca="1" si="290"/>
        <v>0.19392573246047848</v>
      </c>
    </row>
    <row r="1917" spans="6:14" x14ac:dyDescent="0.35">
      <c r="F1917">
        <f t="shared" si="298"/>
        <v>29</v>
      </c>
      <c r="G1917">
        <f t="shared" si="294"/>
        <v>1</v>
      </c>
      <c r="H1917">
        <f t="shared" si="295"/>
        <v>0</v>
      </c>
      <c r="K1917" t="str">
        <f t="shared" ca="1" si="291"/>
        <v>MIN</v>
      </c>
      <c r="L1917" t="str">
        <f t="shared" ca="1" si="292"/>
        <v>dom</v>
      </c>
      <c r="M1917" t="str">
        <f t="shared" ca="1" si="289"/>
        <v>EDU</v>
      </c>
      <c r="N1917">
        <f t="shared" ca="1" si="290"/>
        <v>0.33828737102271927</v>
      </c>
    </row>
    <row r="1918" spans="6:14" x14ac:dyDescent="0.35">
      <c r="F1918">
        <f t="shared" si="298"/>
        <v>29</v>
      </c>
      <c r="G1918">
        <f t="shared" si="294"/>
        <v>2</v>
      </c>
      <c r="H1918">
        <f t="shared" si="295"/>
        <v>0</v>
      </c>
      <c r="K1918" t="str">
        <f t="shared" ca="1" si="291"/>
        <v>FBT</v>
      </c>
      <c r="L1918" t="str">
        <f t="shared" ca="1" si="292"/>
        <v>dom</v>
      </c>
      <c r="M1918" t="str">
        <f t="shared" ca="1" si="289"/>
        <v>EDU</v>
      </c>
      <c r="N1918">
        <f t="shared" ca="1" si="290"/>
        <v>0.5696045075952284</v>
      </c>
    </row>
    <row r="1919" spans="6:14" x14ac:dyDescent="0.35">
      <c r="F1919">
        <f t="shared" si="298"/>
        <v>29</v>
      </c>
      <c r="G1919">
        <f t="shared" si="294"/>
        <v>3</v>
      </c>
      <c r="H1919">
        <f t="shared" si="295"/>
        <v>0</v>
      </c>
      <c r="K1919" t="str">
        <f t="shared" ca="1" si="291"/>
        <v>TEX</v>
      </c>
      <c r="L1919" t="str">
        <f t="shared" ca="1" si="292"/>
        <v>dom</v>
      </c>
      <c r="M1919" t="str">
        <f t="shared" ca="1" si="289"/>
        <v>EDU</v>
      </c>
      <c r="N1919">
        <f t="shared" ca="1" si="290"/>
        <v>2.9669861660139709</v>
      </c>
    </row>
    <row r="1920" spans="6:14" x14ac:dyDescent="0.35">
      <c r="F1920">
        <f t="shared" si="298"/>
        <v>29</v>
      </c>
      <c r="G1920">
        <f t="shared" si="294"/>
        <v>4</v>
      </c>
      <c r="H1920">
        <f t="shared" si="295"/>
        <v>0</v>
      </c>
      <c r="K1920" t="str">
        <f t="shared" ca="1" si="291"/>
        <v>LEATHER</v>
      </c>
      <c r="L1920" t="str">
        <f t="shared" ca="1" si="292"/>
        <v>dom</v>
      </c>
      <c r="M1920" t="str">
        <f t="shared" ca="1" si="289"/>
        <v>EDU</v>
      </c>
      <c r="N1920">
        <f t="shared" ca="1" si="290"/>
        <v>2.105319426289004E-2</v>
      </c>
    </row>
    <row r="1921" spans="6:14" x14ac:dyDescent="0.35">
      <c r="F1921">
        <f t="shared" si="298"/>
        <v>29</v>
      </c>
      <c r="G1921">
        <f t="shared" si="294"/>
        <v>5</v>
      </c>
      <c r="H1921">
        <f t="shared" si="295"/>
        <v>0</v>
      </c>
      <c r="K1921" t="str">
        <f t="shared" ca="1" si="291"/>
        <v>WOOD</v>
      </c>
      <c r="L1921" t="str">
        <f t="shared" ca="1" si="292"/>
        <v>dom</v>
      </c>
      <c r="M1921" t="str">
        <f t="shared" ca="1" si="289"/>
        <v>EDU</v>
      </c>
      <c r="N1921">
        <f t="shared" ca="1" si="290"/>
        <v>0.12960173853525556</v>
      </c>
    </row>
    <row r="1922" spans="6:14" x14ac:dyDescent="0.35">
      <c r="F1922">
        <f t="shared" si="298"/>
        <v>29</v>
      </c>
      <c r="G1922">
        <f t="shared" si="294"/>
        <v>6</v>
      </c>
      <c r="H1922">
        <f t="shared" si="295"/>
        <v>0</v>
      </c>
      <c r="K1922" t="str">
        <f t="shared" ca="1" si="291"/>
        <v>PPP</v>
      </c>
      <c r="L1922" t="str">
        <f t="shared" ca="1" si="292"/>
        <v>dom</v>
      </c>
      <c r="M1922" t="str">
        <f t="shared" ref="M1922:M1985" ca="1" si="299">OFFSET(A$2,F1922,0)</f>
        <v>EDU</v>
      </c>
      <c r="N1922">
        <f t="shared" ref="N1922:N1985" ca="1" si="300">SUMIFS(C:C,A:A,K1922,B:B,L1922)*SUMIFS(U:U,S:S,M1922)</f>
        <v>2.5940539342664759</v>
      </c>
    </row>
    <row r="1923" spans="6:14" x14ac:dyDescent="0.35">
      <c r="F1923">
        <f t="shared" si="298"/>
        <v>29</v>
      </c>
      <c r="G1923">
        <f t="shared" si="294"/>
        <v>7</v>
      </c>
      <c r="H1923">
        <f t="shared" si="295"/>
        <v>0</v>
      </c>
      <c r="K1923" t="str">
        <f t="shared" ref="K1923:K1986" ca="1" si="301">OFFSET(A$2,G1923,0)</f>
        <v>PC</v>
      </c>
      <c r="L1923" t="str">
        <f t="shared" ref="L1923:L1986" ca="1" si="302">OFFSET($V$3,H1923,0)</f>
        <v>dom</v>
      </c>
      <c r="M1923" t="str">
        <f t="shared" ca="1" si="299"/>
        <v>EDU</v>
      </c>
      <c r="N1923">
        <f t="shared" ca="1" si="300"/>
        <v>0.39528385754751844</v>
      </c>
    </row>
    <row r="1924" spans="6:14" x14ac:dyDescent="0.35">
      <c r="F1924">
        <f t="shared" si="298"/>
        <v>29</v>
      </c>
      <c r="G1924">
        <f t="shared" si="294"/>
        <v>8</v>
      </c>
      <c r="H1924">
        <f t="shared" si="295"/>
        <v>0</v>
      </c>
      <c r="K1924" t="str">
        <f t="shared" ca="1" si="301"/>
        <v>CHM</v>
      </c>
      <c r="L1924" t="str">
        <f t="shared" ca="1" si="302"/>
        <v>dom</v>
      </c>
      <c r="M1924" t="str">
        <f t="shared" ca="1" si="299"/>
        <v>EDU</v>
      </c>
      <c r="N1924">
        <f t="shared" ca="1" si="300"/>
        <v>2.4615118803095597</v>
      </c>
    </row>
    <row r="1925" spans="6:14" x14ac:dyDescent="0.35">
      <c r="F1925">
        <f t="shared" ref="F1925:F1940" si="303">F1859+1</f>
        <v>29</v>
      </c>
      <c r="G1925">
        <f t="shared" ref="G1925:G1988" si="304">G1892</f>
        <v>9</v>
      </c>
      <c r="H1925">
        <f t="shared" ref="H1925:H1988" si="305">H1859</f>
        <v>0</v>
      </c>
      <c r="K1925" t="str">
        <f t="shared" ca="1" si="301"/>
        <v>RUBBER</v>
      </c>
      <c r="L1925" t="str">
        <f t="shared" ca="1" si="302"/>
        <v>dom</v>
      </c>
      <c r="M1925" t="str">
        <f t="shared" ca="1" si="299"/>
        <v>EDU</v>
      </c>
      <c r="N1925">
        <f t="shared" ca="1" si="300"/>
        <v>3.8532593270382041</v>
      </c>
    </row>
    <row r="1926" spans="6:14" x14ac:dyDescent="0.35">
      <c r="F1926">
        <f t="shared" si="303"/>
        <v>29</v>
      </c>
      <c r="G1926">
        <f t="shared" si="304"/>
        <v>10</v>
      </c>
      <c r="H1926">
        <f t="shared" si="305"/>
        <v>0</v>
      </c>
      <c r="K1926" t="str">
        <f t="shared" ca="1" si="301"/>
        <v>NMM</v>
      </c>
      <c r="L1926" t="str">
        <f t="shared" ca="1" si="302"/>
        <v>dom</v>
      </c>
      <c r="M1926" t="str">
        <f t="shared" ca="1" si="299"/>
        <v>EDU</v>
      </c>
      <c r="N1926">
        <f t="shared" ca="1" si="300"/>
        <v>3.5695658371168228</v>
      </c>
    </row>
    <row r="1927" spans="6:14" x14ac:dyDescent="0.35">
      <c r="F1927">
        <f t="shared" si="303"/>
        <v>29</v>
      </c>
      <c r="G1927">
        <f t="shared" si="304"/>
        <v>11</v>
      </c>
      <c r="H1927">
        <f t="shared" si="305"/>
        <v>0</v>
      </c>
      <c r="K1927" t="str">
        <f t="shared" ca="1" si="301"/>
        <v>METAL</v>
      </c>
      <c r="L1927" t="str">
        <f t="shared" ca="1" si="302"/>
        <v>dom</v>
      </c>
      <c r="M1927" t="str">
        <f t="shared" ca="1" si="299"/>
        <v>EDU</v>
      </c>
      <c r="N1927">
        <f t="shared" ca="1" si="300"/>
        <v>10.440362377018666</v>
      </c>
    </row>
    <row r="1928" spans="6:14" x14ac:dyDescent="0.35">
      <c r="F1928">
        <f t="shared" si="303"/>
        <v>29</v>
      </c>
      <c r="G1928">
        <f t="shared" si="304"/>
        <v>12</v>
      </c>
      <c r="H1928">
        <f t="shared" si="305"/>
        <v>0</v>
      </c>
      <c r="K1928" t="str">
        <f t="shared" ca="1" si="301"/>
        <v>MACH</v>
      </c>
      <c r="L1928" t="str">
        <f t="shared" ca="1" si="302"/>
        <v>dom</v>
      </c>
      <c r="M1928" t="str">
        <f t="shared" ca="1" si="299"/>
        <v>EDU</v>
      </c>
      <c r="N1928">
        <f t="shared" ca="1" si="300"/>
        <v>15.111601485989143</v>
      </c>
    </row>
    <row r="1929" spans="6:14" x14ac:dyDescent="0.35">
      <c r="F1929">
        <f t="shared" si="303"/>
        <v>29</v>
      </c>
      <c r="G1929">
        <f t="shared" si="304"/>
        <v>13</v>
      </c>
      <c r="H1929">
        <f t="shared" si="305"/>
        <v>0</v>
      </c>
      <c r="K1929" t="str">
        <f t="shared" ca="1" si="301"/>
        <v>ELEC</v>
      </c>
      <c r="L1929" t="str">
        <f t="shared" ca="1" si="302"/>
        <v>dom</v>
      </c>
      <c r="M1929" t="str">
        <f t="shared" ca="1" si="299"/>
        <v>EDU</v>
      </c>
      <c r="N1929">
        <f t="shared" ca="1" si="300"/>
        <v>3.1435412102662399</v>
      </c>
    </row>
    <row r="1930" spans="6:14" x14ac:dyDescent="0.35">
      <c r="F1930">
        <f t="shared" si="303"/>
        <v>29</v>
      </c>
      <c r="G1930">
        <f t="shared" si="304"/>
        <v>14</v>
      </c>
      <c r="H1930">
        <f t="shared" si="305"/>
        <v>0</v>
      </c>
      <c r="K1930" t="str">
        <f t="shared" ca="1" si="301"/>
        <v>TRNEQUIP</v>
      </c>
      <c r="L1930" t="str">
        <f t="shared" ca="1" si="302"/>
        <v>dom</v>
      </c>
      <c r="M1930" t="str">
        <f t="shared" ca="1" si="299"/>
        <v>EDU</v>
      </c>
      <c r="N1930">
        <f t="shared" ca="1" si="300"/>
        <v>4.5408701855196902</v>
      </c>
    </row>
    <row r="1931" spans="6:14" x14ac:dyDescent="0.35">
      <c r="F1931">
        <f t="shared" si="303"/>
        <v>29</v>
      </c>
      <c r="G1931">
        <f t="shared" si="304"/>
        <v>15</v>
      </c>
      <c r="H1931">
        <f t="shared" si="305"/>
        <v>0</v>
      </c>
      <c r="K1931" t="str">
        <f t="shared" ca="1" si="301"/>
        <v>ROMAN</v>
      </c>
      <c r="L1931" t="str">
        <f t="shared" ca="1" si="302"/>
        <v>dom</v>
      </c>
      <c r="M1931" t="str">
        <f t="shared" ca="1" si="299"/>
        <v>EDU</v>
      </c>
      <c r="N1931">
        <f t="shared" ca="1" si="300"/>
        <v>12.364494677161522</v>
      </c>
    </row>
    <row r="1932" spans="6:14" x14ac:dyDescent="0.35">
      <c r="F1932">
        <f t="shared" si="303"/>
        <v>29</v>
      </c>
      <c r="G1932">
        <f t="shared" si="304"/>
        <v>16</v>
      </c>
      <c r="H1932">
        <f t="shared" si="305"/>
        <v>0</v>
      </c>
      <c r="K1932" t="str">
        <f t="shared" ca="1" si="301"/>
        <v>ELYGASWTR</v>
      </c>
      <c r="L1932" t="str">
        <f t="shared" ca="1" si="302"/>
        <v>dom</v>
      </c>
      <c r="M1932" t="str">
        <f t="shared" ca="1" si="299"/>
        <v>EDU</v>
      </c>
      <c r="N1932">
        <f t="shared" ca="1" si="300"/>
        <v>2.8214956990978003E-7</v>
      </c>
    </row>
    <row r="1933" spans="6:14" x14ac:dyDescent="0.35">
      <c r="F1933">
        <f t="shared" si="303"/>
        <v>29</v>
      </c>
      <c r="G1933">
        <f t="shared" si="304"/>
        <v>17</v>
      </c>
      <c r="H1933">
        <f t="shared" si="305"/>
        <v>0</v>
      </c>
      <c r="K1933" t="str">
        <f t="shared" ca="1" si="301"/>
        <v>CNS</v>
      </c>
      <c r="L1933" t="str">
        <f t="shared" ca="1" si="302"/>
        <v>dom</v>
      </c>
      <c r="M1933" t="str">
        <f t="shared" ca="1" si="299"/>
        <v>EDU</v>
      </c>
      <c r="N1933">
        <f t="shared" ca="1" si="300"/>
        <v>410.72922123443868</v>
      </c>
    </row>
    <row r="1934" spans="6:14" x14ac:dyDescent="0.35">
      <c r="F1934">
        <f t="shared" si="303"/>
        <v>29</v>
      </c>
      <c r="G1934">
        <f t="shared" si="304"/>
        <v>18</v>
      </c>
      <c r="H1934">
        <f t="shared" si="305"/>
        <v>0</v>
      </c>
      <c r="K1934" t="str">
        <f t="shared" ca="1" si="301"/>
        <v>TRD</v>
      </c>
      <c r="L1934" t="str">
        <f t="shared" ca="1" si="302"/>
        <v>dom</v>
      </c>
      <c r="M1934" t="str">
        <f t="shared" ca="1" si="299"/>
        <v>EDU</v>
      </c>
      <c r="N1934">
        <f t="shared" ca="1" si="300"/>
        <v>65.67286411962769</v>
      </c>
    </row>
    <row r="1935" spans="6:14" x14ac:dyDescent="0.35">
      <c r="F1935">
        <f t="shared" si="303"/>
        <v>29</v>
      </c>
      <c r="G1935">
        <f t="shared" si="304"/>
        <v>19</v>
      </c>
      <c r="H1935">
        <f t="shared" si="305"/>
        <v>0</v>
      </c>
      <c r="K1935" t="str">
        <f t="shared" ca="1" si="301"/>
        <v>AFS</v>
      </c>
      <c r="L1935" t="str">
        <f t="shared" ca="1" si="302"/>
        <v>dom</v>
      </c>
      <c r="M1935" t="str">
        <f t="shared" ca="1" si="299"/>
        <v>EDU</v>
      </c>
      <c r="N1935">
        <f t="shared" ca="1" si="300"/>
        <v>2.8214956990978003E-7</v>
      </c>
    </row>
    <row r="1936" spans="6:14" x14ac:dyDescent="0.35">
      <c r="F1936">
        <f t="shared" si="303"/>
        <v>29</v>
      </c>
      <c r="G1936">
        <f t="shared" si="304"/>
        <v>20</v>
      </c>
      <c r="H1936">
        <f t="shared" si="305"/>
        <v>0</v>
      </c>
      <c r="K1936" t="str">
        <f t="shared" ca="1" si="301"/>
        <v>OTP</v>
      </c>
      <c r="L1936" t="str">
        <f t="shared" ca="1" si="302"/>
        <v>dom</v>
      </c>
      <c r="M1936" t="str">
        <f t="shared" ca="1" si="299"/>
        <v>EDU</v>
      </c>
      <c r="N1936">
        <f t="shared" ca="1" si="300"/>
        <v>2.8214956990978003E-7</v>
      </c>
    </row>
    <row r="1937" spans="6:14" x14ac:dyDescent="0.35">
      <c r="F1937">
        <f t="shared" si="303"/>
        <v>29</v>
      </c>
      <c r="G1937">
        <f t="shared" si="304"/>
        <v>21</v>
      </c>
      <c r="H1937">
        <f t="shared" si="305"/>
        <v>0</v>
      </c>
      <c r="K1937" t="str">
        <f t="shared" ca="1" si="301"/>
        <v>WTP</v>
      </c>
      <c r="L1937" t="str">
        <f t="shared" ca="1" si="302"/>
        <v>dom</v>
      </c>
      <c r="M1937" t="str">
        <f t="shared" ca="1" si="299"/>
        <v>EDU</v>
      </c>
      <c r="N1937">
        <f t="shared" ca="1" si="300"/>
        <v>2.8214956990978003E-7</v>
      </c>
    </row>
    <row r="1938" spans="6:14" x14ac:dyDescent="0.35">
      <c r="F1938">
        <f t="shared" si="303"/>
        <v>29</v>
      </c>
      <c r="G1938">
        <f t="shared" si="304"/>
        <v>22</v>
      </c>
      <c r="H1938">
        <f t="shared" si="305"/>
        <v>0</v>
      </c>
      <c r="K1938" t="str">
        <f t="shared" ca="1" si="301"/>
        <v>ATP</v>
      </c>
      <c r="L1938" t="str">
        <f t="shared" ca="1" si="302"/>
        <v>dom</v>
      </c>
      <c r="M1938" t="str">
        <f t="shared" ca="1" si="299"/>
        <v>EDU</v>
      </c>
      <c r="N1938">
        <f t="shared" ca="1" si="300"/>
        <v>2.8214956990978003E-7</v>
      </c>
    </row>
    <row r="1939" spans="6:14" x14ac:dyDescent="0.35">
      <c r="F1939">
        <f t="shared" si="303"/>
        <v>29</v>
      </c>
      <c r="G1939">
        <f t="shared" si="304"/>
        <v>23</v>
      </c>
      <c r="H1939">
        <f t="shared" si="305"/>
        <v>0</v>
      </c>
      <c r="K1939" t="str">
        <f t="shared" ca="1" si="301"/>
        <v>WHS</v>
      </c>
      <c r="L1939" t="str">
        <f t="shared" ca="1" si="302"/>
        <v>dom</v>
      </c>
      <c r="M1939" t="str">
        <f t="shared" ca="1" si="299"/>
        <v>EDU</v>
      </c>
      <c r="N1939">
        <f t="shared" ca="1" si="300"/>
        <v>2.8214956990978003E-7</v>
      </c>
    </row>
    <row r="1940" spans="6:14" x14ac:dyDescent="0.35">
      <c r="F1940">
        <f t="shared" si="303"/>
        <v>29</v>
      </c>
      <c r="G1940">
        <f t="shared" si="304"/>
        <v>24</v>
      </c>
      <c r="H1940">
        <f t="shared" si="305"/>
        <v>0</v>
      </c>
      <c r="K1940" t="str">
        <f t="shared" ca="1" si="301"/>
        <v>CMN</v>
      </c>
      <c r="L1940" t="str">
        <f t="shared" ca="1" si="302"/>
        <v>dom</v>
      </c>
      <c r="M1940" t="str">
        <f t="shared" ca="1" si="299"/>
        <v>EDU</v>
      </c>
      <c r="N1940">
        <f t="shared" ca="1" si="300"/>
        <v>2.8214956990978003E-7</v>
      </c>
    </row>
    <row r="1941" spans="6:14" x14ac:dyDescent="0.35">
      <c r="F1941">
        <f t="shared" ref="F1941:F1956" si="306">F1875+1</f>
        <v>29</v>
      </c>
      <c r="G1941">
        <f t="shared" si="304"/>
        <v>25</v>
      </c>
      <c r="H1941">
        <f t="shared" si="305"/>
        <v>0</v>
      </c>
      <c r="K1941" t="str">
        <f t="shared" ca="1" si="301"/>
        <v>OFI</v>
      </c>
      <c r="L1941" t="str">
        <f t="shared" ca="1" si="302"/>
        <v>dom</v>
      </c>
      <c r="M1941" t="str">
        <f t="shared" ca="1" si="299"/>
        <v>EDU</v>
      </c>
      <c r="N1941">
        <f t="shared" ca="1" si="300"/>
        <v>2.8214956990978003E-7</v>
      </c>
    </row>
    <row r="1942" spans="6:14" x14ac:dyDescent="0.35">
      <c r="F1942">
        <f t="shared" si="306"/>
        <v>29</v>
      </c>
      <c r="G1942">
        <f t="shared" si="304"/>
        <v>26</v>
      </c>
      <c r="H1942">
        <f t="shared" si="305"/>
        <v>0</v>
      </c>
      <c r="K1942" t="str">
        <f t="shared" ca="1" si="301"/>
        <v>RSA</v>
      </c>
      <c r="L1942" t="str">
        <f t="shared" ca="1" si="302"/>
        <v>dom</v>
      </c>
      <c r="M1942" t="str">
        <f t="shared" ca="1" si="299"/>
        <v>EDU</v>
      </c>
      <c r="N1942">
        <f t="shared" ca="1" si="300"/>
        <v>2.8214956990978003E-7</v>
      </c>
    </row>
    <row r="1943" spans="6:14" x14ac:dyDescent="0.35">
      <c r="F1943">
        <f t="shared" si="306"/>
        <v>29</v>
      </c>
      <c r="G1943">
        <f t="shared" si="304"/>
        <v>27</v>
      </c>
      <c r="H1943">
        <f t="shared" si="305"/>
        <v>0</v>
      </c>
      <c r="K1943" t="str">
        <f t="shared" ca="1" si="301"/>
        <v>OBS</v>
      </c>
      <c r="L1943" t="str">
        <f t="shared" ca="1" si="302"/>
        <v>dom</v>
      </c>
      <c r="M1943" t="str">
        <f t="shared" ca="1" si="299"/>
        <v>EDU</v>
      </c>
      <c r="N1943">
        <f t="shared" ca="1" si="300"/>
        <v>2.8214956990978003E-7</v>
      </c>
    </row>
    <row r="1944" spans="6:14" x14ac:dyDescent="0.35">
      <c r="F1944">
        <f t="shared" si="306"/>
        <v>29</v>
      </c>
      <c r="G1944">
        <f t="shared" si="304"/>
        <v>28</v>
      </c>
      <c r="H1944">
        <f t="shared" si="305"/>
        <v>0</v>
      </c>
      <c r="K1944" t="str">
        <f t="shared" ca="1" si="301"/>
        <v>GOV</v>
      </c>
      <c r="L1944" t="str">
        <f t="shared" ca="1" si="302"/>
        <v>dom</v>
      </c>
      <c r="M1944" t="str">
        <f t="shared" ca="1" si="299"/>
        <v>EDU</v>
      </c>
      <c r="N1944">
        <f t="shared" ca="1" si="300"/>
        <v>2.8214956990978003E-7</v>
      </c>
    </row>
    <row r="1945" spans="6:14" x14ac:dyDescent="0.35">
      <c r="F1945">
        <f t="shared" si="306"/>
        <v>29</v>
      </c>
      <c r="G1945">
        <f t="shared" si="304"/>
        <v>29</v>
      </c>
      <c r="H1945">
        <f t="shared" si="305"/>
        <v>0</v>
      </c>
      <c r="K1945" t="str">
        <f t="shared" ca="1" si="301"/>
        <v>EDU</v>
      </c>
      <c r="L1945" t="str">
        <f t="shared" ca="1" si="302"/>
        <v>dom</v>
      </c>
      <c r="M1945" t="str">
        <f t="shared" ca="1" si="299"/>
        <v>EDU</v>
      </c>
      <c r="N1945">
        <f t="shared" ca="1" si="300"/>
        <v>2.8214956990978003E-7</v>
      </c>
    </row>
    <row r="1946" spans="6:14" x14ac:dyDescent="0.35">
      <c r="F1946">
        <f t="shared" si="306"/>
        <v>29</v>
      </c>
      <c r="G1946">
        <f t="shared" si="304"/>
        <v>30</v>
      </c>
      <c r="H1946">
        <f t="shared" si="305"/>
        <v>0</v>
      </c>
      <c r="K1946" t="str">
        <f t="shared" ca="1" si="301"/>
        <v>HHT</v>
      </c>
      <c r="L1946" t="str">
        <f t="shared" ca="1" si="302"/>
        <v>dom</v>
      </c>
      <c r="M1946" t="str">
        <f t="shared" ca="1" si="299"/>
        <v>EDU</v>
      </c>
      <c r="N1946">
        <f t="shared" ca="1" si="300"/>
        <v>2.8214956990978003E-7</v>
      </c>
    </row>
    <row r="1947" spans="6:14" x14ac:dyDescent="0.35">
      <c r="F1947">
        <f t="shared" si="306"/>
        <v>29</v>
      </c>
      <c r="G1947">
        <f t="shared" si="304"/>
        <v>31</v>
      </c>
      <c r="H1947">
        <f t="shared" si="305"/>
        <v>0</v>
      </c>
      <c r="K1947" t="str">
        <f t="shared" ca="1" si="301"/>
        <v>REC</v>
      </c>
      <c r="L1947" t="str">
        <f t="shared" ca="1" si="302"/>
        <v>dom</v>
      </c>
      <c r="M1947" t="str">
        <f t="shared" ca="1" si="299"/>
        <v>EDU</v>
      </c>
      <c r="N1947">
        <f t="shared" ca="1" si="300"/>
        <v>2.8214956990978003E-7</v>
      </c>
    </row>
    <row r="1948" spans="6:14" x14ac:dyDescent="0.35">
      <c r="F1948">
        <f t="shared" si="306"/>
        <v>29</v>
      </c>
      <c r="G1948">
        <f t="shared" si="304"/>
        <v>32</v>
      </c>
      <c r="H1948">
        <f t="shared" si="305"/>
        <v>0</v>
      </c>
      <c r="K1948" t="str">
        <f t="shared" ca="1" si="301"/>
        <v>DWE</v>
      </c>
      <c r="L1948" t="str">
        <f t="shared" ca="1" si="302"/>
        <v>dom</v>
      </c>
      <c r="M1948" t="str">
        <f t="shared" ca="1" si="299"/>
        <v>EDU</v>
      </c>
      <c r="N1948">
        <f t="shared" ca="1" si="300"/>
        <v>2.8214956990978003E-7</v>
      </c>
    </row>
    <row r="1949" spans="6:14" x14ac:dyDescent="0.35">
      <c r="F1949">
        <f t="shared" si="306"/>
        <v>29</v>
      </c>
      <c r="G1949">
        <f t="shared" si="304"/>
        <v>0</v>
      </c>
      <c r="H1949">
        <f t="shared" si="305"/>
        <v>1</v>
      </c>
      <c r="K1949" t="str">
        <f t="shared" ca="1" si="301"/>
        <v>AG</v>
      </c>
      <c r="L1949" t="str">
        <f t="shared" ca="1" si="302"/>
        <v>imp</v>
      </c>
      <c r="M1949" t="str">
        <f t="shared" ca="1" si="299"/>
        <v>EDU</v>
      </c>
      <c r="N1949">
        <f t="shared" ca="1" si="300"/>
        <v>2.6103981742636093</v>
      </c>
    </row>
    <row r="1950" spans="6:14" x14ac:dyDescent="0.35">
      <c r="F1950">
        <f t="shared" si="306"/>
        <v>29</v>
      </c>
      <c r="G1950">
        <f t="shared" si="304"/>
        <v>1</v>
      </c>
      <c r="H1950">
        <f t="shared" si="305"/>
        <v>1</v>
      </c>
      <c r="K1950" t="str">
        <f t="shared" ca="1" si="301"/>
        <v>MIN</v>
      </c>
      <c r="L1950" t="str">
        <f t="shared" ca="1" si="302"/>
        <v>imp</v>
      </c>
      <c r="M1950" t="str">
        <f t="shared" ca="1" si="299"/>
        <v>EDU</v>
      </c>
      <c r="N1950">
        <f t="shared" ca="1" si="300"/>
        <v>4.118246883731568</v>
      </c>
    </row>
    <row r="1951" spans="6:14" x14ac:dyDescent="0.35">
      <c r="F1951">
        <f t="shared" si="306"/>
        <v>29</v>
      </c>
      <c r="G1951">
        <f t="shared" si="304"/>
        <v>2</v>
      </c>
      <c r="H1951">
        <f t="shared" si="305"/>
        <v>1</v>
      </c>
      <c r="K1951" t="str">
        <f t="shared" ca="1" si="301"/>
        <v>FBT</v>
      </c>
      <c r="L1951" t="str">
        <f t="shared" ca="1" si="302"/>
        <v>imp</v>
      </c>
      <c r="M1951" t="str">
        <f t="shared" ca="1" si="299"/>
        <v>EDU</v>
      </c>
      <c r="N1951">
        <f t="shared" ca="1" si="300"/>
        <v>1.0305116903533493</v>
      </c>
    </row>
    <row r="1952" spans="6:14" x14ac:dyDescent="0.35">
      <c r="F1952">
        <f t="shared" si="306"/>
        <v>29</v>
      </c>
      <c r="G1952">
        <f t="shared" si="304"/>
        <v>3</v>
      </c>
      <c r="H1952">
        <f t="shared" si="305"/>
        <v>1</v>
      </c>
      <c r="K1952" t="str">
        <f t="shared" ca="1" si="301"/>
        <v>TEX</v>
      </c>
      <c r="L1952" t="str">
        <f t="shared" ca="1" si="302"/>
        <v>imp</v>
      </c>
      <c r="M1952" t="str">
        <f t="shared" ca="1" si="299"/>
        <v>EDU</v>
      </c>
      <c r="N1952">
        <f t="shared" ca="1" si="300"/>
        <v>20.222777817524726</v>
      </c>
    </row>
    <row r="1953" spans="6:14" x14ac:dyDescent="0.35">
      <c r="F1953">
        <f t="shared" si="306"/>
        <v>29</v>
      </c>
      <c r="G1953">
        <f t="shared" si="304"/>
        <v>4</v>
      </c>
      <c r="H1953">
        <f t="shared" si="305"/>
        <v>1</v>
      </c>
      <c r="K1953" t="str">
        <f t="shared" ca="1" si="301"/>
        <v>LEATHER</v>
      </c>
      <c r="L1953" t="str">
        <f t="shared" ca="1" si="302"/>
        <v>imp</v>
      </c>
      <c r="M1953" t="str">
        <f t="shared" ca="1" si="299"/>
        <v>EDU</v>
      </c>
      <c r="N1953">
        <f t="shared" ca="1" si="300"/>
        <v>10.539494559238396</v>
      </c>
    </row>
    <row r="1954" spans="6:14" x14ac:dyDescent="0.35">
      <c r="F1954">
        <f t="shared" si="306"/>
        <v>29</v>
      </c>
      <c r="G1954">
        <f t="shared" si="304"/>
        <v>5</v>
      </c>
      <c r="H1954">
        <f t="shared" si="305"/>
        <v>1</v>
      </c>
      <c r="K1954" t="str">
        <f t="shared" ca="1" si="301"/>
        <v>WOOD</v>
      </c>
      <c r="L1954" t="str">
        <f t="shared" ca="1" si="302"/>
        <v>imp</v>
      </c>
      <c r="M1954" t="str">
        <f t="shared" ca="1" si="299"/>
        <v>EDU</v>
      </c>
      <c r="N1954">
        <f t="shared" ca="1" si="300"/>
        <v>0.18864924040959252</v>
      </c>
    </row>
    <row r="1955" spans="6:14" x14ac:dyDescent="0.35">
      <c r="F1955">
        <f t="shared" si="306"/>
        <v>29</v>
      </c>
      <c r="G1955">
        <f t="shared" si="304"/>
        <v>6</v>
      </c>
      <c r="H1955">
        <f t="shared" si="305"/>
        <v>1</v>
      </c>
      <c r="K1955" t="str">
        <f t="shared" ca="1" si="301"/>
        <v>PPP</v>
      </c>
      <c r="L1955" t="str">
        <f t="shared" ca="1" si="302"/>
        <v>imp</v>
      </c>
      <c r="M1955" t="str">
        <f t="shared" ca="1" si="299"/>
        <v>EDU</v>
      </c>
      <c r="N1955">
        <f t="shared" ca="1" si="300"/>
        <v>2.7165300265347234</v>
      </c>
    </row>
    <row r="1956" spans="6:14" x14ac:dyDescent="0.35">
      <c r="F1956">
        <f t="shared" si="306"/>
        <v>29</v>
      </c>
      <c r="G1956">
        <f t="shared" si="304"/>
        <v>7</v>
      </c>
      <c r="H1956">
        <f t="shared" si="305"/>
        <v>1</v>
      </c>
      <c r="K1956" t="str">
        <f t="shared" ca="1" si="301"/>
        <v>PC</v>
      </c>
      <c r="L1956" t="str">
        <f t="shared" ca="1" si="302"/>
        <v>imp</v>
      </c>
      <c r="M1956" t="str">
        <f t="shared" ca="1" si="299"/>
        <v>EDU</v>
      </c>
      <c r="N1956">
        <f t="shared" ca="1" si="300"/>
        <v>0.6840542040953671</v>
      </c>
    </row>
    <row r="1957" spans="6:14" x14ac:dyDescent="0.35">
      <c r="F1957">
        <f t="shared" ref="F1957:F1972" si="307">F1891+1</f>
        <v>29</v>
      </c>
      <c r="G1957">
        <f t="shared" si="304"/>
        <v>8</v>
      </c>
      <c r="H1957">
        <f t="shared" si="305"/>
        <v>1</v>
      </c>
      <c r="K1957" t="str">
        <f t="shared" ca="1" si="301"/>
        <v>CHM</v>
      </c>
      <c r="L1957" t="str">
        <f t="shared" ca="1" si="302"/>
        <v>imp</v>
      </c>
      <c r="M1957" t="str">
        <f t="shared" ca="1" si="299"/>
        <v>EDU</v>
      </c>
      <c r="N1957">
        <f t="shared" ca="1" si="300"/>
        <v>9.3772409691214929</v>
      </c>
    </row>
    <row r="1958" spans="6:14" x14ac:dyDescent="0.35">
      <c r="F1958">
        <f t="shared" si="307"/>
        <v>29</v>
      </c>
      <c r="G1958">
        <f t="shared" si="304"/>
        <v>9</v>
      </c>
      <c r="H1958">
        <f t="shared" si="305"/>
        <v>1</v>
      </c>
      <c r="K1958" t="str">
        <f t="shared" ca="1" si="301"/>
        <v>RUBBER</v>
      </c>
      <c r="L1958" t="str">
        <f t="shared" ca="1" si="302"/>
        <v>imp</v>
      </c>
      <c r="M1958" t="str">
        <f t="shared" ca="1" si="299"/>
        <v>EDU</v>
      </c>
      <c r="N1958">
        <f t="shared" ca="1" si="300"/>
        <v>7.1817202174687482</v>
      </c>
    </row>
    <row r="1959" spans="6:14" x14ac:dyDescent="0.35">
      <c r="F1959">
        <f t="shared" si="307"/>
        <v>29</v>
      </c>
      <c r="G1959">
        <f t="shared" si="304"/>
        <v>10</v>
      </c>
      <c r="H1959">
        <f t="shared" si="305"/>
        <v>1</v>
      </c>
      <c r="K1959" t="str">
        <f t="shared" ca="1" si="301"/>
        <v>NMM</v>
      </c>
      <c r="L1959" t="str">
        <f t="shared" ca="1" si="302"/>
        <v>imp</v>
      </c>
      <c r="M1959" t="str">
        <f t="shared" ca="1" si="299"/>
        <v>EDU</v>
      </c>
      <c r="N1959">
        <f t="shared" ca="1" si="300"/>
        <v>2.711008723027089</v>
      </c>
    </row>
    <row r="1960" spans="6:14" x14ac:dyDescent="0.35">
      <c r="F1960">
        <f t="shared" si="307"/>
        <v>29</v>
      </c>
      <c r="G1960">
        <f t="shared" si="304"/>
        <v>11</v>
      </c>
      <c r="H1960">
        <f t="shared" si="305"/>
        <v>1</v>
      </c>
      <c r="K1960" t="str">
        <f t="shared" ca="1" si="301"/>
        <v>METAL</v>
      </c>
      <c r="L1960" t="str">
        <f t="shared" ca="1" si="302"/>
        <v>imp</v>
      </c>
      <c r="M1960" t="str">
        <f t="shared" ca="1" si="299"/>
        <v>EDU</v>
      </c>
      <c r="N1960">
        <f t="shared" ca="1" si="300"/>
        <v>33.934069603993336</v>
      </c>
    </row>
    <row r="1961" spans="6:14" x14ac:dyDescent="0.35">
      <c r="F1961">
        <f t="shared" si="307"/>
        <v>29</v>
      </c>
      <c r="G1961">
        <f t="shared" si="304"/>
        <v>12</v>
      </c>
      <c r="H1961">
        <f t="shared" si="305"/>
        <v>1</v>
      </c>
      <c r="K1961" t="str">
        <f t="shared" ca="1" si="301"/>
        <v>MACH</v>
      </c>
      <c r="L1961" t="str">
        <f t="shared" ca="1" si="302"/>
        <v>imp</v>
      </c>
      <c r="M1961" t="str">
        <f t="shared" ca="1" si="299"/>
        <v>EDU</v>
      </c>
      <c r="N1961">
        <f t="shared" ca="1" si="300"/>
        <v>129.99367948360853</v>
      </c>
    </row>
    <row r="1962" spans="6:14" x14ac:dyDescent="0.35">
      <c r="F1962">
        <f t="shared" si="307"/>
        <v>29</v>
      </c>
      <c r="G1962">
        <f t="shared" si="304"/>
        <v>13</v>
      </c>
      <c r="H1962">
        <f t="shared" si="305"/>
        <v>1</v>
      </c>
      <c r="K1962" t="str">
        <f t="shared" ca="1" si="301"/>
        <v>ELEC</v>
      </c>
      <c r="L1962" t="str">
        <f t="shared" ca="1" si="302"/>
        <v>imp</v>
      </c>
      <c r="M1962" t="str">
        <f t="shared" ca="1" si="299"/>
        <v>EDU</v>
      </c>
      <c r="N1962">
        <f t="shared" ca="1" si="300"/>
        <v>69.698645609295411</v>
      </c>
    </row>
    <row r="1963" spans="6:14" x14ac:dyDescent="0.35">
      <c r="F1963">
        <f t="shared" si="307"/>
        <v>29</v>
      </c>
      <c r="G1963">
        <f t="shared" si="304"/>
        <v>14</v>
      </c>
      <c r="H1963">
        <f t="shared" si="305"/>
        <v>1</v>
      </c>
      <c r="K1963" t="str">
        <f t="shared" ca="1" si="301"/>
        <v>TRNEQUIP</v>
      </c>
      <c r="L1963" t="str">
        <f t="shared" ca="1" si="302"/>
        <v>imp</v>
      </c>
      <c r="M1963" t="str">
        <f t="shared" ca="1" si="299"/>
        <v>EDU</v>
      </c>
      <c r="N1963">
        <f t="shared" ca="1" si="300"/>
        <v>111.23119874411</v>
      </c>
    </row>
    <row r="1964" spans="6:14" x14ac:dyDescent="0.35">
      <c r="F1964">
        <f t="shared" si="307"/>
        <v>29</v>
      </c>
      <c r="G1964">
        <f t="shared" si="304"/>
        <v>15</v>
      </c>
      <c r="H1964">
        <f t="shared" si="305"/>
        <v>1</v>
      </c>
      <c r="K1964" t="str">
        <f t="shared" ca="1" si="301"/>
        <v>ROMAN</v>
      </c>
      <c r="L1964" t="str">
        <f t="shared" ca="1" si="302"/>
        <v>imp</v>
      </c>
      <c r="M1964" t="str">
        <f t="shared" ca="1" si="299"/>
        <v>EDU</v>
      </c>
      <c r="N1964">
        <f t="shared" ca="1" si="300"/>
        <v>42.20497320097062</v>
      </c>
    </row>
    <row r="1965" spans="6:14" x14ac:dyDescent="0.35">
      <c r="F1965">
        <f t="shared" si="307"/>
        <v>29</v>
      </c>
      <c r="G1965">
        <f t="shared" si="304"/>
        <v>16</v>
      </c>
      <c r="H1965">
        <f t="shared" si="305"/>
        <v>1</v>
      </c>
      <c r="K1965" t="str">
        <f t="shared" ca="1" si="301"/>
        <v>ELYGASWTR</v>
      </c>
      <c r="L1965" t="str">
        <f t="shared" ca="1" si="302"/>
        <v>imp</v>
      </c>
      <c r="M1965" t="str">
        <f t="shared" ca="1" si="299"/>
        <v>EDU</v>
      </c>
      <c r="N1965">
        <f t="shared" ca="1" si="300"/>
        <v>2.8214956990978003E-7</v>
      </c>
    </row>
    <row r="1966" spans="6:14" x14ac:dyDescent="0.35">
      <c r="F1966">
        <f t="shared" si="307"/>
        <v>29</v>
      </c>
      <c r="G1966">
        <f t="shared" si="304"/>
        <v>17</v>
      </c>
      <c r="H1966">
        <f t="shared" si="305"/>
        <v>1</v>
      </c>
      <c r="K1966" t="str">
        <f t="shared" ca="1" si="301"/>
        <v>CNS</v>
      </c>
      <c r="L1966" t="str">
        <f t="shared" ca="1" si="302"/>
        <v>imp</v>
      </c>
      <c r="M1966" t="str">
        <f t="shared" ca="1" si="299"/>
        <v>EDU</v>
      </c>
      <c r="N1966">
        <f t="shared" ca="1" si="300"/>
        <v>8.261866739478311</v>
      </c>
    </row>
    <row r="1967" spans="6:14" x14ac:dyDescent="0.35">
      <c r="F1967">
        <f t="shared" si="307"/>
        <v>29</v>
      </c>
      <c r="G1967">
        <f t="shared" si="304"/>
        <v>18</v>
      </c>
      <c r="H1967">
        <f t="shared" si="305"/>
        <v>1</v>
      </c>
      <c r="K1967" t="str">
        <f t="shared" ca="1" si="301"/>
        <v>TRD</v>
      </c>
      <c r="L1967" t="str">
        <f t="shared" ca="1" si="302"/>
        <v>imp</v>
      </c>
      <c r="M1967" t="str">
        <f t="shared" ca="1" si="299"/>
        <v>EDU</v>
      </c>
      <c r="N1967">
        <f t="shared" ca="1" si="300"/>
        <v>0.72285752319976837</v>
      </c>
    </row>
    <row r="1968" spans="6:14" x14ac:dyDescent="0.35">
      <c r="F1968">
        <f t="shared" si="307"/>
        <v>29</v>
      </c>
      <c r="G1968">
        <f t="shared" si="304"/>
        <v>19</v>
      </c>
      <c r="H1968">
        <f t="shared" si="305"/>
        <v>1</v>
      </c>
      <c r="K1968" t="str">
        <f t="shared" ca="1" si="301"/>
        <v>AFS</v>
      </c>
      <c r="L1968" t="str">
        <f t="shared" ca="1" si="302"/>
        <v>imp</v>
      </c>
      <c r="M1968" t="str">
        <f t="shared" ca="1" si="299"/>
        <v>EDU</v>
      </c>
      <c r="N1968">
        <f t="shared" ca="1" si="300"/>
        <v>2.8214956990978003E-7</v>
      </c>
    </row>
    <row r="1969" spans="6:14" x14ac:dyDescent="0.35">
      <c r="F1969">
        <f t="shared" si="307"/>
        <v>29</v>
      </c>
      <c r="G1969">
        <f t="shared" si="304"/>
        <v>20</v>
      </c>
      <c r="H1969">
        <f t="shared" si="305"/>
        <v>1</v>
      </c>
      <c r="K1969" t="str">
        <f t="shared" ca="1" si="301"/>
        <v>OTP</v>
      </c>
      <c r="L1969" t="str">
        <f t="shared" ca="1" si="302"/>
        <v>imp</v>
      </c>
      <c r="M1969" t="str">
        <f t="shared" ca="1" si="299"/>
        <v>EDU</v>
      </c>
      <c r="N1969">
        <f t="shared" ca="1" si="300"/>
        <v>2.8214956990978003E-7</v>
      </c>
    </row>
    <row r="1970" spans="6:14" x14ac:dyDescent="0.35">
      <c r="F1970">
        <f t="shared" si="307"/>
        <v>29</v>
      </c>
      <c r="G1970">
        <f t="shared" si="304"/>
        <v>21</v>
      </c>
      <c r="H1970">
        <f t="shared" si="305"/>
        <v>1</v>
      </c>
      <c r="K1970" t="str">
        <f t="shared" ca="1" si="301"/>
        <v>WTP</v>
      </c>
      <c r="L1970" t="str">
        <f t="shared" ca="1" si="302"/>
        <v>imp</v>
      </c>
      <c r="M1970" t="str">
        <f t="shared" ca="1" si="299"/>
        <v>EDU</v>
      </c>
      <c r="N1970">
        <f t="shared" ca="1" si="300"/>
        <v>2.8214956990978003E-7</v>
      </c>
    </row>
    <row r="1971" spans="6:14" x14ac:dyDescent="0.35">
      <c r="F1971">
        <f t="shared" si="307"/>
        <v>29</v>
      </c>
      <c r="G1971">
        <f t="shared" si="304"/>
        <v>22</v>
      </c>
      <c r="H1971">
        <f t="shared" si="305"/>
        <v>1</v>
      </c>
      <c r="K1971" t="str">
        <f t="shared" ca="1" si="301"/>
        <v>ATP</v>
      </c>
      <c r="L1971" t="str">
        <f t="shared" ca="1" si="302"/>
        <v>imp</v>
      </c>
      <c r="M1971" t="str">
        <f t="shared" ca="1" si="299"/>
        <v>EDU</v>
      </c>
      <c r="N1971">
        <f t="shared" ca="1" si="300"/>
        <v>2.8214956990978003E-7</v>
      </c>
    </row>
    <row r="1972" spans="6:14" x14ac:dyDescent="0.35">
      <c r="F1972">
        <f t="shared" si="307"/>
        <v>29</v>
      </c>
      <c r="G1972">
        <f t="shared" si="304"/>
        <v>23</v>
      </c>
      <c r="H1972">
        <f t="shared" si="305"/>
        <v>1</v>
      </c>
      <c r="K1972" t="str">
        <f t="shared" ca="1" si="301"/>
        <v>WHS</v>
      </c>
      <c r="L1972" t="str">
        <f t="shared" ca="1" si="302"/>
        <v>imp</v>
      </c>
      <c r="M1972" t="str">
        <f t="shared" ca="1" si="299"/>
        <v>EDU</v>
      </c>
      <c r="N1972">
        <f t="shared" ca="1" si="300"/>
        <v>2.8214956990978003E-7</v>
      </c>
    </row>
    <row r="1973" spans="6:14" x14ac:dyDescent="0.35">
      <c r="F1973">
        <f t="shared" ref="F1973:F1988" si="308">F1907+1</f>
        <v>29</v>
      </c>
      <c r="G1973">
        <f t="shared" si="304"/>
        <v>24</v>
      </c>
      <c r="H1973">
        <f t="shared" si="305"/>
        <v>1</v>
      </c>
      <c r="K1973" t="str">
        <f t="shared" ca="1" si="301"/>
        <v>CMN</v>
      </c>
      <c r="L1973" t="str">
        <f t="shared" ca="1" si="302"/>
        <v>imp</v>
      </c>
      <c r="M1973" t="str">
        <f t="shared" ca="1" si="299"/>
        <v>EDU</v>
      </c>
      <c r="N1973">
        <f t="shared" ca="1" si="300"/>
        <v>2.8214956990978003E-7</v>
      </c>
    </row>
    <row r="1974" spans="6:14" x14ac:dyDescent="0.35">
      <c r="F1974">
        <f t="shared" si="308"/>
        <v>29</v>
      </c>
      <c r="G1974">
        <f t="shared" si="304"/>
        <v>25</v>
      </c>
      <c r="H1974">
        <f t="shared" si="305"/>
        <v>1</v>
      </c>
      <c r="K1974" t="str">
        <f t="shared" ca="1" si="301"/>
        <v>OFI</v>
      </c>
      <c r="L1974" t="str">
        <f t="shared" ca="1" si="302"/>
        <v>imp</v>
      </c>
      <c r="M1974" t="str">
        <f t="shared" ca="1" si="299"/>
        <v>EDU</v>
      </c>
      <c r="N1974">
        <f t="shared" ca="1" si="300"/>
        <v>2.8214956990978003E-7</v>
      </c>
    </row>
    <row r="1975" spans="6:14" x14ac:dyDescent="0.35">
      <c r="F1975">
        <f t="shared" si="308"/>
        <v>29</v>
      </c>
      <c r="G1975">
        <f t="shared" si="304"/>
        <v>26</v>
      </c>
      <c r="H1975">
        <f t="shared" si="305"/>
        <v>1</v>
      </c>
      <c r="K1975" t="str">
        <f t="shared" ca="1" si="301"/>
        <v>RSA</v>
      </c>
      <c r="L1975" t="str">
        <f t="shared" ca="1" si="302"/>
        <v>imp</v>
      </c>
      <c r="M1975" t="str">
        <f t="shared" ca="1" si="299"/>
        <v>EDU</v>
      </c>
      <c r="N1975">
        <f t="shared" ca="1" si="300"/>
        <v>2.8214956990978003E-7</v>
      </c>
    </row>
    <row r="1976" spans="6:14" x14ac:dyDescent="0.35">
      <c r="F1976">
        <f t="shared" si="308"/>
        <v>29</v>
      </c>
      <c r="G1976">
        <f t="shared" si="304"/>
        <v>27</v>
      </c>
      <c r="H1976">
        <f t="shared" si="305"/>
        <v>1</v>
      </c>
      <c r="K1976" t="str">
        <f t="shared" ca="1" si="301"/>
        <v>OBS</v>
      </c>
      <c r="L1976" t="str">
        <f t="shared" ca="1" si="302"/>
        <v>imp</v>
      </c>
      <c r="M1976" t="str">
        <f t="shared" ca="1" si="299"/>
        <v>EDU</v>
      </c>
      <c r="N1976">
        <f t="shared" ca="1" si="300"/>
        <v>2.8214956990978003E-7</v>
      </c>
    </row>
    <row r="1977" spans="6:14" x14ac:dyDescent="0.35">
      <c r="F1977">
        <f t="shared" si="308"/>
        <v>29</v>
      </c>
      <c r="G1977">
        <f t="shared" si="304"/>
        <v>28</v>
      </c>
      <c r="H1977">
        <f t="shared" si="305"/>
        <v>1</v>
      </c>
      <c r="K1977" t="str">
        <f t="shared" ca="1" si="301"/>
        <v>GOV</v>
      </c>
      <c r="L1977" t="str">
        <f t="shared" ca="1" si="302"/>
        <v>imp</v>
      </c>
      <c r="M1977" t="str">
        <f t="shared" ca="1" si="299"/>
        <v>EDU</v>
      </c>
      <c r="N1977">
        <f t="shared" ca="1" si="300"/>
        <v>2.8214956990978003E-7</v>
      </c>
    </row>
    <row r="1978" spans="6:14" x14ac:dyDescent="0.35">
      <c r="F1978">
        <f t="shared" si="308"/>
        <v>29</v>
      </c>
      <c r="G1978">
        <f t="shared" si="304"/>
        <v>29</v>
      </c>
      <c r="H1978">
        <f t="shared" si="305"/>
        <v>1</v>
      </c>
      <c r="K1978" t="str">
        <f t="shared" ca="1" si="301"/>
        <v>EDU</v>
      </c>
      <c r="L1978" t="str">
        <f t="shared" ca="1" si="302"/>
        <v>imp</v>
      </c>
      <c r="M1978" t="str">
        <f t="shared" ca="1" si="299"/>
        <v>EDU</v>
      </c>
      <c r="N1978">
        <f t="shared" ca="1" si="300"/>
        <v>2.8214956990978003E-7</v>
      </c>
    </row>
    <row r="1979" spans="6:14" x14ac:dyDescent="0.35">
      <c r="F1979">
        <f t="shared" si="308"/>
        <v>29</v>
      </c>
      <c r="G1979">
        <f t="shared" si="304"/>
        <v>30</v>
      </c>
      <c r="H1979">
        <f t="shared" si="305"/>
        <v>1</v>
      </c>
      <c r="K1979" t="str">
        <f t="shared" ca="1" si="301"/>
        <v>HHT</v>
      </c>
      <c r="L1979" t="str">
        <f t="shared" ca="1" si="302"/>
        <v>imp</v>
      </c>
      <c r="M1979" t="str">
        <f t="shared" ca="1" si="299"/>
        <v>EDU</v>
      </c>
      <c r="N1979">
        <f t="shared" ca="1" si="300"/>
        <v>2.8214956990978003E-7</v>
      </c>
    </row>
    <row r="1980" spans="6:14" x14ac:dyDescent="0.35">
      <c r="F1980">
        <f t="shared" si="308"/>
        <v>29</v>
      </c>
      <c r="G1980">
        <f t="shared" si="304"/>
        <v>31</v>
      </c>
      <c r="H1980">
        <f t="shared" si="305"/>
        <v>1</v>
      </c>
      <c r="K1980" t="str">
        <f t="shared" ca="1" si="301"/>
        <v>REC</v>
      </c>
      <c r="L1980" t="str">
        <f t="shared" ca="1" si="302"/>
        <v>imp</v>
      </c>
      <c r="M1980" t="str">
        <f t="shared" ca="1" si="299"/>
        <v>EDU</v>
      </c>
      <c r="N1980">
        <f t="shared" ca="1" si="300"/>
        <v>2.8214956990978003E-7</v>
      </c>
    </row>
    <row r="1981" spans="6:14" x14ac:dyDescent="0.35">
      <c r="F1981">
        <f t="shared" si="308"/>
        <v>29</v>
      </c>
      <c r="G1981">
        <f t="shared" si="304"/>
        <v>32</v>
      </c>
      <c r="H1981">
        <f t="shared" si="305"/>
        <v>1</v>
      </c>
      <c r="K1981" t="str">
        <f t="shared" ca="1" si="301"/>
        <v>DWE</v>
      </c>
      <c r="L1981" t="str">
        <f t="shared" ca="1" si="302"/>
        <v>imp</v>
      </c>
      <c r="M1981" t="str">
        <f t="shared" ca="1" si="299"/>
        <v>EDU</v>
      </c>
      <c r="N1981">
        <f t="shared" ca="1" si="300"/>
        <v>2.8214956990978003E-7</v>
      </c>
    </row>
    <row r="1982" spans="6:14" x14ac:dyDescent="0.35">
      <c r="F1982">
        <f t="shared" si="308"/>
        <v>30</v>
      </c>
      <c r="G1982">
        <f t="shared" si="304"/>
        <v>0</v>
      </c>
      <c r="H1982">
        <f t="shared" si="305"/>
        <v>0</v>
      </c>
      <c r="K1982" t="str">
        <f t="shared" ca="1" si="301"/>
        <v>AG</v>
      </c>
      <c r="L1982" t="str">
        <f t="shared" ca="1" si="302"/>
        <v>dom</v>
      </c>
      <c r="M1982" t="str">
        <f t="shared" ca="1" si="299"/>
        <v>HHT</v>
      </c>
      <c r="N1982">
        <f t="shared" ca="1" si="300"/>
        <v>8.1040955552872801E-3</v>
      </c>
    </row>
    <row r="1983" spans="6:14" x14ac:dyDescent="0.35">
      <c r="F1983">
        <f t="shared" si="308"/>
        <v>30</v>
      </c>
      <c r="G1983">
        <f t="shared" si="304"/>
        <v>1</v>
      </c>
      <c r="H1983">
        <f t="shared" si="305"/>
        <v>0</v>
      </c>
      <c r="K1983" t="str">
        <f t="shared" ca="1" si="301"/>
        <v>MIN</v>
      </c>
      <c r="L1983" t="str">
        <f t="shared" ca="1" si="302"/>
        <v>dom</v>
      </c>
      <c r="M1983" t="str">
        <f t="shared" ca="1" si="299"/>
        <v>HHT</v>
      </c>
      <c r="N1983">
        <f t="shared" ca="1" si="300"/>
        <v>1.413692316708795E-2</v>
      </c>
    </row>
    <row r="1984" spans="6:14" x14ac:dyDescent="0.35">
      <c r="F1984">
        <f t="shared" si="308"/>
        <v>30</v>
      </c>
      <c r="G1984">
        <f t="shared" si="304"/>
        <v>2</v>
      </c>
      <c r="H1984">
        <f t="shared" si="305"/>
        <v>0</v>
      </c>
      <c r="K1984" t="str">
        <f t="shared" ca="1" si="301"/>
        <v>FBT</v>
      </c>
      <c r="L1984" t="str">
        <f t="shared" ca="1" si="302"/>
        <v>dom</v>
      </c>
      <c r="M1984" t="str">
        <f t="shared" ca="1" si="299"/>
        <v>HHT</v>
      </c>
      <c r="N1984">
        <f t="shared" ca="1" si="300"/>
        <v>2.3803593776369234E-2</v>
      </c>
    </row>
    <row r="1985" spans="6:14" x14ac:dyDescent="0.35">
      <c r="F1985">
        <f t="shared" si="308"/>
        <v>30</v>
      </c>
      <c r="G1985">
        <f t="shared" si="304"/>
        <v>3</v>
      </c>
      <c r="H1985">
        <f t="shared" si="305"/>
        <v>0</v>
      </c>
      <c r="K1985" t="str">
        <f t="shared" ca="1" si="301"/>
        <v>TEX</v>
      </c>
      <c r="L1985" t="str">
        <f t="shared" ca="1" si="302"/>
        <v>dom</v>
      </c>
      <c r="M1985" t="str">
        <f t="shared" ca="1" si="299"/>
        <v>HHT</v>
      </c>
      <c r="N1985">
        <f t="shared" ca="1" si="300"/>
        <v>0.12398942159722368</v>
      </c>
    </row>
    <row r="1986" spans="6:14" x14ac:dyDescent="0.35">
      <c r="F1986">
        <f t="shared" si="308"/>
        <v>30</v>
      </c>
      <c r="G1986">
        <f t="shared" si="304"/>
        <v>4</v>
      </c>
      <c r="H1986">
        <f t="shared" si="305"/>
        <v>0</v>
      </c>
      <c r="K1986" t="str">
        <f t="shared" ca="1" si="301"/>
        <v>LEATHER</v>
      </c>
      <c r="L1986" t="str">
        <f t="shared" ca="1" si="302"/>
        <v>dom</v>
      </c>
      <c r="M1986" t="str">
        <f t="shared" ref="M1986:M2049" ca="1" si="309">OFFSET(A$2,F1986,0)</f>
        <v>HHT</v>
      </c>
      <c r="N1986">
        <f t="shared" ref="N1986:N2049" ca="1" si="310">SUMIFS(C:C,A:A,K1986,B:B,L1986)*SUMIFS(U:U,S:S,M1986)</f>
        <v>8.7980638714492475E-4</v>
      </c>
    </row>
    <row r="1987" spans="6:14" x14ac:dyDescent="0.35">
      <c r="F1987">
        <f t="shared" si="308"/>
        <v>30</v>
      </c>
      <c r="G1987">
        <f t="shared" si="304"/>
        <v>5</v>
      </c>
      <c r="H1987">
        <f t="shared" si="305"/>
        <v>0</v>
      </c>
      <c r="K1987" t="str">
        <f t="shared" ref="K1987:K2050" ca="1" si="311">OFFSET(A$2,G1987,0)</f>
        <v>WOOD</v>
      </c>
      <c r="L1987" t="str">
        <f t="shared" ref="L1987:L2050" ca="1" si="312">OFFSET($V$3,H1987,0)</f>
        <v>dom</v>
      </c>
      <c r="M1987" t="str">
        <f t="shared" ca="1" si="309"/>
        <v>HHT</v>
      </c>
      <c r="N1987">
        <f t="shared" ca="1" si="310"/>
        <v>5.4160160175500075E-3</v>
      </c>
    </row>
    <row r="1988" spans="6:14" x14ac:dyDescent="0.35">
      <c r="F1988">
        <f t="shared" si="308"/>
        <v>30</v>
      </c>
      <c r="G1988">
        <f t="shared" si="304"/>
        <v>6</v>
      </c>
      <c r="H1988">
        <f t="shared" si="305"/>
        <v>0</v>
      </c>
      <c r="K1988" t="str">
        <f t="shared" ca="1" si="311"/>
        <v>PPP</v>
      </c>
      <c r="L1988" t="str">
        <f t="shared" ca="1" si="312"/>
        <v>dom</v>
      </c>
      <c r="M1988" t="str">
        <f t="shared" ca="1" si="309"/>
        <v>HHT</v>
      </c>
      <c r="N1988">
        <f t="shared" ca="1" si="310"/>
        <v>0.1084047005631331</v>
      </c>
    </row>
    <row r="1989" spans="6:14" x14ac:dyDescent="0.35">
      <c r="F1989">
        <f t="shared" ref="F1989:F2004" si="313">F1923+1</f>
        <v>30</v>
      </c>
      <c r="G1989">
        <f t="shared" ref="G1989:G2052" si="314">G1956</f>
        <v>7</v>
      </c>
      <c r="H1989">
        <f t="shared" ref="H1989:H2052" si="315">H1923</f>
        <v>0</v>
      </c>
      <c r="K1989" t="str">
        <f t="shared" ca="1" si="311"/>
        <v>PC</v>
      </c>
      <c r="L1989" t="str">
        <f t="shared" ca="1" si="312"/>
        <v>dom</v>
      </c>
      <c r="M1989" t="str">
        <f t="shared" ca="1" si="309"/>
        <v>HHT</v>
      </c>
      <c r="N1989">
        <f t="shared" ca="1" si="310"/>
        <v>1.6518788468056978E-2</v>
      </c>
    </row>
    <row r="1990" spans="6:14" x14ac:dyDescent="0.35">
      <c r="F1990">
        <f t="shared" si="313"/>
        <v>30</v>
      </c>
      <c r="G1990">
        <f t="shared" si="314"/>
        <v>8</v>
      </c>
      <c r="H1990">
        <f t="shared" si="315"/>
        <v>0</v>
      </c>
      <c r="K1990" t="str">
        <f t="shared" ca="1" si="311"/>
        <v>CHM</v>
      </c>
      <c r="L1990" t="str">
        <f t="shared" ca="1" si="312"/>
        <v>dom</v>
      </c>
      <c r="M1990" t="str">
        <f t="shared" ca="1" si="309"/>
        <v>HHT</v>
      </c>
      <c r="N1990">
        <f t="shared" ca="1" si="310"/>
        <v>0.10286580968602993</v>
      </c>
    </row>
    <row r="1991" spans="6:14" x14ac:dyDescent="0.35">
      <c r="F1991">
        <f t="shared" si="313"/>
        <v>30</v>
      </c>
      <c r="G1991">
        <f t="shared" si="314"/>
        <v>9</v>
      </c>
      <c r="H1991">
        <f t="shared" si="315"/>
        <v>0</v>
      </c>
      <c r="K1991" t="str">
        <f t="shared" ca="1" si="311"/>
        <v>RUBBER</v>
      </c>
      <c r="L1991" t="str">
        <f t="shared" ca="1" si="312"/>
        <v>dom</v>
      </c>
      <c r="M1991" t="str">
        <f t="shared" ca="1" si="309"/>
        <v>HHT</v>
      </c>
      <c r="N1991">
        <f t="shared" ca="1" si="310"/>
        <v>0.16102649911085717</v>
      </c>
    </row>
    <row r="1992" spans="6:14" x14ac:dyDescent="0.35">
      <c r="F1992">
        <f t="shared" si="313"/>
        <v>30</v>
      </c>
      <c r="G1992">
        <f t="shared" si="314"/>
        <v>10</v>
      </c>
      <c r="H1992">
        <f t="shared" si="315"/>
        <v>0</v>
      </c>
      <c r="K1992" t="str">
        <f t="shared" ca="1" si="311"/>
        <v>NMM</v>
      </c>
      <c r="L1992" t="str">
        <f t="shared" ca="1" si="312"/>
        <v>dom</v>
      </c>
      <c r="M1992" t="str">
        <f t="shared" ca="1" si="309"/>
        <v>HHT</v>
      </c>
      <c r="N1992">
        <f t="shared" ca="1" si="310"/>
        <v>0.14917103711741417</v>
      </c>
    </row>
    <row r="1993" spans="6:14" x14ac:dyDescent="0.35">
      <c r="F1993">
        <f t="shared" si="313"/>
        <v>30</v>
      </c>
      <c r="G1993">
        <f t="shared" si="314"/>
        <v>11</v>
      </c>
      <c r="H1993">
        <f t="shared" si="315"/>
        <v>0</v>
      </c>
      <c r="K1993" t="str">
        <f t="shared" ca="1" si="311"/>
        <v>METAL</v>
      </c>
      <c r="L1993" t="str">
        <f t="shared" ca="1" si="312"/>
        <v>dom</v>
      </c>
      <c r="M1993" t="str">
        <f t="shared" ca="1" si="309"/>
        <v>HHT</v>
      </c>
      <c r="N1993">
        <f t="shared" ca="1" si="310"/>
        <v>0.43629947022336873</v>
      </c>
    </row>
    <row r="1994" spans="6:14" x14ac:dyDescent="0.35">
      <c r="F1994">
        <f t="shared" si="313"/>
        <v>30</v>
      </c>
      <c r="G1994">
        <f t="shared" si="314"/>
        <v>12</v>
      </c>
      <c r="H1994">
        <f t="shared" si="315"/>
        <v>0</v>
      </c>
      <c r="K1994" t="str">
        <f t="shared" ca="1" si="311"/>
        <v>MACH</v>
      </c>
      <c r="L1994" t="str">
        <f t="shared" ca="1" si="312"/>
        <v>dom</v>
      </c>
      <c r="M1994" t="str">
        <f t="shared" ca="1" si="309"/>
        <v>HHT</v>
      </c>
      <c r="N1994">
        <f t="shared" ca="1" si="310"/>
        <v>0.63150908794858085</v>
      </c>
    </row>
    <row r="1995" spans="6:14" x14ac:dyDescent="0.35">
      <c r="F1995">
        <f t="shared" si="313"/>
        <v>30</v>
      </c>
      <c r="G1995">
        <f t="shared" si="314"/>
        <v>13</v>
      </c>
      <c r="H1995">
        <f t="shared" si="315"/>
        <v>0</v>
      </c>
      <c r="K1995" t="str">
        <f t="shared" ca="1" si="311"/>
        <v>ELEC</v>
      </c>
      <c r="L1995" t="str">
        <f t="shared" ca="1" si="312"/>
        <v>dom</v>
      </c>
      <c r="M1995" t="str">
        <f t="shared" ca="1" si="309"/>
        <v>HHT</v>
      </c>
      <c r="N1995">
        <f t="shared" ca="1" si="310"/>
        <v>0.1313676015387637</v>
      </c>
    </row>
    <row r="1996" spans="6:14" x14ac:dyDescent="0.35">
      <c r="F1996">
        <f t="shared" si="313"/>
        <v>30</v>
      </c>
      <c r="G1996">
        <f t="shared" si="314"/>
        <v>14</v>
      </c>
      <c r="H1996">
        <f t="shared" si="315"/>
        <v>0</v>
      </c>
      <c r="K1996" t="str">
        <f t="shared" ca="1" si="311"/>
        <v>TRNEQUIP</v>
      </c>
      <c r="L1996" t="str">
        <f t="shared" ca="1" si="312"/>
        <v>dom</v>
      </c>
      <c r="M1996" t="str">
        <f t="shared" ca="1" si="309"/>
        <v>HHT</v>
      </c>
      <c r="N1996">
        <f t="shared" ca="1" si="310"/>
        <v>0.18976154129058823</v>
      </c>
    </row>
    <row r="1997" spans="6:14" x14ac:dyDescent="0.35">
      <c r="F1997">
        <f t="shared" si="313"/>
        <v>30</v>
      </c>
      <c r="G1997">
        <f t="shared" si="314"/>
        <v>15</v>
      </c>
      <c r="H1997">
        <f t="shared" si="315"/>
        <v>0</v>
      </c>
      <c r="K1997" t="str">
        <f t="shared" ca="1" si="311"/>
        <v>ROMAN</v>
      </c>
      <c r="L1997" t="str">
        <f t="shared" ca="1" si="312"/>
        <v>dom</v>
      </c>
      <c r="M1997" t="str">
        <f t="shared" ca="1" si="309"/>
        <v>HHT</v>
      </c>
      <c r="N1997">
        <f t="shared" ca="1" si="310"/>
        <v>0.51670835574633722</v>
      </c>
    </row>
    <row r="1998" spans="6:14" x14ac:dyDescent="0.35">
      <c r="F1998">
        <f t="shared" si="313"/>
        <v>30</v>
      </c>
      <c r="G1998">
        <f t="shared" si="314"/>
        <v>16</v>
      </c>
      <c r="H1998">
        <f t="shared" si="315"/>
        <v>0</v>
      </c>
      <c r="K1998" t="str">
        <f t="shared" ca="1" si="311"/>
        <v>ELYGASWTR</v>
      </c>
      <c r="L1998" t="str">
        <f t="shared" ca="1" si="312"/>
        <v>dom</v>
      </c>
      <c r="M1998" t="str">
        <f t="shared" ca="1" si="309"/>
        <v>HHT</v>
      </c>
      <c r="N1998">
        <f t="shared" ca="1" si="310"/>
        <v>1.1790942060244956E-8</v>
      </c>
    </row>
    <row r="1999" spans="6:14" x14ac:dyDescent="0.35">
      <c r="F1999">
        <f t="shared" si="313"/>
        <v>30</v>
      </c>
      <c r="G1999">
        <f t="shared" si="314"/>
        <v>17</v>
      </c>
      <c r="H1999">
        <f t="shared" si="315"/>
        <v>0</v>
      </c>
      <c r="K1999" t="str">
        <f t="shared" ca="1" si="311"/>
        <v>CNS</v>
      </c>
      <c r="L1999" t="str">
        <f t="shared" ca="1" si="312"/>
        <v>dom</v>
      </c>
      <c r="M1999" t="str">
        <f t="shared" ca="1" si="309"/>
        <v>HHT</v>
      </c>
      <c r="N1999">
        <f t="shared" ca="1" si="310"/>
        <v>17.164245373733358</v>
      </c>
    </row>
    <row r="2000" spans="6:14" x14ac:dyDescent="0.35">
      <c r="F2000">
        <f t="shared" si="313"/>
        <v>30</v>
      </c>
      <c r="G2000">
        <f t="shared" si="314"/>
        <v>18</v>
      </c>
      <c r="H2000">
        <f t="shared" si="315"/>
        <v>0</v>
      </c>
      <c r="K2000" t="str">
        <f t="shared" ca="1" si="311"/>
        <v>TRD</v>
      </c>
      <c r="L2000" t="str">
        <f t="shared" ca="1" si="312"/>
        <v>dom</v>
      </c>
      <c r="M2000" t="str">
        <f t="shared" ca="1" si="309"/>
        <v>HHT</v>
      </c>
      <c r="N2000">
        <f t="shared" ca="1" si="310"/>
        <v>2.7444484002313874</v>
      </c>
    </row>
    <row r="2001" spans="6:14" x14ac:dyDescent="0.35">
      <c r="F2001">
        <f t="shared" si="313"/>
        <v>30</v>
      </c>
      <c r="G2001">
        <f t="shared" si="314"/>
        <v>19</v>
      </c>
      <c r="H2001">
        <f t="shared" si="315"/>
        <v>0</v>
      </c>
      <c r="K2001" t="str">
        <f t="shared" ca="1" si="311"/>
        <v>AFS</v>
      </c>
      <c r="L2001" t="str">
        <f t="shared" ca="1" si="312"/>
        <v>dom</v>
      </c>
      <c r="M2001" t="str">
        <f t="shared" ca="1" si="309"/>
        <v>HHT</v>
      </c>
      <c r="N2001">
        <f t="shared" ca="1" si="310"/>
        <v>1.1790942060244956E-8</v>
      </c>
    </row>
    <row r="2002" spans="6:14" x14ac:dyDescent="0.35">
      <c r="F2002">
        <f t="shared" si="313"/>
        <v>30</v>
      </c>
      <c r="G2002">
        <f t="shared" si="314"/>
        <v>20</v>
      </c>
      <c r="H2002">
        <f t="shared" si="315"/>
        <v>0</v>
      </c>
      <c r="K2002" t="str">
        <f t="shared" ca="1" si="311"/>
        <v>OTP</v>
      </c>
      <c r="L2002" t="str">
        <f t="shared" ca="1" si="312"/>
        <v>dom</v>
      </c>
      <c r="M2002" t="str">
        <f t="shared" ca="1" si="309"/>
        <v>HHT</v>
      </c>
      <c r="N2002">
        <f t="shared" ca="1" si="310"/>
        <v>1.1790942060244956E-8</v>
      </c>
    </row>
    <row r="2003" spans="6:14" x14ac:dyDescent="0.35">
      <c r="F2003">
        <f t="shared" si="313"/>
        <v>30</v>
      </c>
      <c r="G2003">
        <f t="shared" si="314"/>
        <v>21</v>
      </c>
      <c r="H2003">
        <f t="shared" si="315"/>
        <v>0</v>
      </c>
      <c r="K2003" t="str">
        <f t="shared" ca="1" si="311"/>
        <v>WTP</v>
      </c>
      <c r="L2003" t="str">
        <f t="shared" ca="1" si="312"/>
        <v>dom</v>
      </c>
      <c r="M2003" t="str">
        <f t="shared" ca="1" si="309"/>
        <v>HHT</v>
      </c>
      <c r="N2003">
        <f t="shared" ca="1" si="310"/>
        <v>1.1790942060244956E-8</v>
      </c>
    </row>
    <row r="2004" spans="6:14" x14ac:dyDescent="0.35">
      <c r="F2004">
        <f t="shared" si="313"/>
        <v>30</v>
      </c>
      <c r="G2004">
        <f t="shared" si="314"/>
        <v>22</v>
      </c>
      <c r="H2004">
        <f t="shared" si="315"/>
        <v>0</v>
      </c>
      <c r="K2004" t="str">
        <f t="shared" ca="1" si="311"/>
        <v>ATP</v>
      </c>
      <c r="L2004" t="str">
        <f t="shared" ca="1" si="312"/>
        <v>dom</v>
      </c>
      <c r="M2004" t="str">
        <f t="shared" ca="1" si="309"/>
        <v>HHT</v>
      </c>
      <c r="N2004">
        <f t="shared" ca="1" si="310"/>
        <v>1.1790942060244956E-8</v>
      </c>
    </row>
    <row r="2005" spans="6:14" x14ac:dyDescent="0.35">
      <c r="F2005">
        <f t="shared" ref="F2005:F2020" si="316">F1939+1</f>
        <v>30</v>
      </c>
      <c r="G2005">
        <f t="shared" si="314"/>
        <v>23</v>
      </c>
      <c r="H2005">
        <f t="shared" si="315"/>
        <v>0</v>
      </c>
      <c r="K2005" t="str">
        <f t="shared" ca="1" si="311"/>
        <v>WHS</v>
      </c>
      <c r="L2005" t="str">
        <f t="shared" ca="1" si="312"/>
        <v>dom</v>
      </c>
      <c r="M2005" t="str">
        <f t="shared" ca="1" si="309"/>
        <v>HHT</v>
      </c>
      <c r="N2005">
        <f t="shared" ca="1" si="310"/>
        <v>1.1790942060244956E-8</v>
      </c>
    </row>
    <row r="2006" spans="6:14" x14ac:dyDescent="0.35">
      <c r="F2006">
        <f t="shared" si="316"/>
        <v>30</v>
      </c>
      <c r="G2006">
        <f t="shared" si="314"/>
        <v>24</v>
      </c>
      <c r="H2006">
        <f t="shared" si="315"/>
        <v>0</v>
      </c>
      <c r="K2006" t="str">
        <f t="shared" ca="1" si="311"/>
        <v>CMN</v>
      </c>
      <c r="L2006" t="str">
        <f t="shared" ca="1" si="312"/>
        <v>dom</v>
      </c>
      <c r="M2006" t="str">
        <f t="shared" ca="1" si="309"/>
        <v>HHT</v>
      </c>
      <c r="N2006">
        <f t="shared" ca="1" si="310"/>
        <v>1.1790942060244956E-8</v>
      </c>
    </row>
    <row r="2007" spans="6:14" x14ac:dyDescent="0.35">
      <c r="F2007">
        <f t="shared" si="316"/>
        <v>30</v>
      </c>
      <c r="G2007">
        <f t="shared" si="314"/>
        <v>25</v>
      </c>
      <c r="H2007">
        <f t="shared" si="315"/>
        <v>0</v>
      </c>
      <c r="K2007" t="str">
        <f t="shared" ca="1" si="311"/>
        <v>OFI</v>
      </c>
      <c r="L2007" t="str">
        <f t="shared" ca="1" si="312"/>
        <v>dom</v>
      </c>
      <c r="M2007" t="str">
        <f t="shared" ca="1" si="309"/>
        <v>HHT</v>
      </c>
      <c r="N2007">
        <f t="shared" ca="1" si="310"/>
        <v>1.1790942060244956E-8</v>
      </c>
    </row>
    <row r="2008" spans="6:14" x14ac:dyDescent="0.35">
      <c r="F2008">
        <f t="shared" si="316"/>
        <v>30</v>
      </c>
      <c r="G2008">
        <f t="shared" si="314"/>
        <v>26</v>
      </c>
      <c r="H2008">
        <f t="shared" si="315"/>
        <v>0</v>
      </c>
      <c r="K2008" t="str">
        <f t="shared" ca="1" si="311"/>
        <v>RSA</v>
      </c>
      <c r="L2008" t="str">
        <f t="shared" ca="1" si="312"/>
        <v>dom</v>
      </c>
      <c r="M2008" t="str">
        <f t="shared" ca="1" si="309"/>
        <v>HHT</v>
      </c>
      <c r="N2008">
        <f t="shared" ca="1" si="310"/>
        <v>1.1790942060244956E-8</v>
      </c>
    </row>
    <row r="2009" spans="6:14" x14ac:dyDescent="0.35">
      <c r="F2009">
        <f t="shared" si="316"/>
        <v>30</v>
      </c>
      <c r="G2009">
        <f t="shared" si="314"/>
        <v>27</v>
      </c>
      <c r="H2009">
        <f t="shared" si="315"/>
        <v>0</v>
      </c>
      <c r="K2009" t="str">
        <f t="shared" ca="1" si="311"/>
        <v>OBS</v>
      </c>
      <c r="L2009" t="str">
        <f t="shared" ca="1" si="312"/>
        <v>dom</v>
      </c>
      <c r="M2009" t="str">
        <f t="shared" ca="1" si="309"/>
        <v>HHT</v>
      </c>
      <c r="N2009">
        <f t="shared" ca="1" si="310"/>
        <v>1.1790942060244956E-8</v>
      </c>
    </row>
    <row r="2010" spans="6:14" x14ac:dyDescent="0.35">
      <c r="F2010">
        <f t="shared" si="316"/>
        <v>30</v>
      </c>
      <c r="G2010">
        <f t="shared" si="314"/>
        <v>28</v>
      </c>
      <c r="H2010">
        <f t="shared" si="315"/>
        <v>0</v>
      </c>
      <c r="K2010" t="str">
        <f t="shared" ca="1" si="311"/>
        <v>GOV</v>
      </c>
      <c r="L2010" t="str">
        <f t="shared" ca="1" si="312"/>
        <v>dom</v>
      </c>
      <c r="M2010" t="str">
        <f t="shared" ca="1" si="309"/>
        <v>HHT</v>
      </c>
      <c r="N2010">
        <f t="shared" ca="1" si="310"/>
        <v>1.1790942060244956E-8</v>
      </c>
    </row>
    <row r="2011" spans="6:14" x14ac:dyDescent="0.35">
      <c r="F2011">
        <f t="shared" si="316"/>
        <v>30</v>
      </c>
      <c r="G2011">
        <f t="shared" si="314"/>
        <v>29</v>
      </c>
      <c r="H2011">
        <f t="shared" si="315"/>
        <v>0</v>
      </c>
      <c r="K2011" t="str">
        <f t="shared" ca="1" si="311"/>
        <v>EDU</v>
      </c>
      <c r="L2011" t="str">
        <f t="shared" ca="1" si="312"/>
        <v>dom</v>
      </c>
      <c r="M2011" t="str">
        <f t="shared" ca="1" si="309"/>
        <v>HHT</v>
      </c>
      <c r="N2011">
        <f t="shared" ca="1" si="310"/>
        <v>1.1790942060244956E-8</v>
      </c>
    </row>
    <row r="2012" spans="6:14" x14ac:dyDescent="0.35">
      <c r="F2012">
        <f t="shared" si="316"/>
        <v>30</v>
      </c>
      <c r="G2012">
        <f t="shared" si="314"/>
        <v>30</v>
      </c>
      <c r="H2012">
        <f t="shared" si="315"/>
        <v>0</v>
      </c>
      <c r="K2012" t="str">
        <f t="shared" ca="1" si="311"/>
        <v>HHT</v>
      </c>
      <c r="L2012" t="str">
        <f t="shared" ca="1" si="312"/>
        <v>dom</v>
      </c>
      <c r="M2012" t="str">
        <f t="shared" ca="1" si="309"/>
        <v>HHT</v>
      </c>
      <c r="N2012">
        <f t="shared" ca="1" si="310"/>
        <v>1.1790942060244956E-8</v>
      </c>
    </row>
    <row r="2013" spans="6:14" x14ac:dyDescent="0.35">
      <c r="F2013">
        <f t="shared" si="316"/>
        <v>30</v>
      </c>
      <c r="G2013">
        <f t="shared" si="314"/>
        <v>31</v>
      </c>
      <c r="H2013">
        <f t="shared" si="315"/>
        <v>0</v>
      </c>
      <c r="K2013" t="str">
        <f t="shared" ca="1" si="311"/>
        <v>REC</v>
      </c>
      <c r="L2013" t="str">
        <f t="shared" ca="1" si="312"/>
        <v>dom</v>
      </c>
      <c r="M2013" t="str">
        <f t="shared" ca="1" si="309"/>
        <v>HHT</v>
      </c>
      <c r="N2013">
        <f t="shared" ca="1" si="310"/>
        <v>1.1790942060244956E-8</v>
      </c>
    </row>
    <row r="2014" spans="6:14" x14ac:dyDescent="0.35">
      <c r="F2014">
        <f t="shared" si="316"/>
        <v>30</v>
      </c>
      <c r="G2014">
        <f t="shared" si="314"/>
        <v>32</v>
      </c>
      <c r="H2014">
        <f t="shared" si="315"/>
        <v>0</v>
      </c>
      <c r="K2014" t="str">
        <f t="shared" ca="1" si="311"/>
        <v>DWE</v>
      </c>
      <c r="L2014" t="str">
        <f t="shared" ca="1" si="312"/>
        <v>dom</v>
      </c>
      <c r="M2014" t="str">
        <f t="shared" ca="1" si="309"/>
        <v>HHT</v>
      </c>
      <c r="N2014">
        <f t="shared" ca="1" si="310"/>
        <v>1.1790942060244956E-8</v>
      </c>
    </row>
    <row r="2015" spans="6:14" x14ac:dyDescent="0.35">
      <c r="F2015">
        <f t="shared" si="316"/>
        <v>30</v>
      </c>
      <c r="G2015">
        <f t="shared" si="314"/>
        <v>0</v>
      </c>
      <c r="H2015">
        <f t="shared" si="315"/>
        <v>1</v>
      </c>
      <c r="K2015" t="str">
        <f t="shared" ca="1" si="311"/>
        <v>AG</v>
      </c>
      <c r="L2015" t="str">
        <f t="shared" ca="1" si="312"/>
        <v>imp</v>
      </c>
      <c r="M2015" t="str">
        <f t="shared" ca="1" si="309"/>
        <v>HHT</v>
      </c>
      <c r="N2015">
        <f t="shared" ca="1" si="310"/>
        <v>0.10908772122797608</v>
      </c>
    </row>
    <row r="2016" spans="6:14" x14ac:dyDescent="0.35">
      <c r="F2016">
        <f t="shared" si="316"/>
        <v>30</v>
      </c>
      <c r="G2016">
        <f t="shared" si="314"/>
        <v>1</v>
      </c>
      <c r="H2016">
        <f t="shared" si="315"/>
        <v>1</v>
      </c>
      <c r="K2016" t="str">
        <f t="shared" ca="1" si="311"/>
        <v>MIN</v>
      </c>
      <c r="L2016" t="str">
        <f t="shared" ca="1" si="312"/>
        <v>imp</v>
      </c>
      <c r="M2016" t="str">
        <f t="shared" ca="1" si="309"/>
        <v>HHT</v>
      </c>
      <c r="N2016">
        <f t="shared" ca="1" si="310"/>
        <v>0.17210024601983318</v>
      </c>
    </row>
    <row r="2017" spans="6:14" x14ac:dyDescent="0.35">
      <c r="F2017">
        <f t="shared" si="316"/>
        <v>30</v>
      </c>
      <c r="G2017">
        <f t="shared" si="314"/>
        <v>2</v>
      </c>
      <c r="H2017">
        <f t="shared" si="315"/>
        <v>1</v>
      </c>
      <c r="K2017" t="str">
        <f t="shared" ca="1" si="311"/>
        <v>FBT</v>
      </c>
      <c r="L2017" t="str">
        <f t="shared" ca="1" si="312"/>
        <v>imp</v>
      </c>
      <c r="M2017" t="str">
        <f t="shared" ca="1" si="309"/>
        <v>HHT</v>
      </c>
      <c r="N2017">
        <f t="shared" ca="1" si="310"/>
        <v>4.3064760429182065E-2</v>
      </c>
    </row>
    <row r="2018" spans="6:14" x14ac:dyDescent="0.35">
      <c r="F2018">
        <f t="shared" si="316"/>
        <v>30</v>
      </c>
      <c r="G2018">
        <f t="shared" si="314"/>
        <v>3</v>
      </c>
      <c r="H2018">
        <f t="shared" si="315"/>
        <v>1</v>
      </c>
      <c r="K2018" t="str">
        <f t="shared" ca="1" si="311"/>
        <v>TEX</v>
      </c>
      <c r="L2018" t="str">
        <f t="shared" ca="1" si="312"/>
        <v>imp</v>
      </c>
      <c r="M2018" t="str">
        <f t="shared" ca="1" si="309"/>
        <v>HHT</v>
      </c>
      <c r="N2018">
        <f t="shared" ca="1" si="310"/>
        <v>0.84510354426514345</v>
      </c>
    </row>
    <row r="2019" spans="6:14" x14ac:dyDescent="0.35">
      <c r="F2019">
        <f t="shared" si="316"/>
        <v>30</v>
      </c>
      <c r="G2019">
        <f t="shared" si="314"/>
        <v>4</v>
      </c>
      <c r="H2019">
        <f t="shared" si="315"/>
        <v>1</v>
      </c>
      <c r="K2019" t="str">
        <f t="shared" ca="1" si="311"/>
        <v>LEATHER</v>
      </c>
      <c r="L2019" t="str">
        <f t="shared" ca="1" si="312"/>
        <v>imp</v>
      </c>
      <c r="M2019" t="str">
        <f t="shared" ca="1" si="309"/>
        <v>HHT</v>
      </c>
      <c r="N2019">
        <f t="shared" ca="1" si="310"/>
        <v>0.44044217303603739</v>
      </c>
    </row>
    <row r="2020" spans="6:14" x14ac:dyDescent="0.35">
      <c r="F2020">
        <f t="shared" si="316"/>
        <v>30</v>
      </c>
      <c r="G2020">
        <f t="shared" si="314"/>
        <v>5</v>
      </c>
      <c r="H2020">
        <f t="shared" si="315"/>
        <v>1</v>
      </c>
      <c r="K2020" t="str">
        <f t="shared" ca="1" si="311"/>
        <v>WOOD</v>
      </c>
      <c r="L2020" t="str">
        <f t="shared" ca="1" si="312"/>
        <v>imp</v>
      </c>
      <c r="M2020" t="str">
        <f t="shared" ca="1" si="309"/>
        <v>HHT</v>
      </c>
      <c r="N2020">
        <f t="shared" ca="1" si="310"/>
        <v>7.8835926068928051E-3</v>
      </c>
    </row>
    <row r="2021" spans="6:14" x14ac:dyDescent="0.35">
      <c r="F2021">
        <f t="shared" ref="F2021:F2036" si="317">F1955+1</f>
        <v>30</v>
      </c>
      <c r="G2021">
        <f t="shared" si="314"/>
        <v>6</v>
      </c>
      <c r="H2021">
        <f t="shared" si="315"/>
        <v>1</v>
      </c>
      <c r="K2021" t="str">
        <f t="shared" ca="1" si="311"/>
        <v>PPP</v>
      </c>
      <c r="L2021" t="str">
        <f t="shared" ca="1" si="312"/>
        <v>imp</v>
      </c>
      <c r="M2021" t="str">
        <f t="shared" ca="1" si="309"/>
        <v>HHT</v>
      </c>
      <c r="N2021">
        <f t="shared" ca="1" si="310"/>
        <v>0.11352293805738797</v>
      </c>
    </row>
    <row r="2022" spans="6:14" x14ac:dyDescent="0.35">
      <c r="F2022">
        <f t="shared" si="317"/>
        <v>30</v>
      </c>
      <c r="G2022">
        <f t="shared" si="314"/>
        <v>7</v>
      </c>
      <c r="H2022">
        <f t="shared" si="315"/>
        <v>1</v>
      </c>
      <c r="K2022" t="str">
        <f t="shared" ca="1" si="311"/>
        <v>PC</v>
      </c>
      <c r="L2022" t="str">
        <f t="shared" ca="1" si="312"/>
        <v>imp</v>
      </c>
      <c r="M2022" t="str">
        <f t="shared" ca="1" si="309"/>
        <v>HHT</v>
      </c>
      <c r="N2022">
        <f t="shared" ca="1" si="310"/>
        <v>2.8586410708102503E-2</v>
      </c>
    </row>
    <row r="2023" spans="6:14" x14ac:dyDescent="0.35">
      <c r="F2023">
        <f t="shared" si="317"/>
        <v>30</v>
      </c>
      <c r="G2023">
        <f t="shared" si="314"/>
        <v>8</v>
      </c>
      <c r="H2023">
        <f t="shared" si="315"/>
        <v>1</v>
      </c>
      <c r="K2023" t="str">
        <f t="shared" ca="1" si="311"/>
        <v>CHM</v>
      </c>
      <c r="L2023" t="str">
        <f t="shared" ca="1" si="312"/>
        <v>imp</v>
      </c>
      <c r="M2023" t="str">
        <f t="shared" ca="1" si="309"/>
        <v>HHT</v>
      </c>
      <c r="N2023">
        <f t="shared" ca="1" si="310"/>
        <v>0.39187195992260931</v>
      </c>
    </row>
    <row r="2024" spans="6:14" x14ac:dyDescent="0.35">
      <c r="F2024">
        <f t="shared" si="317"/>
        <v>30</v>
      </c>
      <c r="G2024">
        <f t="shared" si="314"/>
        <v>9</v>
      </c>
      <c r="H2024">
        <f t="shared" si="315"/>
        <v>1</v>
      </c>
      <c r="K2024" t="str">
        <f t="shared" ca="1" si="311"/>
        <v>RUBBER</v>
      </c>
      <c r="L2024" t="str">
        <f t="shared" ca="1" si="312"/>
        <v>imp</v>
      </c>
      <c r="M2024" t="str">
        <f t="shared" ca="1" si="309"/>
        <v>HHT</v>
      </c>
      <c r="N2024">
        <f t="shared" ca="1" si="310"/>
        <v>0.30012183610324411</v>
      </c>
    </row>
    <row r="2025" spans="6:14" x14ac:dyDescent="0.35">
      <c r="F2025">
        <f t="shared" si="317"/>
        <v>30</v>
      </c>
      <c r="G2025">
        <f t="shared" si="314"/>
        <v>10</v>
      </c>
      <c r="H2025">
        <f t="shared" si="315"/>
        <v>1</v>
      </c>
      <c r="K2025" t="str">
        <f t="shared" ca="1" si="311"/>
        <v>NMM</v>
      </c>
      <c r="L2025" t="str">
        <f t="shared" ca="1" si="312"/>
        <v>imp</v>
      </c>
      <c r="M2025" t="str">
        <f t="shared" ca="1" si="309"/>
        <v>HHT</v>
      </c>
      <c r="N2025">
        <f t="shared" ca="1" si="310"/>
        <v>0.11329220451497511</v>
      </c>
    </row>
    <row r="2026" spans="6:14" x14ac:dyDescent="0.35">
      <c r="F2026">
        <f t="shared" si="317"/>
        <v>30</v>
      </c>
      <c r="G2026">
        <f t="shared" si="314"/>
        <v>11</v>
      </c>
      <c r="H2026">
        <f t="shared" si="315"/>
        <v>1</v>
      </c>
      <c r="K2026" t="str">
        <f t="shared" ca="1" si="311"/>
        <v>METAL</v>
      </c>
      <c r="L2026" t="str">
        <f t="shared" ca="1" si="312"/>
        <v>imp</v>
      </c>
      <c r="M2026" t="str">
        <f t="shared" ca="1" si="309"/>
        <v>HHT</v>
      </c>
      <c r="N2026">
        <f t="shared" ca="1" si="310"/>
        <v>1.4180941289293665</v>
      </c>
    </row>
    <row r="2027" spans="6:14" x14ac:dyDescent="0.35">
      <c r="F2027">
        <f t="shared" si="317"/>
        <v>30</v>
      </c>
      <c r="G2027">
        <f t="shared" si="314"/>
        <v>12</v>
      </c>
      <c r="H2027">
        <f t="shared" si="315"/>
        <v>1</v>
      </c>
      <c r="K2027" t="str">
        <f t="shared" ca="1" si="311"/>
        <v>MACH</v>
      </c>
      <c r="L2027" t="str">
        <f t="shared" ca="1" si="312"/>
        <v>imp</v>
      </c>
      <c r="M2027" t="str">
        <f t="shared" ca="1" si="309"/>
        <v>HHT</v>
      </c>
      <c r="N2027">
        <f t="shared" ca="1" si="310"/>
        <v>5.432395106890973</v>
      </c>
    </row>
    <row r="2028" spans="6:14" x14ac:dyDescent="0.35">
      <c r="F2028">
        <f t="shared" si="317"/>
        <v>30</v>
      </c>
      <c r="G2028">
        <f t="shared" si="314"/>
        <v>13</v>
      </c>
      <c r="H2028">
        <f t="shared" si="315"/>
        <v>1</v>
      </c>
      <c r="K2028" t="str">
        <f t="shared" ca="1" si="311"/>
        <v>ELEC</v>
      </c>
      <c r="L2028" t="str">
        <f t="shared" ca="1" si="312"/>
        <v>imp</v>
      </c>
      <c r="M2028" t="str">
        <f t="shared" ca="1" si="309"/>
        <v>HHT</v>
      </c>
      <c r="N2028">
        <f t="shared" ca="1" si="310"/>
        <v>2.9126845464252558</v>
      </c>
    </row>
    <row r="2029" spans="6:14" x14ac:dyDescent="0.35">
      <c r="F2029">
        <f t="shared" si="317"/>
        <v>30</v>
      </c>
      <c r="G2029">
        <f t="shared" si="314"/>
        <v>14</v>
      </c>
      <c r="H2029">
        <f t="shared" si="315"/>
        <v>1</v>
      </c>
      <c r="K2029" t="str">
        <f t="shared" ca="1" si="311"/>
        <v>TRNEQUIP</v>
      </c>
      <c r="L2029" t="str">
        <f t="shared" ca="1" si="312"/>
        <v>imp</v>
      </c>
      <c r="M2029" t="str">
        <f t="shared" ca="1" si="309"/>
        <v>HHT</v>
      </c>
      <c r="N2029">
        <f t="shared" ca="1" si="310"/>
        <v>4.6483169196492602</v>
      </c>
    </row>
    <row r="2030" spans="6:14" x14ac:dyDescent="0.35">
      <c r="F2030">
        <f t="shared" si="317"/>
        <v>30</v>
      </c>
      <c r="G2030">
        <f t="shared" si="314"/>
        <v>15</v>
      </c>
      <c r="H2030">
        <f t="shared" si="315"/>
        <v>1</v>
      </c>
      <c r="K2030" t="str">
        <f t="shared" ca="1" si="311"/>
        <v>ROMAN</v>
      </c>
      <c r="L2030" t="str">
        <f t="shared" ca="1" si="312"/>
        <v>imp</v>
      </c>
      <c r="M2030" t="str">
        <f t="shared" ca="1" si="309"/>
        <v>HHT</v>
      </c>
      <c r="N2030">
        <f t="shared" ca="1" si="310"/>
        <v>1.7637325969554358</v>
      </c>
    </row>
    <row r="2031" spans="6:14" x14ac:dyDescent="0.35">
      <c r="F2031">
        <f t="shared" si="317"/>
        <v>30</v>
      </c>
      <c r="G2031">
        <f t="shared" si="314"/>
        <v>16</v>
      </c>
      <c r="H2031">
        <f t="shared" si="315"/>
        <v>1</v>
      </c>
      <c r="K2031" t="str">
        <f t="shared" ca="1" si="311"/>
        <v>ELYGASWTR</v>
      </c>
      <c r="L2031" t="str">
        <f t="shared" ca="1" si="312"/>
        <v>imp</v>
      </c>
      <c r="M2031" t="str">
        <f t="shared" ca="1" si="309"/>
        <v>HHT</v>
      </c>
      <c r="N2031">
        <f t="shared" ca="1" si="310"/>
        <v>1.1790942060244956E-8</v>
      </c>
    </row>
    <row r="2032" spans="6:14" x14ac:dyDescent="0.35">
      <c r="F2032">
        <f t="shared" si="317"/>
        <v>30</v>
      </c>
      <c r="G2032">
        <f t="shared" si="314"/>
        <v>17</v>
      </c>
      <c r="H2032">
        <f t="shared" si="315"/>
        <v>1</v>
      </c>
      <c r="K2032" t="str">
        <f t="shared" ca="1" si="311"/>
        <v>CNS</v>
      </c>
      <c r="L2032" t="str">
        <f t="shared" ca="1" si="312"/>
        <v>imp</v>
      </c>
      <c r="M2032" t="str">
        <f t="shared" ca="1" si="309"/>
        <v>HHT</v>
      </c>
      <c r="N2032">
        <f t="shared" ca="1" si="310"/>
        <v>0.34526082058463914</v>
      </c>
    </row>
    <row r="2033" spans="6:14" x14ac:dyDescent="0.35">
      <c r="F2033">
        <f t="shared" si="317"/>
        <v>30</v>
      </c>
      <c r="G2033">
        <f t="shared" si="314"/>
        <v>18</v>
      </c>
      <c r="H2033">
        <f t="shared" si="315"/>
        <v>1</v>
      </c>
      <c r="K2033" t="str">
        <f t="shared" ca="1" si="311"/>
        <v>TRD</v>
      </c>
      <c r="L2033" t="str">
        <f t="shared" ca="1" si="312"/>
        <v>imp</v>
      </c>
      <c r="M2033" t="str">
        <f t="shared" ca="1" si="309"/>
        <v>HHT</v>
      </c>
      <c r="N2033">
        <f t="shared" ca="1" si="310"/>
        <v>3.0207989246930293E-2</v>
      </c>
    </row>
    <row r="2034" spans="6:14" x14ac:dyDescent="0.35">
      <c r="F2034">
        <f t="shared" si="317"/>
        <v>30</v>
      </c>
      <c r="G2034">
        <f t="shared" si="314"/>
        <v>19</v>
      </c>
      <c r="H2034">
        <f t="shared" si="315"/>
        <v>1</v>
      </c>
      <c r="K2034" t="str">
        <f t="shared" ca="1" si="311"/>
        <v>AFS</v>
      </c>
      <c r="L2034" t="str">
        <f t="shared" ca="1" si="312"/>
        <v>imp</v>
      </c>
      <c r="M2034" t="str">
        <f t="shared" ca="1" si="309"/>
        <v>HHT</v>
      </c>
      <c r="N2034">
        <f t="shared" ca="1" si="310"/>
        <v>1.1790942060244956E-8</v>
      </c>
    </row>
    <row r="2035" spans="6:14" x14ac:dyDescent="0.35">
      <c r="F2035">
        <f t="shared" si="317"/>
        <v>30</v>
      </c>
      <c r="G2035">
        <f t="shared" si="314"/>
        <v>20</v>
      </c>
      <c r="H2035">
        <f t="shared" si="315"/>
        <v>1</v>
      </c>
      <c r="K2035" t="str">
        <f t="shared" ca="1" si="311"/>
        <v>OTP</v>
      </c>
      <c r="L2035" t="str">
        <f t="shared" ca="1" si="312"/>
        <v>imp</v>
      </c>
      <c r="M2035" t="str">
        <f t="shared" ca="1" si="309"/>
        <v>HHT</v>
      </c>
      <c r="N2035">
        <f t="shared" ca="1" si="310"/>
        <v>1.1790942060244956E-8</v>
      </c>
    </row>
    <row r="2036" spans="6:14" x14ac:dyDescent="0.35">
      <c r="F2036">
        <f t="shared" si="317"/>
        <v>30</v>
      </c>
      <c r="G2036">
        <f t="shared" si="314"/>
        <v>21</v>
      </c>
      <c r="H2036">
        <f t="shared" si="315"/>
        <v>1</v>
      </c>
      <c r="K2036" t="str">
        <f t="shared" ca="1" si="311"/>
        <v>WTP</v>
      </c>
      <c r="L2036" t="str">
        <f t="shared" ca="1" si="312"/>
        <v>imp</v>
      </c>
      <c r="M2036" t="str">
        <f t="shared" ca="1" si="309"/>
        <v>HHT</v>
      </c>
      <c r="N2036">
        <f t="shared" ca="1" si="310"/>
        <v>1.1790942060244956E-8</v>
      </c>
    </row>
    <row r="2037" spans="6:14" x14ac:dyDescent="0.35">
      <c r="F2037">
        <f t="shared" ref="F2037:F2052" si="318">F1971+1</f>
        <v>30</v>
      </c>
      <c r="G2037">
        <f t="shared" si="314"/>
        <v>22</v>
      </c>
      <c r="H2037">
        <f t="shared" si="315"/>
        <v>1</v>
      </c>
      <c r="K2037" t="str">
        <f t="shared" ca="1" si="311"/>
        <v>ATP</v>
      </c>
      <c r="L2037" t="str">
        <f t="shared" ca="1" si="312"/>
        <v>imp</v>
      </c>
      <c r="M2037" t="str">
        <f t="shared" ca="1" si="309"/>
        <v>HHT</v>
      </c>
      <c r="N2037">
        <f t="shared" ca="1" si="310"/>
        <v>1.1790942060244956E-8</v>
      </c>
    </row>
    <row r="2038" spans="6:14" x14ac:dyDescent="0.35">
      <c r="F2038">
        <f t="shared" si="318"/>
        <v>30</v>
      </c>
      <c r="G2038">
        <f t="shared" si="314"/>
        <v>23</v>
      </c>
      <c r="H2038">
        <f t="shared" si="315"/>
        <v>1</v>
      </c>
      <c r="K2038" t="str">
        <f t="shared" ca="1" si="311"/>
        <v>WHS</v>
      </c>
      <c r="L2038" t="str">
        <f t="shared" ca="1" si="312"/>
        <v>imp</v>
      </c>
      <c r="M2038" t="str">
        <f t="shared" ca="1" si="309"/>
        <v>HHT</v>
      </c>
      <c r="N2038">
        <f t="shared" ca="1" si="310"/>
        <v>1.1790942060244956E-8</v>
      </c>
    </row>
    <row r="2039" spans="6:14" x14ac:dyDescent="0.35">
      <c r="F2039">
        <f t="shared" si="318"/>
        <v>30</v>
      </c>
      <c r="G2039">
        <f t="shared" si="314"/>
        <v>24</v>
      </c>
      <c r="H2039">
        <f t="shared" si="315"/>
        <v>1</v>
      </c>
      <c r="K2039" t="str">
        <f t="shared" ca="1" si="311"/>
        <v>CMN</v>
      </c>
      <c r="L2039" t="str">
        <f t="shared" ca="1" si="312"/>
        <v>imp</v>
      </c>
      <c r="M2039" t="str">
        <f t="shared" ca="1" si="309"/>
        <v>HHT</v>
      </c>
      <c r="N2039">
        <f t="shared" ca="1" si="310"/>
        <v>1.1790942060244956E-8</v>
      </c>
    </row>
    <row r="2040" spans="6:14" x14ac:dyDescent="0.35">
      <c r="F2040">
        <f t="shared" si="318"/>
        <v>30</v>
      </c>
      <c r="G2040">
        <f t="shared" si="314"/>
        <v>25</v>
      </c>
      <c r="H2040">
        <f t="shared" si="315"/>
        <v>1</v>
      </c>
      <c r="K2040" t="str">
        <f t="shared" ca="1" si="311"/>
        <v>OFI</v>
      </c>
      <c r="L2040" t="str">
        <f t="shared" ca="1" si="312"/>
        <v>imp</v>
      </c>
      <c r="M2040" t="str">
        <f t="shared" ca="1" si="309"/>
        <v>HHT</v>
      </c>
      <c r="N2040">
        <f t="shared" ca="1" si="310"/>
        <v>1.1790942060244956E-8</v>
      </c>
    </row>
    <row r="2041" spans="6:14" x14ac:dyDescent="0.35">
      <c r="F2041">
        <f t="shared" si="318"/>
        <v>30</v>
      </c>
      <c r="G2041">
        <f t="shared" si="314"/>
        <v>26</v>
      </c>
      <c r="H2041">
        <f t="shared" si="315"/>
        <v>1</v>
      </c>
      <c r="K2041" t="str">
        <f t="shared" ca="1" si="311"/>
        <v>RSA</v>
      </c>
      <c r="L2041" t="str">
        <f t="shared" ca="1" si="312"/>
        <v>imp</v>
      </c>
      <c r="M2041" t="str">
        <f t="shared" ca="1" si="309"/>
        <v>HHT</v>
      </c>
      <c r="N2041">
        <f t="shared" ca="1" si="310"/>
        <v>1.1790942060244956E-8</v>
      </c>
    </row>
    <row r="2042" spans="6:14" x14ac:dyDescent="0.35">
      <c r="F2042">
        <f t="shared" si="318"/>
        <v>30</v>
      </c>
      <c r="G2042">
        <f t="shared" si="314"/>
        <v>27</v>
      </c>
      <c r="H2042">
        <f t="shared" si="315"/>
        <v>1</v>
      </c>
      <c r="K2042" t="str">
        <f t="shared" ca="1" si="311"/>
        <v>OBS</v>
      </c>
      <c r="L2042" t="str">
        <f t="shared" ca="1" si="312"/>
        <v>imp</v>
      </c>
      <c r="M2042" t="str">
        <f t="shared" ca="1" si="309"/>
        <v>HHT</v>
      </c>
      <c r="N2042">
        <f t="shared" ca="1" si="310"/>
        <v>1.1790942060244956E-8</v>
      </c>
    </row>
    <row r="2043" spans="6:14" x14ac:dyDescent="0.35">
      <c r="F2043">
        <f t="shared" si="318"/>
        <v>30</v>
      </c>
      <c r="G2043">
        <f t="shared" si="314"/>
        <v>28</v>
      </c>
      <c r="H2043">
        <f t="shared" si="315"/>
        <v>1</v>
      </c>
      <c r="K2043" t="str">
        <f t="shared" ca="1" si="311"/>
        <v>GOV</v>
      </c>
      <c r="L2043" t="str">
        <f t="shared" ca="1" si="312"/>
        <v>imp</v>
      </c>
      <c r="M2043" t="str">
        <f t="shared" ca="1" si="309"/>
        <v>HHT</v>
      </c>
      <c r="N2043">
        <f t="shared" ca="1" si="310"/>
        <v>1.1790942060244956E-8</v>
      </c>
    </row>
    <row r="2044" spans="6:14" x14ac:dyDescent="0.35">
      <c r="F2044">
        <f t="shared" si="318"/>
        <v>30</v>
      </c>
      <c r="G2044">
        <f t="shared" si="314"/>
        <v>29</v>
      </c>
      <c r="H2044">
        <f t="shared" si="315"/>
        <v>1</v>
      </c>
      <c r="K2044" t="str">
        <f t="shared" ca="1" si="311"/>
        <v>EDU</v>
      </c>
      <c r="L2044" t="str">
        <f t="shared" ca="1" si="312"/>
        <v>imp</v>
      </c>
      <c r="M2044" t="str">
        <f t="shared" ca="1" si="309"/>
        <v>HHT</v>
      </c>
      <c r="N2044">
        <f t="shared" ca="1" si="310"/>
        <v>1.1790942060244956E-8</v>
      </c>
    </row>
    <row r="2045" spans="6:14" x14ac:dyDescent="0.35">
      <c r="F2045">
        <f t="shared" si="318"/>
        <v>30</v>
      </c>
      <c r="G2045">
        <f t="shared" si="314"/>
        <v>30</v>
      </c>
      <c r="H2045">
        <f t="shared" si="315"/>
        <v>1</v>
      </c>
      <c r="K2045" t="str">
        <f t="shared" ca="1" si="311"/>
        <v>HHT</v>
      </c>
      <c r="L2045" t="str">
        <f t="shared" ca="1" si="312"/>
        <v>imp</v>
      </c>
      <c r="M2045" t="str">
        <f t="shared" ca="1" si="309"/>
        <v>HHT</v>
      </c>
      <c r="N2045">
        <f t="shared" ca="1" si="310"/>
        <v>1.1790942060244956E-8</v>
      </c>
    </row>
    <row r="2046" spans="6:14" x14ac:dyDescent="0.35">
      <c r="F2046">
        <f t="shared" si="318"/>
        <v>30</v>
      </c>
      <c r="G2046">
        <f t="shared" si="314"/>
        <v>31</v>
      </c>
      <c r="H2046">
        <f t="shared" si="315"/>
        <v>1</v>
      </c>
      <c r="K2046" t="str">
        <f t="shared" ca="1" si="311"/>
        <v>REC</v>
      </c>
      <c r="L2046" t="str">
        <f t="shared" ca="1" si="312"/>
        <v>imp</v>
      </c>
      <c r="M2046" t="str">
        <f t="shared" ca="1" si="309"/>
        <v>HHT</v>
      </c>
      <c r="N2046">
        <f t="shared" ca="1" si="310"/>
        <v>1.1790942060244956E-8</v>
      </c>
    </row>
    <row r="2047" spans="6:14" x14ac:dyDescent="0.35">
      <c r="F2047">
        <f t="shared" si="318"/>
        <v>30</v>
      </c>
      <c r="G2047">
        <f t="shared" si="314"/>
        <v>32</v>
      </c>
      <c r="H2047">
        <f t="shared" si="315"/>
        <v>1</v>
      </c>
      <c r="K2047" t="str">
        <f t="shared" ca="1" si="311"/>
        <v>DWE</v>
      </c>
      <c r="L2047" t="str">
        <f t="shared" ca="1" si="312"/>
        <v>imp</v>
      </c>
      <c r="M2047" t="str">
        <f t="shared" ca="1" si="309"/>
        <v>HHT</v>
      </c>
      <c r="N2047">
        <f t="shared" ca="1" si="310"/>
        <v>1.1790942060244956E-8</v>
      </c>
    </row>
    <row r="2048" spans="6:14" x14ac:dyDescent="0.35">
      <c r="F2048">
        <f t="shared" si="318"/>
        <v>31</v>
      </c>
      <c r="G2048">
        <f t="shared" si="314"/>
        <v>0</v>
      </c>
      <c r="H2048">
        <f t="shared" si="315"/>
        <v>0</v>
      </c>
      <c r="K2048" t="str">
        <f t="shared" ca="1" si="311"/>
        <v>AG</v>
      </c>
      <c r="L2048" t="str">
        <f t="shared" ca="1" si="312"/>
        <v>dom</v>
      </c>
      <c r="M2048" t="str">
        <f t="shared" ca="1" si="309"/>
        <v>REC</v>
      </c>
      <c r="N2048">
        <f t="shared" ca="1" si="310"/>
        <v>4.6069058447958675E-3</v>
      </c>
    </row>
    <row r="2049" spans="6:14" x14ac:dyDescent="0.35">
      <c r="F2049">
        <f t="shared" si="318"/>
        <v>31</v>
      </c>
      <c r="G2049">
        <f t="shared" si="314"/>
        <v>1</v>
      </c>
      <c r="H2049">
        <f t="shared" si="315"/>
        <v>0</v>
      </c>
      <c r="K2049" t="str">
        <f t="shared" ca="1" si="311"/>
        <v>MIN</v>
      </c>
      <c r="L2049" t="str">
        <f t="shared" ca="1" si="312"/>
        <v>dom</v>
      </c>
      <c r="M2049" t="str">
        <f t="shared" ca="1" si="309"/>
        <v>REC</v>
      </c>
      <c r="N2049">
        <f t="shared" ca="1" si="310"/>
        <v>8.0363655045253106E-3</v>
      </c>
    </row>
    <row r="2050" spans="6:14" x14ac:dyDescent="0.35">
      <c r="F2050">
        <f t="shared" si="318"/>
        <v>31</v>
      </c>
      <c r="G2050">
        <f t="shared" si="314"/>
        <v>2</v>
      </c>
      <c r="H2050">
        <f t="shared" si="315"/>
        <v>0</v>
      </c>
      <c r="K2050" t="str">
        <f t="shared" ca="1" si="311"/>
        <v>FBT</v>
      </c>
      <c r="L2050" t="str">
        <f t="shared" ca="1" si="312"/>
        <v>dom</v>
      </c>
      <c r="M2050" t="str">
        <f t="shared" ref="M2050:M2113" ca="1" si="319">OFFSET(A$2,F2050,0)</f>
        <v>REC</v>
      </c>
      <c r="N2050">
        <f t="shared" ref="N2050:N2113" ca="1" si="320">SUMIFS(C:C,A:A,K2050,B:B,L2050)*SUMIFS(U:U,S:S,M2050)</f>
        <v>1.3531542730139318E-2</v>
      </c>
    </row>
    <row r="2051" spans="6:14" x14ac:dyDescent="0.35">
      <c r="F2051">
        <f t="shared" si="318"/>
        <v>31</v>
      </c>
      <c r="G2051">
        <f t="shared" si="314"/>
        <v>3</v>
      </c>
      <c r="H2051">
        <f t="shared" si="315"/>
        <v>0</v>
      </c>
      <c r="K2051" t="str">
        <f t="shared" ref="K2051:K2114" ca="1" si="321">OFFSET(A$2,G2051,0)</f>
        <v>TEX</v>
      </c>
      <c r="L2051" t="str">
        <f t="shared" ref="L2051:L2114" ca="1" si="322">OFFSET($V$3,H2051,0)</f>
        <v>dom</v>
      </c>
      <c r="M2051" t="str">
        <f t="shared" ca="1" si="319"/>
        <v>REC</v>
      </c>
      <c r="N2051">
        <f t="shared" ca="1" si="320"/>
        <v>7.0483817367681584E-2</v>
      </c>
    </row>
    <row r="2052" spans="6:14" x14ac:dyDescent="0.35">
      <c r="F2052">
        <f t="shared" si="318"/>
        <v>31</v>
      </c>
      <c r="G2052">
        <f t="shared" si="314"/>
        <v>4</v>
      </c>
      <c r="H2052">
        <f t="shared" si="315"/>
        <v>0</v>
      </c>
      <c r="K2052" t="str">
        <f t="shared" ca="1" si="321"/>
        <v>LEATHER</v>
      </c>
      <c r="L2052" t="str">
        <f t="shared" ca="1" si="322"/>
        <v>dom</v>
      </c>
      <c r="M2052" t="str">
        <f t="shared" ca="1" si="319"/>
        <v>REC</v>
      </c>
      <c r="N2052">
        <f t="shared" ca="1" si="320"/>
        <v>5.001403499718494E-4</v>
      </c>
    </row>
    <row r="2053" spans="6:14" x14ac:dyDescent="0.35">
      <c r="F2053">
        <f t="shared" ref="F2053:F2068" si="323">F1987+1</f>
        <v>31</v>
      </c>
      <c r="G2053">
        <f t="shared" ref="G2053:G2116" si="324">G2020</f>
        <v>5</v>
      </c>
      <c r="H2053">
        <f t="shared" ref="H2053:H2116" si="325">H1987</f>
        <v>0</v>
      </c>
      <c r="K2053" t="str">
        <f t="shared" ca="1" si="321"/>
        <v>WOOD</v>
      </c>
      <c r="L2053" t="str">
        <f t="shared" ca="1" si="322"/>
        <v>dom</v>
      </c>
      <c r="M2053" t="str">
        <f t="shared" ca="1" si="319"/>
        <v>REC</v>
      </c>
      <c r="N2053">
        <f t="shared" ca="1" si="320"/>
        <v>3.0788230070264368E-3</v>
      </c>
    </row>
    <row r="2054" spans="6:14" x14ac:dyDescent="0.35">
      <c r="F2054">
        <f t="shared" si="323"/>
        <v>31</v>
      </c>
      <c r="G2054">
        <f t="shared" si="324"/>
        <v>6</v>
      </c>
      <c r="H2054">
        <f t="shared" si="325"/>
        <v>0</v>
      </c>
      <c r="K2054" t="str">
        <f t="shared" ca="1" si="321"/>
        <v>PPP</v>
      </c>
      <c r="L2054" t="str">
        <f t="shared" ca="1" si="322"/>
        <v>dom</v>
      </c>
      <c r="M2054" t="str">
        <f t="shared" ca="1" si="319"/>
        <v>REC</v>
      </c>
      <c r="N2054">
        <f t="shared" ca="1" si="320"/>
        <v>6.1624427454068958E-2</v>
      </c>
    </row>
    <row r="2055" spans="6:14" x14ac:dyDescent="0.35">
      <c r="F2055">
        <f t="shared" si="323"/>
        <v>31</v>
      </c>
      <c r="G2055">
        <f t="shared" si="324"/>
        <v>7</v>
      </c>
      <c r="H2055">
        <f t="shared" si="325"/>
        <v>0</v>
      </c>
      <c r="K2055" t="str">
        <f t="shared" ca="1" si="321"/>
        <v>PC</v>
      </c>
      <c r="L2055" t="str">
        <f t="shared" ca="1" si="322"/>
        <v>dom</v>
      </c>
      <c r="M2055" t="str">
        <f t="shared" ca="1" si="319"/>
        <v>REC</v>
      </c>
      <c r="N2055">
        <f t="shared" ca="1" si="320"/>
        <v>9.3903758443209268E-3</v>
      </c>
    </row>
    <row r="2056" spans="6:14" x14ac:dyDescent="0.35">
      <c r="F2056">
        <f t="shared" si="323"/>
        <v>31</v>
      </c>
      <c r="G2056">
        <f t="shared" si="324"/>
        <v>8</v>
      </c>
      <c r="H2056">
        <f t="shared" si="325"/>
        <v>0</v>
      </c>
      <c r="K2056" t="str">
        <f t="shared" ca="1" si="321"/>
        <v>CHM</v>
      </c>
      <c r="L2056" t="str">
        <f t="shared" ca="1" si="322"/>
        <v>dom</v>
      </c>
      <c r="M2056" t="str">
        <f t="shared" ca="1" si="319"/>
        <v>REC</v>
      </c>
      <c r="N2056">
        <f t="shared" ca="1" si="320"/>
        <v>5.847575422072275E-2</v>
      </c>
    </row>
    <row r="2057" spans="6:14" x14ac:dyDescent="0.35">
      <c r="F2057">
        <f t="shared" si="323"/>
        <v>31</v>
      </c>
      <c r="G2057">
        <f t="shared" si="324"/>
        <v>9</v>
      </c>
      <c r="H2057">
        <f t="shared" si="325"/>
        <v>0</v>
      </c>
      <c r="K2057" t="str">
        <f t="shared" ca="1" si="321"/>
        <v>RUBBER</v>
      </c>
      <c r="L2057" t="str">
        <f t="shared" ca="1" si="322"/>
        <v>dom</v>
      </c>
      <c r="M2057" t="str">
        <f t="shared" ca="1" si="319"/>
        <v>REC</v>
      </c>
      <c r="N2057">
        <f t="shared" ca="1" si="320"/>
        <v>9.1538150662208884E-2</v>
      </c>
    </row>
    <row r="2058" spans="6:14" x14ac:dyDescent="0.35">
      <c r="F2058">
        <f t="shared" si="323"/>
        <v>31</v>
      </c>
      <c r="G2058">
        <f t="shared" si="324"/>
        <v>10</v>
      </c>
      <c r="H2058">
        <f t="shared" si="325"/>
        <v>0</v>
      </c>
      <c r="K2058" t="str">
        <f t="shared" ca="1" si="321"/>
        <v>NMM</v>
      </c>
      <c r="L2058" t="str">
        <f t="shared" ca="1" si="322"/>
        <v>dom</v>
      </c>
      <c r="M2058" t="str">
        <f t="shared" ca="1" si="319"/>
        <v>REC</v>
      </c>
      <c r="N2058">
        <f t="shared" ca="1" si="320"/>
        <v>8.4798719126913794E-2</v>
      </c>
    </row>
    <row r="2059" spans="6:14" x14ac:dyDescent="0.35">
      <c r="F2059">
        <f t="shared" si="323"/>
        <v>31</v>
      </c>
      <c r="G2059">
        <f t="shared" si="324"/>
        <v>11</v>
      </c>
      <c r="H2059">
        <f t="shared" si="325"/>
        <v>0</v>
      </c>
      <c r="K2059" t="str">
        <f t="shared" ca="1" si="321"/>
        <v>METAL</v>
      </c>
      <c r="L2059" t="str">
        <f t="shared" ca="1" si="322"/>
        <v>dom</v>
      </c>
      <c r="M2059" t="str">
        <f t="shared" ca="1" si="319"/>
        <v>REC</v>
      </c>
      <c r="N2059">
        <f t="shared" ca="1" si="320"/>
        <v>0.24802157942745609</v>
      </c>
    </row>
    <row r="2060" spans="6:14" x14ac:dyDescent="0.35">
      <c r="F2060">
        <f t="shared" si="323"/>
        <v>31</v>
      </c>
      <c r="G2060">
        <f t="shared" si="324"/>
        <v>12</v>
      </c>
      <c r="H2060">
        <f t="shared" si="325"/>
        <v>0</v>
      </c>
      <c r="K2060" t="str">
        <f t="shared" ca="1" si="321"/>
        <v>MACH</v>
      </c>
      <c r="L2060" t="str">
        <f t="shared" ca="1" si="322"/>
        <v>dom</v>
      </c>
      <c r="M2060" t="str">
        <f t="shared" ca="1" si="319"/>
        <v>REC</v>
      </c>
      <c r="N2060">
        <f t="shared" ca="1" si="320"/>
        <v>0.35899168370663337</v>
      </c>
    </row>
    <row r="2061" spans="6:14" x14ac:dyDescent="0.35">
      <c r="F2061">
        <f t="shared" si="323"/>
        <v>31</v>
      </c>
      <c r="G2061">
        <f t="shared" si="324"/>
        <v>13</v>
      </c>
      <c r="H2061">
        <f t="shared" si="325"/>
        <v>0</v>
      </c>
      <c r="K2061" t="str">
        <f t="shared" ca="1" si="321"/>
        <v>ELEC</v>
      </c>
      <c r="L2061" t="str">
        <f t="shared" ca="1" si="322"/>
        <v>dom</v>
      </c>
      <c r="M2061" t="str">
        <f t="shared" ca="1" si="319"/>
        <v>REC</v>
      </c>
      <c r="N2061">
        <f t="shared" ca="1" si="320"/>
        <v>7.4678064593019428E-2</v>
      </c>
    </row>
    <row r="2062" spans="6:14" x14ac:dyDescent="0.35">
      <c r="F2062">
        <f t="shared" si="323"/>
        <v>31</v>
      </c>
      <c r="G2062">
        <f t="shared" si="324"/>
        <v>14</v>
      </c>
      <c r="H2062">
        <f t="shared" si="325"/>
        <v>0</v>
      </c>
      <c r="K2062" t="str">
        <f t="shared" ca="1" si="321"/>
        <v>TRNEQUIP</v>
      </c>
      <c r="L2062" t="str">
        <f t="shared" ca="1" si="322"/>
        <v>dom</v>
      </c>
      <c r="M2062" t="str">
        <f t="shared" ca="1" si="319"/>
        <v>REC</v>
      </c>
      <c r="N2062">
        <f t="shared" ca="1" si="320"/>
        <v>0.10787305600298951</v>
      </c>
    </row>
    <row r="2063" spans="6:14" x14ac:dyDescent="0.35">
      <c r="F2063">
        <f t="shared" si="323"/>
        <v>31</v>
      </c>
      <c r="G2063">
        <f t="shared" si="324"/>
        <v>15</v>
      </c>
      <c r="H2063">
        <f t="shared" si="325"/>
        <v>0</v>
      </c>
      <c r="K2063" t="str">
        <f t="shared" ca="1" si="321"/>
        <v>ROMAN</v>
      </c>
      <c r="L2063" t="str">
        <f t="shared" ca="1" si="322"/>
        <v>dom</v>
      </c>
      <c r="M2063" t="str">
        <f t="shared" ca="1" si="319"/>
        <v>REC</v>
      </c>
      <c r="N2063">
        <f t="shared" ca="1" si="320"/>
        <v>0.29373132731506646</v>
      </c>
    </row>
    <row r="2064" spans="6:14" x14ac:dyDescent="0.35">
      <c r="F2064">
        <f t="shared" si="323"/>
        <v>31</v>
      </c>
      <c r="G2064">
        <f t="shared" si="324"/>
        <v>16</v>
      </c>
      <c r="H2064">
        <f t="shared" si="325"/>
        <v>0</v>
      </c>
      <c r="K2064" t="str">
        <f t="shared" ca="1" si="321"/>
        <v>ELYGASWTR</v>
      </c>
      <c r="L2064" t="str">
        <f t="shared" ca="1" si="322"/>
        <v>dom</v>
      </c>
      <c r="M2064" t="str">
        <f t="shared" ca="1" si="319"/>
        <v>REC</v>
      </c>
      <c r="N2064">
        <f t="shared" ca="1" si="320"/>
        <v>6.7027541225809677E-9</v>
      </c>
    </row>
    <row r="2065" spans="6:14" x14ac:dyDescent="0.35">
      <c r="F2065">
        <f t="shared" si="323"/>
        <v>31</v>
      </c>
      <c r="G2065">
        <f t="shared" si="324"/>
        <v>17</v>
      </c>
      <c r="H2065">
        <f t="shared" si="325"/>
        <v>0</v>
      </c>
      <c r="K2065" t="str">
        <f t="shared" ca="1" si="321"/>
        <v>CNS</v>
      </c>
      <c r="L2065" t="str">
        <f t="shared" ca="1" si="322"/>
        <v>dom</v>
      </c>
      <c r="M2065" t="str">
        <f t="shared" ca="1" si="319"/>
        <v>REC</v>
      </c>
      <c r="N2065">
        <f t="shared" ca="1" si="320"/>
        <v>9.7572963934480104</v>
      </c>
    </row>
    <row r="2066" spans="6:14" x14ac:dyDescent="0.35">
      <c r="F2066">
        <f t="shared" si="323"/>
        <v>31</v>
      </c>
      <c r="G2066">
        <f t="shared" si="324"/>
        <v>18</v>
      </c>
      <c r="H2066">
        <f t="shared" si="325"/>
        <v>0</v>
      </c>
      <c r="K2066" t="str">
        <f t="shared" ca="1" si="321"/>
        <v>TRD</v>
      </c>
      <c r="L2066" t="str">
        <f t="shared" ca="1" si="322"/>
        <v>dom</v>
      </c>
      <c r="M2066" t="str">
        <f t="shared" ca="1" si="319"/>
        <v>REC</v>
      </c>
      <c r="N2066">
        <f t="shared" ca="1" si="320"/>
        <v>1.5601266408461607</v>
      </c>
    </row>
    <row r="2067" spans="6:14" x14ac:dyDescent="0.35">
      <c r="F2067">
        <f t="shared" si="323"/>
        <v>31</v>
      </c>
      <c r="G2067">
        <f t="shared" si="324"/>
        <v>19</v>
      </c>
      <c r="H2067">
        <f t="shared" si="325"/>
        <v>0</v>
      </c>
      <c r="K2067" t="str">
        <f t="shared" ca="1" si="321"/>
        <v>AFS</v>
      </c>
      <c r="L2067" t="str">
        <f t="shared" ca="1" si="322"/>
        <v>dom</v>
      </c>
      <c r="M2067" t="str">
        <f t="shared" ca="1" si="319"/>
        <v>REC</v>
      </c>
      <c r="N2067">
        <f t="shared" ca="1" si="320"/>
        <v>6.7027541225809677E-9</v>
      </c>
    </row>
    <row r="2068" spans="6:14" x14ac:dyDescent="0.35">
      <c r="F2068">
        <f t="shared" si="323"/>
        <v>31</v>
      </c>
      <c r="G2068">
        <f t="shared" si="324"/>
        <v>20</v>
      </c>
      <c r="H2068">
        <f t="shared" si="325"/>
        <v>0</v>
      </c>
      <c r="K2068" t="str">
        <f t="shared" ca="1" si="321"/>
        <v>OTP</v>
      </c>
      <c r="L2068" t="str">
        <f t="shared" ca="1" si="322"/>
        <v>dom</v>
      </c>
      <c r="M2068" t="str">
        <f t="shared" ca="1" si="319"/>
        <v>REC</v>
      </c>
      <c r="N2068">
        <f t="shared" ca="1" si="320"/>
        <v>6.7027541225809677E-9</v>
      </c>
    </row>
    <row r="2069" spans="6:14" x14ac:dyDescent="0.35">
      <c r="F2069">
        <f t="shared" ref="F2069:F2084" si="326">F2003+1</f>
        <v>31</v>
      </c>
      <c r="G2069">
        <f t="shared" si="324"/>
        <v>21</v>
      </c>
      <c r="H2069">
        <f t="shared" si="325"/>
        <v>0</v>
      </c>
      <c r="K2069" t="str">
        <f t="shared" ca="1" si="321"/>
        <v>WTP</v>
      </c>
      <c r="L2069" t="str">
        <f t="shared" ca="1" si="322"/>
        <v>dom</v>
      </c>
      <c r="M2069" t="str">
        <f t="shared" ca="1" si="319"/>
        <v>REC</v>
      </c>
      <c r="N2069">
        <f t="shared" ca="1" si="320"/>
        <v>6.7027541225809677E-9</v>
      </c>
    </row>
    <row r="2070" spans="6:14" x14ac:dyDescent="0.35">
      <c r="F2070">
        <f t="shared" si="326"/>
        <v>31</v>
      </c>
      <c r="G2070">
        <f t="shared" si="324"/>
        <v>22</v>
      </c>
      <c r="H2070">
        <f t="shared" si="325"/>
        <v>0</v>
      </c>
      <c r="K2070" t="str">
        <f t="shared" ca="1" si="321"/>
        <v>ATP</v>
      </c>
      <c r="L2070" t="str">
        <f t="shared" ca="1" si="322"/>
        <v>dom</v>
      </c>
      <c r="M2070" t="str">
        <f t="shared" ca="1" si="319"/>
        <v>REC</v>
      </c>
      <c r="N2070">
        <f t="shared" ca="1" si="320"/>
        <v>6.7027541225809677E-9</v>
      </c>
    </row>
    <row r="2071" spans="6:14" x14ac:dyDescent="0.35">
      <c r="F2071">
        <f t="shared" si="326"/>
        <v>31</v>
      </c>
      <c r="G2071">
        <f t="shared" si="324"/>
        <v>23</v>
      </c>
      <c r="H2071">
        <f t="shared" si="325"/>
        <v>0</v>
      </c>
      <c r="K2071" t="str">
        <f t="shared" ca="1" si="321"/>
        <v>WHS</v>
      </c>
      <c r="L2071" t="str">
        <f t="shared" ca="1" si="322"/>
        <v>dom</v>
      </c>
      <c r="M2071" t="str">
        <f t="shared" ca="1" si="319"/>
        <v>REC</v>
      </c>
      <c r="N2071">
        <f t="shared" ca="1" si="320"/>
        <v>6.7027541225809677E-9</v>
      </c>
    </row>
    <row r="2072" spans="6:14" x14ac:dyDescent="0.35">
      <c r="F2072">
        <f t="shared" si="326"/>
        <v>31</v>
      </c>
      <c r="G2072">
        <f t="shared" si="324"/>
        <v>24</v>
      </c>
      <c r="H2072">
        <f t="shared" si="325"/>
        <v>0</v>
      </c>
      <c r="K2072" t="str">
        <f t="shared" ca="1" si="321"/>
        <v>CMN</v>
      </c>
      <c r="L2072" t="str">
        <f t="shared" ca="1" si="322"/>
        <v>dom</v>
      </c>
      <c r="M2072" t="str">
        <f t="shared" ca="1" si="319"/>
        <v>REC</v>
      </c>
      <c r="N2072">
        <f t="shared" ca="1" si="320"/>
        <v>6.7027541225809677E-9</v>
      </c>
    </row>
    <row r="2073" spans="6:14" x14ac:dyDescent="0.35">
      <c r="F2073">
        <f t="shared" si="326"/>
        <v>31</v>
      </c>
      <c r="G2073">
        <f t="shared" si="324"/>
        <v>25</v>
      </c>
      <c r="H2073">
        <f t="shared" si="325"/>
        <v>0</v>
      </c>
      <c r="K2073" t="str">
        <f t="shared" ca="1" si="321"/>
        <v>OFI</v>
      </c>
      <c r="L2073" t="str">
        <f t="shared" ca="1" si="322"/>
        <v>dom</v>
      </c>
      <c r="M2073" t="str">
        <f t="shared" ca="1" si="319"/>
        <v>REC</v>
      </c>
      <c r="N2073">
        <f t="shared" ca="1" si="320"/>
        <v>6.7027541225809677E-9</v>
      </c>
    </row>
    <row r="2074" spans="6:14" x14ac:dyDescent="0.35">
      <c r="F2074">
        <f t="shared" si="326"/>
        <v>31</v>
      </c>
      <c r="G2074">
        <f t="shared" si="324"/>
        <v>26</v>
      </c>
      <c r="H2074">
        <f t="shared" si="325"/>
        <v>0</v>
      </c>
      <c r="K2074" t="str">
        <f t="shared" ca="1" si="321"/>
        <v>RSA</v>
      </c>
      <c r="L2074" t="str">
        <f t="shared" ca="1" si="322"/>
        <v>dom</v>
      </c>
      <c r="M2074" t="str">
        <f t="shared" ca="1" si="319"/>
        <v>REC</v>
      </c>
      <c r="N2074">
        <f t="shared" ca="1" si="320"/>
        <v>6.7027541225809677E-9</v>
      </c>
    </row>
    <row r="2075" spans="6:14" x14ac:dyDescent="0.35">
      <c r="F2075">
        <f t="shared" si="326"/>
        <v>31</v>
      </c>
      <c r="G2075">
        <f t="shared" si="324"/>
        <v>27</v>
      </c>
      <c r="H2075">
        <f t="shared" si="325"/>
        <v>0</v>
      </c>
      <c r="K2075" t="str">
        <f t="shared" ca="1" si="321"/>
        <v>OBS</v>
      </c>
      <c r="L2075" t="str">
        <f t="shared" ca="1" si="322"/>
        <v>dom</v>
      </c>
      <c r="M2075" t="str">
        <f t="shared" ca="1" si="319"/>
        <v>REC</v>
      </c>
      <c r="N2075">
        <f t="shared" ca="1" si="320"/>
        <v>6.7027541225809677E-9</v>
      </c>
    </row>
    <row r="2076" spans="6:14" x14ac:dyDescent="0.35">
      <c r="F2076">
        <f t="shared" si="326"/>
        <v>31</v>
      </c>
      <c r="G2076">
        <f t="shared" si="324"/>
        <v>28</v>
      </c>
      <c r="H2076">
        <f t="shared" si="325"/>
        <v>0</v>
      </c>
      <c r="K2076" t="str">
        <f t="shared" ca="1" si="321"/>
        <v>GOV</v>
      </c>
      <c r="L2076" t="str">
        <f t="shared" ca="1" si="322"/>
        <v>dom</v>
      </c>
      <c r="M2076" t="str">
        <f t="shared" ca="1" si="319"/>
        <v>REC</v>
      </c>
      <c r="N2076">
        <f t="shared" ca="1" si="320"/>
        <v>6.7027541225809677E-9</v>
      </c>
    </row>
    <row r="2077" spans="6:14" x14ac:dyDescent="0.35">
      <c r="F2077">
        <f t="shared" si="326"/>
        <v>31</v>
      </c>
      <c r="G2077">
        <f t="shared" si="324"/>
        <v>29</v>
      </c>
      <c r="H2077">
        <f t="shared" si="325"/>
        <v>0</v>
      </c>
      <c r="K2077" t="str">
        <f t="shared" ca="1" si="321"/>
        <v>EDU</v>
      </c>
      <c r="L2077" t="str">
        <f t="shared" ca="1" si="322"/>
        <v>dom</v>
      </c>
      <c r="M2077" t="str">
        <f t="shared" ca="1" si="319"/>
        <v>REC</v>
      </c>
      <c r="N2077">
        <f t="shared" ca="1" si="320"/>
        <v>6.7027541225809677E-9</v>
      </c>
    </row>
    <row r="2078" spans="6:14" x14ac:dyDescent="0.35">
      <c r="F2078">
        <f t="shared" si="326"/>
        <v>31</v>
      </c>
      <c r="G2078">
        <f t="shared" si="324"/>
        <v>30</v>
      </c>
      <c r="H2078">
        <f t="shared" si="325"/>
        <v>0</v>
      </c>
      <c r="K2078" t="str">
        <f t="shared" ca="1" si="321"/>
        <v>HHT</v>
      </c>
      <c r="L2078" t="str">
        <f t="shared" ca="1" si="322"/>
        <v>dom</v>
      </c>
      <c r="M2078" t="str">
        <f t="shared" ca="1" si="319"/>
        <v>REC</v>
      </c>
      <c r="N2078">
        <f t="shared" ca="1" si="320"/>
        <v>6.7027541225809677E-9</v>
      </c>
    </row>
    <row r="2079" spans="6:14" x14ac:dyDescent="0.35">
      <c r="F2079">
        <f t="shared" si="326"/>
        <v>31</v>
      </c>
      <c r="G2079">
        <f t="shared" si="324"/>
        <v>31</v>
      </c>
      <c r="H2079">
        <f t="shared" si="325"/>
        <v>0</v>
      </c>
      <c r="K2079" t="str">
        <f t="shared" ca="1" si="321"/>
        <v>REC</v>
      </c>
      <c r="L2079" t="str">
        <f t="shared" ca="1" si="322"/>
        <v>dom</v>
      </c>
      <c r="M2079" t="str">
        <f t="shared" ca="1" si="319"/>
        <v>REC</v>
      </c>
      <c r="N2079">
        <f t="shared" ca="1" si="320"/>
        <v>6.7027541225809677E-9</v>
      </c>
    </row>
    <row r="2080" spans="6:14" x14ac:dyDescent="0.35">
      <c r="F2080">
        <f t="shared" si="326"/>
        <v>31</v>
      </c>
      <c r="G2080">
        <f t="shared" si="324"/>
        <v>32</v>
      </c>
      <c r="H2080">
        <f t="shared" si="325"/>
        <v>0</v>
      </c>
      <c r="K2080" t="str">
        <f t="shared" ca="1" si="321"/>
        <v>DWE</v>
      </c>
      <c r="L2080" t="str">
        <f t="shared" ca="1" si="322"/>
        <v>dom</v>
      </c>
      <c r="M2080" t="str">
        <f t="shared" ca="1" si="319"/>
        <v>REC</v>
      </c>
      <c r="N2080">
        <f t="shared" ca="1" si="320"/>
        <v>6.7027541225809677E-9</v>
      </c>
    </row>
    <row r="2081" spans="6:14" x14ac:dyDescent="0.35">
      <c r="F2081">
        <f t="shared" si="326"/>
        <v>31</v>
      </c>
      <c r="G2081">
        <f t="shared" si="324"/>
        <v>0</v>
      </c>
      <c r="H2081">
        <f t="shared" si="325"/>
        <v>1</v>
      </c>
      <c r="K2081" t="str">
        <f t="shared" ca="1" si="321"/>
        <v>AG</v>
      </c>
      <c r="L2081" t="str">
        <f t="shared" ca="1" si="322"/>
        <v>imp</v>
      </c>
      <c r="M2081" t="str">
        <f t="shared" ca="1" si="319"/>
        <v>REC</v>
      </c>
      <c r="N2081">
        <f t="shared" ca="1" si="320"/>
        <v>6.2012701737302028E-2</v>
      </c>
    </row>
    <row r="2082" spans="6:14" x14ac:dyDescent="0.35">
      <c r="F2082">
        <f t="shared" si="326"/>
        <v>31</v>
      </c>
      <c r="G2082">
        <f t="shared" si="324"/>
        <v>1</v>
      </c>
      <c r="H2082">
        <f t="shared" si="325"/>
        <v>1</v>
      </c>
      <c r="K2082" t="str">
        <f t="shared" ca="1" si="321"/>
        <v>MIN</v>
      </c>
      <c r="L2082" t="str">
        <f t="shared" ca="1" si="322"/>
        <v>imp</v>
      </c>
      <c r="M2082" t="str">
        <f t="shared" ca="1" si="319"/>
        <v>REC</v>
      </c>
      <c r="N2082">
        <f t="shared" ca="1" si="320"/>
        <v>9.7833203455048673E-2</v>
      </c>
    </row>
    <row r="2083" spans="6:14" x14ac:dyDescent="0.35">
      <c r="F2083">
        <f t="shared" si="326"/>
        <v>31</v>
      </c>
      <c r="G2083">
        <f t="shared" si="324"/>
        <v>2</v>
      </c>
      <c r="H2083">
        <f t="shared" si="325"/>
        <v>1</v>
      </c>
      <c r="K2083" t="str">
        <f t="shared" ca="1" si="321"/>
        <v>FBT</v>
      </c>
      <c r="L2083" t="str">
        <f t="shared" ca="1" si="322"/>
        <v>imp</v>
      </c>
      <c r="M2083" t="str">
        <f t="shared" ca="1" si="319"/>
        <v>REC</v>
      </c>
      <c r="N2083">
        <f t="shared" ca="1" si="320"/>
        <v>2.4480868367413981E-2</v>
      </c>
    </row>
    <row r="2084" spans="6:14" x14ac:dyDescent="0.35">
      <c r="F2084">
        <f t="shared" si="326"/>
        <v>31</v>
      </c>
      <c r="G2084">
        <f t="shared" si="324"/>
        <v>3</v>
      </c>
      <c r="H2084">
        <f t="shared" si="325"/>
        <v>1</v>
      </c>
      <c r="K2084" t="str">
        <f t="shared" ca="1" si="321"/>
        <v>TEX</v>
      </c>
      <c r="L2084" t="str">
        <f t="shared" ca="1" si="322"/>
        <v>imp</v>
      </c>
      <c r="M2084" t="str">
        <f t="shared" ca="1" si="319"/>
        <v>REC</v>
      </c>
      <c r="N2084">
        <f t="shared" ca="1" si="320"/>
        <v>0.48041295058431466</v>
      </c>
    </row>
    <row r="2085" spans="6:14" x14ac:dyDescent="0.35">
      <c r="F2085">
        <f t="shared" ref="F2085:F2100" si="327">F2019+1</f>
        <v>31</v>
      </c>
      <c r="G2085">
        <f t="shared" si="324"/>
        <v>4</v>
      </c>
      <c r="H2085">
        <f t="shared" si="325"/>
        <v>1</v>
      </c>
      <c r="K2085" t="str">
        <f t="shared" ca="1" si="321"/>
        <v>LEATHER</v>
      </c>
      <c r="L2085" t="str">
        <f t="shared" ca="1" si="322"/>
        <v>imp</v>
      </c>
      <c r="M2085" t="str">
        <f t="shared" ca="1" si="319"/>
        <v>REC</v>
      </c>
      <c r="N2085">
        <f t="shared" ca="1" si="320"/>
        <v>0.25037656668923436</v>
      </c>
    </row>
    <row r="2086" spans="6:14" x14ac:dyDescent="0.35">
      <c r="F2086">
        <f t="shared" si="327"/>
        <v>31</v>
      </c>
      <c r="G2086">
        <f t="shared" si="324"/>
        <v>5</v>
      </c>
      <c r="H2086">
        <f t="shared" si="325"/>
        <v>1</v>
      </c>
      <c r="K2086" t="str">
        <f t="shared" ca="1" si="321"/>
        <v>WOOD</v>
      </c>
      <c r="L2086" t="str">
        <f t="shared" ca="1" si="322"/>
        <v>imp</v>
      </c>
      <c r="M2086" t="str">
        <f t="shared" ca="1" si="319"/>
        <v>REC</v>
      </c>
      <c r="N2086">
        <f t="shared" ca="1" si="320"/>
        <v>4.4815573324513318E-3</v>
      </c>
    </row>
    <row r="2087" spans="6:14" x14ac:dyDescent="0.35">
      <c r="F2087">
        <f t="shared" si="327"/>
        <v>31</v>
      </c>
      <c r="G2087">
        <f t="shared" si="324"/>
        <v>6</v>
      </c>
      <c r="H2087">
        <f t="shared" si="325"/>
        <v>1</v>
      </c>
      <c r="K2087" t="str">
        <f t="shared" ca="1" si="321"/>
        <v>PPP</v>
      </c>
      <c r="L2087" t="str">
        <f t="shared" ca="1" si="322"/>
        <v>imp</v>
      </c>
      <c r="M2087" t="str">
        <f t="shared" ca="1" si="319"/>
        <v>REC</v>
      </c>
      <c r="N2087">
        <f t="shared" ca="1" si="320"/>
        <v>6.4533973382602902E-2</v>
      </c>
    </row>
    <row r="2088" spans="6:14" x14ac:dyDescent="0.35">
      <c r="F2088">
        <f t="shared" si="327"/>
        <v>31</v>
      </c>
      <c r="G2088">
        <f t="shared" si="324"/>
        <v>7</v>
      </c>
      <c r="H2088">
        <f t="shared" si="325"/>
        <v>1</v>
      </c>
      <c r="K2088" t="str">
        <f t="shared" ca="1" si="321"/>
        <v>PC</v>
      </c>
      <c r="L2088" t="str">
        <f t="shared" ca="1" si="322"/>
        <v>imp</v>
      </c>
      <c r="M2088" t="str">
        <f t="shared" ca="1" si="319"/>
        <v>REC</v>
      </c>
      <c r="N2088">
        <f t="shared" ca="1" si="320"/>
        <v>1.6250413346492701E-2</v>
      </c>
    </row>
    <row r="2089" spans="6:14" x14ac:dyDescent="0.35">
      <c r="F2089">
        <f t="shared" si="327"/>
        <v>31</v>
      </c>
      <c r="G2089">
        <f t="shared" si="324"/>
        <v>8</v>
      </c>
      <c r="H2089">
        <f t="shared" si="325"/>
        <v>1</v>
      </c>
      <c r="K2089" t="str">
        <f t="shared" ca="1" si="321"/>
        <v>CHM</v>
      </c>
      <c r="L2089" t="str">
        <f t="shared" ca="1" si="322"/>
        <v>imp</v>
      </c>
      <c r="M2089" t="str">
        <f t="shared" ca="1" si="319"/>
        <v>REC</v>
      </c>
      <c r="N2089">
        <f t="shared" ca="1" si="320"/>
        <v>0.2227660335768443</v>
      </c>
    </row>
    <row r="2090" spans="6:14" x14ac:dyDescent="0.35">
      <c r="F2090">
        <f t="shared" si="327"/>
        <v>31</v>
      </c>
      <c r="G2090">
        <f t="shared" si="324"/>
        <v>9</v>
      </c>
      <c r="H2090">
        <f t="shared" si="325"/>
        <v>1</v>
      </c>
      <c r="K2090" t="str">
        <f t="shared" ca="1" si="321"/>
        <v>RUBBER</v>
      </c>
      <c r="L2090" t="str">
        <f t="shared" ca="1" si="322"/>
        <v>imp</v>
      </c>
      <c r="M2090" t="str">
        <f t="shared" ca="1" si="319"/>
        <v>REC</v>
      </c>
      <c r="N2090">
        <f t="shared" ca="1" si="320"/>
        <v>0.17060917303632286</v>
      </c>
    </row>
    <row r="2091" spans="6:14" x14ac:dyDescent="0.35">
      <c r="F2091">
        <f t="shared" si="327"/>
        <v>31</v>
      </c>
      <c r="G2091">
        <f t="shared" si="324"/>
        <v>10</v>
      </c>
      <c r="H2091">
        <f t="shared" si="325"/>
        <v>1</v>
      </c>
      <c r="K2091" t="str">
        <f t="shared" ca="1" si="321"/>
        <v>NMM</v>
      </c>
      <c r="L2091" t="str">
        <f t="shared" ca="1" si="322"/>
        <v>imp</v>
      </c>
      <c r="M2091" t="str">
        <f t="shared" ca="1" si="319"/>
        <v>REC</v>
      </c>
      <c r="N2091">
        <f t="shared" ca="1" si="320"/>
        <v>6.4402809121535079E-2</v>
      </c>
    </row>
    <row r="2092" spans="6:14" x14ac:dyDescent="0.35">
      <c r="F2092">
        <f t="shared" si="327"/>
        <v>31</v>
      </c>
      <c r="G2092">
        <f t="shared" si="324"/>
        <v>11</v>
      </c>
      <c r="H2092">
        <f t="shared" si="325"/>
        <v>1</v>
      </c>
      <c r="K2092" t="str">
        <f t="shared" ca="1" si="321"/>
        <v>METAL</v>
      </c>
      <c r="L2092" t="str">
        <f t="shared" ca="1" si="322"/>
        <v>imp</v>
      </c>
      <c r="M2092" t="str">
        <f t="shared" ca="1" si="319"/>
        <v>REC</v>
      </c>
      <c r="N2092">
        <f t="shared" ca="1" si="320"/>
        <v>0.80613883270084596</v>
      </c>
    </row>
    <row r="2093" spans="6:14" x14ac:dyDescent="0.35">
      <c r="F2093">
        <f t="shared" si="327"/>
        <v>31</v>
      </c>
      <c r="G2093">
        <f t="shared" si="324"/>
        <v>12</v>
      </c>
      <c r="H2093">
        <f t="shared" si="325"/>
        <v>1</v>
      </c>
      <c r="K2093" t="str">
        <f t="shared" ca="1" si="321"/>
        <v>MACH</v>
      </c>
      <c r="L2093" t="str">
        <f t="shared" ca="1" si="322"/>
        <v>imp</v>
      </c>
      <c r="M2093" t="str">
        <f t="shared" ca="1" si="319"/>
        <v>REC</v>
      </c>
      <c r="N2093">
        <f t="shared" ca="1" si="320"/>
        <v>3.0881339686140135</v>
      </c>
    </row>
    <row r="2094" spans="6:14" x14ac:dyDescent="0.35">
      <c r="F2094">
        <f t="shared" si="327"/>
        <v>31</v>
      </c>
      <c r="G2094">
        <f t="shared" si="324"/>
        <v>13</v>
      </c>
      <c r="H2094">
        <f t="shared" si="325"/>
        <v>1</v>
      </c>
      <c r="K2094" t="str">
        <f t="shared" ca="1" si="321"/>
        <v>ELEC</v>
      </c>
      <c r="L2094" t="str">
        <f t="shared" ca="1" si="322"/>
        <v>imp</v>
      </c>
      <c r="M2094" t="str">
        <f t="shared" ca="1" si="319"/>
        <v>REC</v>
      </c>
      <c r="N2094">
        <f t="shared" ca="1" si="320"/>
        <v>1.6557632334700971</v>
      </c>
    </row>
    <row r="2095" spans="6:14" x14ac:dyDescent="0.35">
      <c r="F2095">
        <f t="shared" si="327"/>
        <v>31</v>
      </c>
      <c r="G2095">
        <f t="shared" si="324"/>
        <v>14</v>
      </c>
      <c r="H2095">
        <f t="shared" si="325"/>
        <v>1</v>
      </c>
      <c r="K2095" t="str">
        <f t="shared" ca="1" si="321"/>
        <v>TRNEQUIP</v>
      </c>
      <c r="L2095" t="str">
        <f t="shared" ca="1" si="322"/>
        <v>imp</v>
      </c>
      <c r="M2095" t="str">
        <f t="shared" ca="1" si="319"/>
        <v>REC</v>
      </c>
      <c r="N2095">
        <f t="shared" ca="1" si="320"/>
        <v>2.6424118816842586</v>
      </c>
    </row>
    <row r="2096" spans="6:14" x14ac:dyDescent="0.35">
      <c r="F2096">
        <f t="shared" si="327"/>
        <v>31</v>
      </c>
      <c r="G2096">
        <f t="shared" si="324"/>
        <v>15</v>
      </c>
      <c r="H2096">
        <f t="shared" si="325"/>
        <v>1</v>
      </c>
      <c r="K2096" t="str">
        <f t="shared" ca="1" si="321"/>
        <v>ROMAN</v>
      </c>
      <c r="L2096" t="str">
        <f t="shared" ca="1" si="322"/>
        <v>imp</v>
      </c>
      <c r="M2096" t="str">
        <f t="shared" ca="1" si="319"/>
        <v>REC</v>
      </c>
      <c r="N2096">
        <f t="shared" ca="1" si="320"/>
        <v>1.002622680611144</v>
      </c>
    </row>
    <row r="2097" spans="6:14" x14ac:dyDescent="0.35">
      <c r="F2097">
        <f t="shared" si="327"/>
        <v>31</v>
      </c>
      <c r="G2097">
        <f t="shared" si="324"/>
        <v>16</v>
      </c>
      <c r="H2097">
        <f t="shared" si="325"/>
        <v>1</v>
      </c>
      <c r="K2097" t="str">
        <f t="shared" ca="1" si="321"/>
        <v>ELYGASWTR</v>
      </c>
      <c r="L2097" t="str">
        <f t="shared" ca="1" si="322"/>
        <v>imp</v>
      </c>
      <c r="M2097" t="str">
        <f t="shared" ca="1" si="319"/>
        <v>REC</v>
      </c>
      <c r="N2097">
        <f t="shared" ca="1" si="320"/>
        <v>6.7027541225809677E-9</v>
      </c>
    </row>
    <row r="2098" spans="6:14" x14ac:dyDescent="0.35">
      <c r="F2098">
        <f t="shared" si="327"/>
        <v>31</v>
      </c>
      <c r="G2098">
        <f t="shared" si="324"/>
        <v>17</v>
      </c>
      <c r="H2098">
        <f t="shared" si="325"/>
        <v>1</v>
      </c>
      <c r="K2098" t="str">
        <f t="shared" ca="1" si="321"/>
        <v>CNS</v>
      </c>
      <c r="L2098" t="str">
        <f t="shared" ca="1" si="322"/>
        <v>imp</v>
      </c>
      <c r="M2098" t="str">
        <f t="shared" ca="1" si="319"/>
        <v>REC</v>
      </c>
      <c r="N2098">
        <f t="shared" ca="1" si="320"/>
        <v>0.19626916803722302</v>
      </c>
    </row>
    <row r="2099" spans="6:14" x14ac:dyDescent="0.35">
      <c r="F2099">
        <f t="shared" si="327"/>
        <v>31</v>
      </c>
      <c r="G2099">
        <f t="shared" si="324"/>
        <v>18</v>
      </c>
      <c r="H2099">
        <f t="shared" si="325"/>
        <v>1</v>
      </c>
      <c r="K2099" t="str">
        <f t="shared" ca="1" si="321"/>
        <v>TRD</v>
      </c>
      <c r="L2099" t="str">
        <f t="shared" ca="1" si="322"/>
        <v>imp</v>
      </c>
      <c r="M2099" t="str">
        <f t="shared" ca="1" si="319"/>
        <v>REC</v>
      </c>
      <c r="N2099">
        <f t="shared" ca="1" si="320"/>
        <v>1.7172226224605593E-2</v>
      </c>
    </row>
    <row r="2100" spans="6:14" x14ac:dyDescent="0.35">
      <c r="F2100">
        <f t="shared" si="327"/>
        <v>31</v>
      </c>
      <c r="G2100">
        <f t="shared" si="324"/>
        <v>19</v>
      </c>
      <c r="H2100">
        <f t="shared" si="325"/>
        <v>1</v>
      </c>
      <c r="K2100" t="str">
        <f t="shared" ca="1" si="321"/>
        <v>AFS</v>
      </c>
      <c r="L2100" t="str">
        <f t="shared" ca="1" si="322"/>
        <v>imp</v>
      </c>
      <c r="M2100" t="str">
        <f t="shared" ca="1" si="319"/>
        <v>REC</v>
      </c>
      <c r="N2100">
        <f t="shared" ca="1" si="320"/>
        <v>6.7027541225809677E-9</v>
      </c>
    </row>
    <row r="2101" spans="6:14" x14ac:dyDescent="0.35">
      <c r="F2101">
        <f t="shared" ref="F2101:F2116" si="328">F2035+1</f>
        <v>31</v>
      </c>
      <c r="G2101">
        <f t="shared" si="324"/>
        <v>20</v>
      </c>
      <c r="H2101">
        <f t="shared" si="325"/>
        <v>1</v>
      </c>
      <c r="K2101" t="str">
        <f t="shared" ca="1" si="321"/>
        <v>OTP</v>
      </c>
      <c r="L2101" t="str">
        <f t="shared" ca="1" si="322"/>
        <v>imp</v>
      </c>
      <c r="M2101" t="str">
        <f t="shared" ca="1" si="319"/>
        <v>REC</v>
      </c>
      <c r="N2101">
        <f t="shared" ca="1" si="320"/>
        <v>6.7027541225809677E-9</v>
      </c>
    </row>
    <row r="2102" spans="6:14" x14ac:dyDescent="0.35">
      <c r="F2102">
        <f t="shared" si="328"/>
        <v>31</v>
      </c>
      <c r="G2102">
        <f t="shared" si="324"/>
        <v>21</v>
      </c>
      <c r="H2102">
        <f t="shared" si="325"/>
        <v>1</v>
      </c>
      <c r="K2102" t="str">
        <f t="shared" ca="1" si="321"/>
        <v>WTP</v>
      </c>
      <c r="L2102" t="str">
        <f t="shared" ca="1" si="322"/>
        <v>imp</v>
      </c>
      <c r="M2102" t="str">
        <f t="shared" ca="1" si="319"/>
        <v>REC</v>
      </c>
      <c r="N2102">
        <f t="shared" ca="1" si="320"/>
        <v>6.7027541225809677E-9</v>
      </c>
    </row>
    <row r="2103" spans="6:14" x14ac:dyDescent="0.35">
      <c r="F2103">
        <f t="shared" si="328"/>
        <v>31</v>
      </c>
      <c r="G2103">
        <f t="shared" si="324"/>
        <v>22</v>
      </c>
      <c r="H2103">
        <f t="shared" si="325"/>
        <v>1</v>
      </c>
      <c r="K2103" t="str">
        <f t="shared" ca="1" si="321"/>
        <v>ATP</v>
      </c>
      <c r="L2103" t="str">
        <f t="shared" ca="1" si="322"/>
        <v>imp</v>
      </c>
      <c r="M2103" t="str">
        <f t="shared" ca="1" si="319"/>
        <v>REC</v>
      </c>
      <c r="N2103">
        <f t="shared" ca="1" si="320"/>
        <v>6.7027541225809677E-9</v>
      </c>
    </row>
    <row r="2104" spans="6:14" x14ac:dyDescent="0.35">
      <c r="F2104">
        <f t="shared" si="328"/>
        <v>31</v>
      </c>
      <c r="G2104">
        <f t="shared" si="324"/>
        <v>23</v>
      </c>
      <c r="H2104">
        <f t="shared" si="325"/>
        <v>1</v>
      </c>
      <c r="K2104" t="str">
        <f t="shared" ca="1" si="321"/>
        <v>WHS</v>
      </c>
      <c r="L2104" t="str">
        <f t="shared" ca="1" si="322"/>
        <v>imp</v>
      </c>
      <c r="M2104" t="str">
        <f t="shared" ca="1" si="319"/>
        <v>REC</v>
      </c>
      <c r="N2104">
        <f t="shared" ca="1" si="320"/>
        <v>6.7027541225809677E-9</v>
      </c>
    </row>
    <row r="2105" spans="6:14" x14ac:dyDescent="0.35">
      <c r="F2105">
        <f t="shared" si="328"/>
        <v>31</v>
      </c>
      <c r="G2105">
        <f t="shared" si="324"/>
        <v>24</v>
      </c>
      <c r="H2105">
        <f t="shared" si="325"/>
        <v>1</v>
      </c>
      <c r="K2105" t="str">
        <f t="shared" ca="1" si="321"/>
        <v>CMN</v>
      </c>
      <c r="L2105" t="str">
        <f t="shared" ca="1" si="322"/>
        <v>imp</v>
      </c>
      <c r="M2105" t="str">
        <f t="shared" ca="1" si="319"/>
        <v>REC</v>
      </c>
      <c r="N2105">
        <f t="shared" ca="1" si="320"/>
        <v>6.7027541225809677E-9</v>
      </c>
    </row>
    <row r="2106" spans="6:14" x14ac:dyDescent="0.35">
      <c r="F2106">
        <f t="shared" si="328"/>
        <v>31</v>
      </c>
      <c r="G2106">
        <f t="shared" si="324"/>
        <v>25</v>
      </c>
      <c r="H2106">
        <f t="shared" si="325"/>
        <v>1</v>
      </c>
      <c r="K2106" t="str">
        <f t="shared" ca="1" si="321"/>
        <v>OFI</v>
      </c>
      <c r="L2106" t="str">
        <f t="shared" ca="1" si="322"/>
        <v>imp</v>
      </c>
      <c r="M2106" t="str">
        <f t="shared" ca="1" si="319"/>
        <v>REC</v>
      </c>
      <c r="N2106">
        <f t="shared" ca="1" si="320"/>
        <v>6.7027541225809677E-9</v>
      </c>
    </row>
    <row r="2107" spans="6:14" x14ac:dyDescent="0.35">
      <c r="F2107">
        <f t="shared" si="328"/>
        <v>31</v>
      </c>
      <c r="G2107">
        <f t="shared" si="324"/>
        <v>26</v>
      </c>
      <c r="H2107">
        <f t="shared" si="325"/>
        <v>1</v>
      </c>
      <c r="K2107" t="str">
        <f t="shared" ca="1" si="321"/>
        <v>RSA</v>
      </c>
      <c r="L2107" t="str">
        <f t="shared" ca="1" si="322"/>
        <v>imp</v>
      </c>
      <c r="M2107" t="str">
        <f t="shared" ca="1" si="319"/>
        <v>REC</v>
      </c>
      <c r="N2107">
        <f t="shared" ca="1" si="320"/>
        <v>6.7027541225809677E-9</v>
      </c>
    </row>
    <row r="2108" spans="6:14" x14ac:dyDescent="0.35">
      <c r="F2108">
        <f t="shared" si="328"/>
        <v>31</v>
      </c>
      <c r="G2108">
        <f t="shared" si="324"/>
        <v>27</v>
      </c>
      <c r="H2108">
        <f t="shared" si="325"/>
        <v>1</v>
      </c>
      <c r="K2108" t="str">
        <f t="shared" ca="1" si="321"/>
        <v>OBS</v>
      </c>
      <c r="L2108" t="str">
        <f t="shared" ca="1" si="322"/>
        <v>imp</v>
      </c>
      <c r="M2108" t="str">
        <f t="shared" ca="1" si="319"/>
        <v>REC</v>
      </c>
      <c r="N2108">
        <f t="shared" ca="1" si="320"/>
        <v>6.7027541225809677E-9</v>
      </c>
    </row>
    <row r="2109" spans="6:14" x14ac:dyDescent="0.35">
      <c r="F2109">
        <f t="shared" si="328"/>
        <v>31</v>
      </c>
      <c r="G2109">
        <f t="shared" si="324"/>
        <v>28</v>
      </c>
      <c r="H2109">
        <f t="shared" si="325"/>
        <v>1</v>
      </c>
      <c r="K2109" t="str">
        <f t="shared" ca="1" si="321"/>
        <v>GOV</v>
      </c>
      <c r="L2109" t="str">
        <f t="shared" ca="1" si="322"/>
        <v>imp</v>
      </c>
      <c r="M2109" t="str">
        <f t="shared" ca="1" si="319"/>
        <v>REC</v>
      </c>
      <c r="N2109">
        <f t="shared" ca="1" si="320"/>
        <v>6.7027541225809677E-9</v>
      </c>
    </row>
    <row r="2110" spans="6:14" x14ac:dyDescent="0.35">
      <c r="F2110">
        <f t="shared" si="328"/>
        <v>31</v>
      </c>
      <c r="G2110">
        <f t="shared" si="324"/>
        <v>29</v>
      </c>
      <c r="H2110">
        <f t="shared" si="325"/>
        <v>1</v>
      </c>
      <c r="K2110" t="str">
        <f t="shared" ca="1" si="321"/>
        <v>EDU</v>
      </c>
      <c r="L2110" t="str">
        <f t="shared" ca="1" si="322"/>
        <v>imp</v>
      </c>
      <c r="M2110" t="str">
        <f t="shared" ca="1" si="319"/>
        <v>REC</v>
      </c>
      <c r="N2110">
        <f t="shared" ca="1" si="320"/>
        <v>6.7027541225809677E-9</v>
      </c>
    </row>
    <row r="2111" spans="6:14" x14ac:dyDescent="0.35">
      <c r="F2111">
        <f t="shared" si="328"/>
        <v>31</v>
      </c>
      <c r="G2111">
        <f t="shared" si="324"/>
        <v>30</v>
      </c>
      <c r="H2111">
        <f t="shared" si="325"/>
        <v>1</v>
      </c>
      <c r="K2111" t="str">
        <f t="shared" ca="1" si="321"/>
        <v>HHT</v>
      </c>
      <c r="L2111" t="str">
        <f t="shared" ca="1" si="322"/>
        <v>imp</v>
      </c>
      <c r="M2111" t="str">
        <f t="shared" ca="1" si="319"/>
        <v>REC</v>
      </c>
      <c r="N2111">
        <f t="shared" ca="1" si="320"/>
        <v>6.7027541225809677E-9</v>
      </c>
    </row>
    <row r="2112" spans="6:14" x14ac:dyDescent="0.35">
      <c r="F2112">
        <f t="shared" si="328"/>
        <v>31</v>
      </c>
      <c r="G2112">
        <f t="shared" si="324"/>
        <v>31</v>
      </c>
      <c r="H2112">
        <f t="shared" si="325"/>
        <v>1</v>
      </c>
      <c r="K2112" t="str">
        <f t="shared" ca="1" si="321"/>
        <v>REC</v>
      </c>
      <c r="L2112" t="str">
        <f t="shared" ca="1" si="322"/>
        <v>imp</v>
      </c>
      <c r="M2112" t="str">
        <f t="shared" ca="1" si="319"/>
        <v>REC</v>
      </c>
      <c r="N2112">
        <f t="shared" ca="1" si="320"/>
        <v>6.7027541225809677E-9</v>
      </c>
    </row>
    <row r="2113" spans="6:14" x14ac:dyDescent="0.35">
      <c r="F2113">
        <f t="shared" si="328"/>
        <v>31</v>
      </c>
      <c r="G2113">
        <f t="shared" si="324"/>
        <v>32</v>
      </c>
      <c r="H2113">
        <f t="shared" si="325"/>
        <v>1</v>
      </c>
      <c r="K2113" t="str">
        <f t="shared" ca="1" si="321"/>
        <v>DWE</v>
      </c>
      <c r="L2113" t="str">
        <f t="shared" ca="1" si="322"/>
        <v>imp</v>
      </c>
      <c r="M2113" t="str">
        <f t="shared" ca="1" si="319"/>
        <v>REC</v>
      </c>
      <c r="N2113">
        <f t="shared" ca="1" si="320"/>
        <v>6.7027541225809677E-9</v>
      </c>
    </row>
    <row r="2114" spans="6:14" x14ac:dyDescent="0.35">
      <c r="F2114">
        <f t="shared" si="328"/>
        <v>32</v>
      </c>
      <c r="G2114">
        <f t="shared" si="324"/>
        <v>0</v>
      </c>
      <c r="H2114">
        <f t="shared" si="325"/>
        <v>0</v>
      </c>
      <c r="K2114" t="str">
        <f t="shared" ca="1" si="321"/>
        <v>AG</v>
      </c>
      <c r="L2114" t="str">
        <f t="shared" ca="1" si="322"/>
        <v>dom</v>
      </c>
      <c r="M2114" t="str">
        <f t="shared" ref="M2114:M2179" ca="1" si="329">OFFSET(A$2,F2114,0)</f>
        <v>DWE</v>
      </c>
      <c r="N2114">
        <f t="shared" ref="N2114:N2177" ca="1" si="330">SUMIFS(C:C,A:A,K2114,B:B,L2114)*SUMIFS(U:U,S:S,M2114)</f>
        <v>3.7848785672546222E-5</v>
      </c>
    </row>
    <row r="2115" spans="6:14" x14ac:dyDescent="0.35">
      <c r="F2115">
        <f t="shared" si="328"/>
        <v>32</v>
      </c>
      <c r="G2115">
        <f t="shared" si="324"/>
        <v>1</v>
      </c>
      <c r="H2115">
        <f t="shared" si="325"/>
        <v>0</v>
      </c>
      <c r="K2115" t="str">
        <f t="shared" ref="K2115:K2178" ca="1" si="331">OFFSET(A$2,G2115,0)</f>
        <v>MIN</v>
      </c>
      <c r="L2115" t="str">
        <f t="shared" ref="L2115:L2178" ca="1" si="332">OFFSET($V$3,H2115,0)</f>
        <v>dom</v>
      </c>
      <c r="M2115" t="str">
        <f t="shared" ca="1" si="329"/>
        <v>DWE</v>
      </c>
      <c r="N2115">
        <f t="shared" ca="1" si="330"/>
        <v>6.6024070344441755E-5</v>
      </c>
    </row>
    <row r="2116" spans="6:14" x14ac:dyDescent="0.35">
      <c r="F2116">
        <f t="shared" si="328"/>
        <v>32</v>
      </c>
      <c r="G2116">
        <f t="shared" si="324"/>
        <v>2</v>
      </c>
      <c r="H2116">
        <f t="shared" si="325"/>
        <v>0</v>
      </c>
      <c r="K2116" t="str">
        <f t="shared" ca="1" si="331"/>
        <v>FBT</v>
      </c>
      <c r="L2116" t="str">
        <f t="shared" ca="1" si="332"/>
        <v>dom</v>
      </c>
      <c r="M2116" t="str">
        <f t="shared" ca="1" si="329"/>
        <v>DWE</v>
      </c>
      <c r="N2116">
        <f t="shared" ca="1" si="330"/>
        <v>1.1117059429171761E-4</v>
      </c>
    </row>
    <row r="2117" spans="6:14" x14ac:dyDescent="0.35">
      <c r="F2117">
        <f t="shared" ref="F2117:F2132" si="333">F2051+1</f>
        <v>32</v>
      </c>
      <c r="G2117">
        <f t="shared" ref="G2117:G2179" si="334">G2084</f>
        <v>3</v>
      </c>
      <c r="H2117">
        <f t="shared" ref="H2117:H2179" si="335">H2051</f>
        <v>0</v>
      </c>
      <c r="K2117" t="str">
        <f t="shared" ca="1" si="331"/>
        <v>TEX</v>
      </c>
      <c r="L2117" t="str">
        <f t="shared" ca="1" si="332"/>
        <v>dom</v>
      </c>
      <c r="M2117" t="str">
        <f t="shared" ca="1" si="329"/>
        <v>DWE</v>
      </c>
      <c r="N2117">
        <f t="shared" ca="1" si="330"/>
        <v>5.7907128706479534E-4</v>
      </c>
    </row>
    <row r="2118" spans="6:14" x14ac:dyDescent="0.35">
      <c r="F2118">
        <f t="shared" si="333"/>
        <v>32</v>
      </c>
      <c r="G2118">
        <f t="shared" si="334"/>
        <v>4</v>
      </c>
      <c r="H2118">
        <f t="shared" si="335"/>
        <v>0</v>
      </c>
      <c r="K2118" t="str">
        <f t="shared" ca="1" si="331"/>
        <v>LEATHER</v>
      </c>
      <c r="L2118" t="str">
        <f t="shared" ca="1" si="332"/>
        <v>dom</v>
      </c>
      <c r="M2118" t="str">
        <f t="shared" ca="1" si="329"/>
        <v>DWE</v>
      </c>
      <c r="N2118">
        <f t="shared" ca="1" si="330"/>
        <v>4.1089845440753874E-6</v>
      </c>
    </row>
    <row r="2119" spans="6:14" x14ac:dyDescent="0.35">
      <c r="F2119">
        <f t="shared" si="333"/>
        <v>32</v>
      </c>
      <c r="G2119">
        <f t="shared" si="334"/>
        <v>5</v>
      </c>
      <c r="H2119">
        <f t="shared" si="335"/>
        <v>0</v>
      </c>
      <c r="K2119" t="str">
        <f t="shared" ca="1" si="331"/>
        <v>WOOD</v>
      </c>
      <c r="L2119" t="str">
        <f t="shared" ca="1" si="332"/>
        <v>dom</v>
      </c>
      <c r="M2119" t="str">
        <f t="shared" ca="1" si="329"/>
        <v>DWE</v>
      </c>
      <c r="N2119">
        <f t="shared" ca="1" si="330"/>
        <v>2.5294572114662206E-5</v>
      </c>
    </row>
    <row r="2120" spans="6:14" x14ac:dyDescent="0.35">
      <c r="F2120">
        <f t="shared" si="333"/>
        <v>32</v>
      </c>
      <c r="G2120">
        <f t="shared" si="334"/>
        <v>6</v>
      </c>
      <c r="H2120">
        <f t="shared" si="335"/>
        <v>0</v>
      </c>
      <c r="K2120" t="str">
        <f t="shared" ca="1" si="331"/>
        <v>PPP</v>
      </c>
      <c r="L2120" t="str">
        <f t="shared" ca="1" si="332"/>
        <v>dom</v>
      </c>
      <c r="M2120" t="str">
        <f t="shared" ca="1" si="329"/>
        <v>DWE</v>
      </c>
      <c r="N2120">
        <f t="shared" ca="1" si="330"/>
        <v>5.0628552557400455E-4</v>
      </c>
    </row>
    <row r="2121" spans="6:14" x14ac:dyDescent="0.35">
      <c r="F2121">
        <f t="shared" si="333"/>
        <v>32</v>
      </c>
      <c r="G2121">
        <f t="shared" si="334"/>
        <v>7</v>
      </c>
      <c r="H2121">
        <f t="shared" si="335"/>
        <v>0</v>
      </c>
      <c r="K2121" t="str">
        <f t="shared" ca="1" si="331"/>
        <v>PC</v>
      </c>
      <c r="L2121" t="str">
        <f t="shared" ca="1" si="332"/>
        <v>dom</v>
      </c>
      <c r="M2121" t="str">
        <f t="shared" ca="1" si="329"/>
        <v>DWE</v>
      </c>
      <c r="N2121">
        <f t="shared" ca="1" si="330"/>
        <v>7.7148162929756262E-5</v>
      </c>
    </row>
    <row r="2122" spans="6:14" x14ac:dyDescent="0.35">
      <c r="F2122">
        <f t="shared" si="333"/>
        <v>32</v>
      </c>
      <c r="G2122">
        <f t="shared" si="334"/>
        <v>8</v>
      </c>
      <c r="H2122">
        <f t="shared" si="335"/>
        <v>0</v>
      </c>
      <c r="K2122" t="str">
        <f t="shared" ca="1" si="331"/>
        <v>CHM</v>
      </c>
      <c r="L2122" t="str">
        <f t="shared" ca="1" si="332"/>
        <v>dom</v>
      </c>
      <c r="M2122" t="str">
        <f t="shared" ca="1" si="329"/>
        <v>DWE</v>
      </c>
      <c r="N2122">
        <f t="shared" ca="1" si="330"/>
        <v>4.8041708754277659E-4</v>
      </c>
    </row>
    <row r="2123" spans="6:14" x14ac:dyDescent="0.35">
      <c r="F2123">
        <f t="shared" si="333"/>
        <v>32</v>
      </c>
      <c r="G2123">
        <f t="shared" si="334"/>
        <v>9</v>
      </c>
      <c r="H2123">
        <f t="shared" si="335"/>
        <v>0</v>
      </c>
      <c r="K2123" t="str">
        <f t="shared" ca="1" si="331"/>
        <v>RUBBER</v>
      </c>
      <c r="L2123" t="str">
        <f t="shared" ca="1" si="332"/>
        <v>dom</v>
      </c>
      <c r="M2123" t="str">
        <f t="shared" ca="1" si="329"/>
        <v>DWE</v>
      </c>
      <c r="N2123">
        <f t="shared" ca="1" si="330"/>
        <v>7.5204659309218119E-4</v>
      </c>
    </row>
    <row r="2124" spans="6:14" x14ac:dyDescent="0.35">
      <c r="F2124">
        <f t="shared" si="333"/>
        <v>32</v>
      </c>
      <c r="G2124">
        <f t="shared" si="334"/>
        <v>10</v>
      </c>
      <c r="H2124">
        <f t="shared" si="335"/>
        <v>0</v>
      </c>
      <c r="K2124" t="str">
        <f t="shared" ca="1" si="331"/>
        <v>NMM</v>
      </c>
      <c r="L2124" t="str">
        <f t="shared" ca="1" si="332"/>
        <v>dom</v>
      </c>
      <c r="M2124" t="str">
        <f t="shared" ca="1" si="329"/>
        <v>DWE</v>
      </c>
      <c r="N2124">
        <f t="shared" ca="1" si="330"/>
        <v>6.9667769510996388E-4</v>
      </c>
    </row>
    <row r="2125" spans="6:14" x14ac:dyDescent="0.35">
      <c r="F2125">
        <f t="shared" si="333"/>
        <v>32</v>
      </c>
      <c r="G2125">
        <f t="shared" si="334"/>
        <v>11</v>
      </c>
      <c r="H2125">
        <f t="shared" si="335"/>
        <v>0</v>
      </c>
      <c r="K2125" t="str">
        <f t="shared" ca="1" si="331"/>
        <v>METAL</v>
      </c>
      <c r="L2125" t="str">
        <f t="shared" ca="1" si="332"/>
        <v>dom</v>
      </c>
      <c r="M2125" t="str">
        <f t="shared" ca="1" si="329"/>
        <v>DWE</v>
      </c>
      <c r="N2125">
        <f t="shared" ca="1" si="330"/>
        <v>2.0376617014043049E-3</v>
      </c>
    </row>
    <row r="2126" spans="6:14" x14ac:dyDescent="0.35">
      <c r="F2126">
        <f t="shared" si="333"/>
        <v>32</v>
      </c>
      <c r="G2126">
        <f t="shared" si="334"/>
        <v>12</v>
      </c>
      <c r="H2126">
        <f t="shared" si="335"/>
        <v>0</v>
      </c>
      <c r="K2126" t="str">
        <f t="shared" ca="1" si="331"/>
        <v>MACH</v>
      </c>
      <c r="L2126" t="str">
        <f t="shared" ca="1" si="332"/>
        <v>dom</v>
      </c>
      <c r="M2126" t="str">
        <f t="shared" ca="1" si="329"/>
        <v>DWE</v>
      </c>
      <c r="N2126">
        <f t="shared" ca="1" si="330"/>
        <v>2.9493546759128369E-3</v>
      </c>
    </row>
    <row r="2127" spans="6:14" x14ac:dyDescent="0.35">
      <c r="F2127">
        <f t="shared" si="333"/>
        <v>32</v>
      </c>
      <c r="G2127">
        <f t="shared" si="334"/>
        <v>13</v>
      </c>
      <c r="H2127">
        <f t="shared" si="335"/>
        <v>0</v>
      </c>
      <c r="K2127" t="str">
        <f t="shared" ca="1" si="331"/>
        <v>ELEC</v>
      </c>
      <c r="L2127" t="str">
        <f t="shared" ca="1" si="332"/>
        <v>dom</v>
      </c>
      <c r="M2127" t="str">
        <f t="shared" ca="1" si="329"/>
        <v>DWE</v>
      </c>
      <c r="N2127">
        <f t="shared" ca="1" si="330"/>
        <v>6.1352980860562747E-4</v>
      </c>
    </row>
    <row r="2128" spans="6:14" x14ac:dyDescent="0.35">
      <c r="F2128">
        <f t="shared" si="333"/>
        <v>32</v>
      </c>
      <c r="G2128">
        <f t="shared" si="334"/>
        <v>14</v>
      </c>
      <c r="H2128">
        <f t="shared" si="335"/>
        <v>0</v>
      </c>
      <c r="K2128" t="str">
        <f t="shared" ca="1" si="331"/>
        <v>TRNEQUIP</v>
      </c>
      <c r="L2128" t="str">
        <f t="shared" ca="1" si="332"/>
        <v>dom</v>
      </c>
      <c r="M2128" t="str">
        <f t="shared" ca="1" si="329"/>
        <v>DWE</v>
      </c>
      <c r="N2128">
        <f t="shared" ca="1" si="330"/>
        <v>8.8624866972523021E-4</v>
      </c>
    </row>
    <row r="2129" spans="6:14" x14ac:dyDescent="0.35">
      <c r="F2129">
        <f t="shared" si="333"/>
        <v>32</v>
      </c>
      <c r="G2129">
        <f t="shared" si="334"/>
        <v>15</v>
      </c>
      <c r="H2129">
        <f t="shared" si="335"/>
        <v>0</v>
      </c>
      <c r="K2129" t="str">
        <f t="shared" ca="1" si="331"/>
        <v>ROMAN</v>
      </c>
      <c r="L2129" t="str">
        <f t="shared" ca="1" si="332"/>
        <v>dom</v>
      </c>
      <c r="M2129" t="str">
        <f t="shared" ca="1" si="329"/>
        <v>DWE</v>
      </c>
      <c r="N2129">
        <f t="shared" ca="1" si="330"/>
        <v>2.4131975836708432E-3</v>
      </c>
    </row>
    <row r="2130" spans="6:14" x14ac:dyDescent="0.35">
      <c r="F2130">
        <f t="shared" si="333"/>
        <v>32</v>
      </c>
      <c r="G2130">
        <f t="shared" si="334"/>
        <v>16</v>
      </c>
      <c r="H2130">
        <f t="shared" si="335"/>
        <v>0</v>
      </c>
      <c r="K2130" t="str">
        <f t="shared" ca="1" si="331"/>
        <v>ELYGASWTR</v>
      </c>
      <c r="L2130" t="str">
        <f t="shared" ca="1" si="332"/>
        <v>dom</v>
      </c>
      <c r="M2130" t="str">
        <f t="shared" ca="1" si="329"/>
        <v>DWE</v>
      </c>
      <c r="N2130">
        <f t="shared" ca="1" si="330"/>
        <v>5.5067568721405837E-11</v>
      </c>
    </row>
    <row r="2131" spans="6:14" x14ac:dyDescent="0.35">
      <c r="F2131">
        <f t="shared" si="333"/>
        <v>32</v>
      </c>
      <c r="G2131">
        <f t="shared" si="334"/>
        <v>17</v>
      </c>
      <c r="H2131">
        <f t="shared" si="335"/>
        <v>0</v>
      </c>
      <c r="K2131" t="str">
        <f t="shared" ca="1" si="331"/>
        <v>CNS</v>
      </c>
      <c r="L2131" t="str">
        <f t="shared" ca="1" si="332"/>
        <v>dom</v>
      </c>
      <c r="M2131" t="str">
        <f t="shared" ca="1" si="329"/>
        <v>DWE</v>
      </c>
      <c r="N2131">
        <f t="shared" ca="1" si="330"/>
        <v>8.0162658491555475E-2</v>
      </c>
    </row>
    <row r="2132" spans="6:14" x14ac:dyDescent="0.35">
      <c r="F2132">
        <f t="shared" si="333"/>
        <v>32</v>
      </c>
      <c r="G2132">
        <f t="shared" si="334"/>
        <v>18</v>
      </c>
      <c r="H2132">
        <f t="shared" si="335"/>
        <v>0</v>
      </c>
      <c r="K2132" t="str">
        <f t="shared" ca="1" si="331"/>
        <v>TRD</v>
      </c>
      <c r="L2132" t="str">
        <f t="shared" ca="1" si="332"/>
        <v>dom</v>
      </c>
      <c r="M2132" t="str">
        <f t="shared" ca="1" si="329"/>
        <v>DWE</v>
      </c>
      <c r="N2132">
        <f t="shared" ca="1" si="330"/>
        <v>1.281747464366342E-2</v>
      </c>
    </row>
    <row r="2133" spans="6:14" x14ac:dyDescent="0.35">
      <c r="F2133">
        <f t="shared" ref="F2133:F2148" si="336">F2067+1</f>
        <v>32</v>
      </c>
      <c r="G2133">
        <f t="shared" si="334"/>
        <v>19</v>
      </c>
      <c r="H2133">
        <f t="shared" si="335"/>
        <v>0</v>
      </c>
      <c r="K2133" t="str">
        <f t="shared" ca="1" si="331"/>
        <v>AFS</v>
      </c>
      <c r="L2133" t="str">
        <f t="shared" ca="1" si="332"/>
        <v>dom</v>
      </c>
      <c r="M2133" t="str">
        <f t="shared" ca="1" si="329"/>
        <v>DWE</v>
      </c>
      <c r="N2133">
        <f t="shared" ca="1" si="330"/>
        <v>5.5067568721405837E-11</v>
      </c>
    </row>
    <row r="2134" spans="6:14" x14ac:dyDescent="0.35">
      <c r="F2134">
        <f t="shared" si="336"/>
        <v>32</v>
      </c>
      <c r="G2134">
        <f t="shared" si="334"/>
        <v>20</v>
      </c>
      <c r="H2134">
        <f t="shared" si="335"/>
        <v>0</v>
      </c>
      <c r="K2134" t="str">
        <f t="shared" ca="1" si="331"/>
        <v>OTP</v>
      </c>
      <c r="L2134" t="str">
        <f t="shared" ca="1" si="332"/>
        <v>dom</v>
      </c>
      <c r="M2134" t="str">
        <f t="shared" ca="1" si="329"/>
        <v>DWE</v>
      </c>
      <c r="N2134">
        <f t="shared" ca="1" si="330"/>
        <v>5.5067568721405837E-11</v>
      </c>
    </row>
    <row r="2135" spans="6:14" x14ac:dyDescent="0.35">
      <c r="F2135">
        <f t="shared" si="336"/>
        <v>32</v>
      </c>
      <c r="G2135">
        <f t="shared" si="334"/>
        <v>21</v>
      </c>
      <c r="H2135">
        <f t="shared" si="335"/>
        <v>0</v>
      </c>
      <c r="K2135" t="str">
        <f t="shared" ca="1" si="331"/>
        <v>WTP</v>
      </c>
      <c r="L2135" t="str">
        <f t="shared" ca="1" si="332"/>
        <v>dom</v>
      </c>
      <c r="M2135" t="str">
        <f t="shared" ca="1" si="329"/>
        <v>DWE</v>
      </c>
      <c r="N2135">
        <f t="shared" ca="1" si="330"/>
        <v>5.5067568721405837E-11</v>
      </c>
    </row>
    <row r="2136" spans="6:14" x14ac:dyDescent="0.35">
      <c r="F2136">
        <f t="shared" si="336"/>
        <v>32</v>
      </c>
      <c r="G2136">
        <f t="shared" si="334"/>
        <v>22</v>
      </c>
      <c r="H2136">
        <f t="shared" si="335"/>
        <v>0</v>
      </c>
      <c r="K2136" t="str">
        <f t="shared" ca="1" si="331"/>
        <v>ATP</v>
      </c>
      <c r="L2136" t="str">
        <f t="shared" ca="1" si="332"/>
        <v>dom</v>
      </c>
      <c r="M2136" t="str">
        <f t="shared" ca="1" si="329"/>
        <v>DWE</v>
      </c>
      <c r="N2136">
        <f t="shared" ca="1" si="330"/>
        <v>5.5067568721405837E-11</v>
      </c>
    </row>
    <row r="2137" spans="6:14" x14ac:dyDescent="0.35">
      <c r="F2137">
        <f t="shared" si="336"/>
        <v>32</v>
      </c>
      <c r="G2137">
        <f t="shared" si="334"/>
        <v>23</v>
      </c>
      <c r="H2137">
        <f t="shared" si="335"/>
        <v>0</v>
      </c>
      <c r="K2137" t="str">
        <f t="shared" ca="1" si="331"/>
        <v>WHS</v>
      </c>
      <c r="L2137" t="str">
        <f t="shared" ca="1" si="332"/>
        <v>dom</v>
      </c>
      <c r="M2137" t="str">
        <f t="shared" ca="1" si="329"/>
        <v>DWE</v>
      </c>
      <c r="N2137">
        <f t="shared" ca="1" si="330"/>
        <v>5.5067568721405837E-11</v>
      </c>
    </row>
    <row r="2138" spans="6:14" x14ac:dyDescent="0.35">
      <c r="F2138">
        <f t="shared" si="336"/>
        <v>32</v>
      </c>
      <c r="G2138">
        <f t="shared" si="334"/>
        <v>24</v>
      </c>
      <c r="H2138">
        <f t="shared" si="335"/>
        <v>0</v>
      </c>
      <c r="K2138" t="str">
        <f t="shared" ca="1" si="331"/>
        <v>CMN</v>
      </c>
      <c r="L2138" t="str">
        <f t="shared" ca="1" si="332"/>
        <v>dom</v>
      </c>
      <c r="M2138" t="str">
        <f t="shared" ca="1" si="329"/>
        <v>DWE</v>
      </c>
      <c r="N2138">
        <f t="shared" ca="1" si="330"/>
        <v>5.5067568721405837E-11</v>
      </c>
    </row>
    <row r="2139" spans="6:14" x14ac:dyDescent="0.35">
      <c r="F2139">
        <f t="shared" si="336"/>
        <v>32</v>
      </c>
      <c r="G2139">
        <f t="shared" si="334"/>
        <v>25</v>
      </c>
      <c r="H2139">
        <f t="shared" si="335"/>
        <v>0</v>
      </c>
      <c r="K2139" t="str">
        <f t="shared" ca="1" si="331"/>
        <v>OFI</v>
      </c>
      <c r="L2139" t="str">
        <f t="shared" ca="1" si="332"/>
        <v>dom</v>
      </c>
      <c r="M2139" t="str">
        <f t="shared" ca="1" si="329"/>
        <v>DWE</v>
      </c>
      <c r="N2139">
        <f t="shared" ca="1" si="330"/>
        <v>5.5067568721405837E-11</v>
      </c>
    </row>
    <row r="2140" spans="6:14" x14ac:dyDescent="0.35">
      <c r="F2140">
        <f t="shared" si="336"/>
        <v>32</v>
      </c>
      <c r="G2140">
        <f t="shared" si="334"/>
        <v>26</v>
      </c>
      <c r="H2140">
        <f t="shared" si="335"/>
        <v>0</v>
      </c>
      <c r="K2140" t="str">
        <f t="shared" ca="1" si="331"/>
        <v>RSA</v>
      </c>
      <c r="L2140" t="str">
        <f t="shared" ca="1" si="332"/>
        <v>dom</v>
      </c>
      <c r="M2140" t="str">
        <f t="shared" ca="1" si="329"/>
        <v>DWE</v>
      </c>
      <c r="N2140">
        <f t="shared" ca="1" si="330"/>
        <v>5.5067568721405837E-11</v>
      </c>
    </row>
    <row r="2141" spans="6:14" x14ac:dyDescent="0.35">
      <c r="F2141">
        <f t="shared" si="336"/>
        <v>32</v>
      </c>
      <c r="G2141">
        <f t="shared" si="334"/>
        <v>27</v>
      </c>
      <c r="H2141">
        <f t="shared" si="335"/>
        <v>0</v>
      </c>
      <c r="K2141" t="str">
        <f t="shared" ca="1" si="331"/>
        <v>OBS</v>
      </c>
      <c r="L2141" t="str">
        <f t="shared" ca="1" si="332"/>
        <v>dom</v>
      </c>
      <c r="M2141" t="str">
        <f t="shared" ca="1" si="329"/>
        <v>DWE</v>
      </c>
      <c r="N2141">
        <f t="shared" ca="1" si="330"/>
        <v>5.5067568721405837E-11</v>
      </c>
    </row>
    <row r="2142" spans="6:14" x14ac:dyDescent="0.35">
      <c r="F2142">
        <f t="shared" si="336"/>
        <v>32</v>
      </c>
      <c r="G2142">
        <f t="shared" si="334"/>
        <v>28</v>
      </c>
      <c r="H2142">
        <f t="shared" si="335"/>
        <v>0</v>
      </c>
      <c r="K2142" t="str">
        <f t="shared" ca="1" si="331"/>
        <v>GOV</v>
      </c>
      <c r="L2142" t="str">
        <f t="shared" ca="1" si="332"/>
        <v>dom</v>
      </c>
      <c r="M2142" t="str">
        <f t="shared" ca="1" si="329"/>
        <v>DWE</v>
      </c>
      <c r="N2142">
        <f t="shared" ca="1" si="330"/>
        <v>5.5067568721405837E-11</v>
      </c>
    </row>
    <row r="2143" spans="6:14" x14ac:dyDescent="0.35">
      <c r="F2143">
        <f t="shared" si="336"/>
        <v>32</v>
      </c>
      <c r="G2143">
        <f t="shared" si="334"/>
        <v>29</v>
      </c>
      <c r="H2143">
        <f t="shared" si="335"/>
        <v>0</v>
      </c>
      <c r="K2143" t="str">
        <f t="shared" ca="1" si="331"/>
        <v>EDU</v>
      </c>
      <c r="L2143" t="str">
        <f t="shared" ca="1" si="332"/>
        <v>dom</v>
      </c>
      <c r="M2143" t="str">
        <f t="shared" ca="1" si="329"/>
        <v>DWE</v>
      </c>
      <c r="N2143">
        <f t="shared" ca="1" si="330"/>
        <v>5.5067568721405837E-11</v>
      </c>
    </row>
    <row r="2144" spans="6:14" x14ac:dyDescent="0.35">
      <c r="F2144">
        <f t="shared" si="336"/>
        <v>32</v>
      </c>
      <c r="G2144">
        <f t="shared" si="334"/>
        <v>30</v>
      </c>
      <c r="H2144">
        <f t="shared" si="335"/>
        <v>0</v>
      </c>
      <c r="K2144" t="str">
        <f t="shared" ca="1" si="331"/>
        <v>HHT</v>
      </c>
      <c r="L2144" t="str">
        <f t="shared" ca="1" si="332"/>
        <v>dom</v>
      </c>
      <c r="M2144" t="str">
        <f t="shared" ca="1" si="329"/>
        <v>DWE</v>
      </c>
      <c r="N2144">
        <f t="shared" ca="1" si="330"/>
        <v>5.5067568721405837E-11</v>
      </c>
    </row>
    <row r="2145" spans="6:14" x14ac:dyDescent="0.35">
      <c r="F2145">
        <f t="shared" si="336"/>
        <v>32</v>
      </c>
      <c r="G2145">
        <f t="shared" si="334"/>
        <v>31</v>
      </c>
      <c r="H2145">
        <f t="shared" si="335"/>
        <v>0</v>
      </c>
      <c r="K2145" t="str">
        <f t="shared" ca="1" si="331"/>
        <v>REC</v>
      </c>
      <c r="L2145" t="str">
        <f t="shared" ca="1" si="332"/>
        <v>dom</v>
      </c>
      <c r="M2145" t="str">
        <f t="shared" ca="1" si="329"/>
        <v>DWE</v>
      </c>
      <c r="N2145">
        <f t="shared" ca="1" si="330"/>
        <v>5.5067568721405837E-11</v>
      </c>
    </row>
    <row r="2146" spans="6:14" x14ac:dyDescent="0.35">
      <c r="F2146">
        <f t="shared" si="336"/>
        <v>32</v>
      </c>
      <c r="G2146">
        <f t="shared" si="334"/>
        <v>32</v>
      </c>
      <c r="H2146">
        <f t="shared" si="335"/>
        <v>0</v>
      </c>
      <c r="K2146" t="str">
        <f t="shared" ca="1" si="331"/>
        <v>DWE</v>
      </c>
      <c r="L2146" t="str">
        <f t="shared" ca="1" si="332"/>
        <v>dom</v>
      </c>
      <c r="M2146" t="str">
        <f t="shared" ca="1" si="329"/>
        <v>DWE</v>
      </c>
      <c r="N2146">
        <f t="shared" ca="1" si="330"/>
        <v>5.5067568721405837E-11</v>
      </c>
    </row>
    <row r="2147" spans="6:14" x14ac:dyDescent="0.35">
      <c r="F2147">
        <f t="shared" si="336"/>
        <v>32</v>
      </c>
      <c r="G2147">
        <f t="shared" si="334"/>
        <v>0</v>
      </c>
      <c r="H2147">
        <f t="shared" si="335"/>
        <v>1</v>
      </c>
      <c r="K2147" t="str">
        <f t="shared" ca="1" si="331"/>
        <v>AG</v>
      </c>
      <c r="L2147" t="str">
        <f t="shared" ca="1" si="332"/>
        <v>imp</v>
      </c>
      <c r="M2147" t="str">
        <f t="shared" ca="1" si="329"/>
        <v>DWE</v>
      </c>
      <c r="N2147">
        <f t="shared" ca="1" si="330"/>
        <v>5.0947545621798571E-4</v>
      </c>
    </row>
    <row r="2148" spans="6:14" x14ac:dyDescent="0.35">
      <c r="F2148">
        <f t="shared" si="336"/>
        <v>32</v>
      </c>
      <c r="G2148">
        <f t="shared" si="334"/>
        <v>1</v>
      </c>
      <c r="H2148">
        <f t="shared" si="335"/>
        <v>1</v>
      </c>
      <c r="K2148" t="str">
        <f t="shared" ca="1" si="331"/>
        <v>MIN</v>
      </c>
      <c r="L2148" t="str">
        <f t="shared" ca="1" si="332"/>
        <v>imp</v>
      </c>
      <c r="M2148" t="str">
        <f t="shared" ca="1" si="329"/>
        <v>DWE</v>
      </c>
      <c r="N2148">
        <f t="shared" ca="1" si="330"/>
        <v>8.0376462510334213E-4</v>
      </c>
    </row>
    <row r="2149" spans="6:14" x14ac:dyDescent="0.35">
      <c r="F2149">
        <f t="shared" ref="F2149:F2164" si="337">F2083+1</f>
        <v>32</v>
      </c>
      <c r="G2149">
        <f t="shared" si="334"/>
        <v>2</v>
      </c>
      <c r="H2149">
        <f t="shared" si="335"/>
        <v>1</v>
      </c>
      <c r="K2149" t="str">
        <f t="shared" ca="1" si="331"/>
        <v>FBT</v>
      </c>
      <c r="L2149" t="str">
        <f t="shared" ca="1" si="332"/>
        <v>imp</v>
      </c>
      <c r="M2149" t="str">
        <f t="shared" ca="1" si="329"/>
        <v>DWE</v>
      </c>
      <c r="N2149">
        <f t="shared" ca="1" si="330"/>
        <v>2.0112656327950736E-4</v>
      </c>
    </row>
    <row r="2150" spans="6:14" x14ac:dyDescent="0.35">
      <c r="F2150">
        <f t="shared" si="337"/>
        <v>32</v>
      </c>
      <c r="G2150">
        <f t="shared" si="334"/>
        <v>3</v>
      </c>
      <c r="H2150">
        <f t="shared" si="335"/>
        <v>1</v>
      </c>
      <c r="K2150" t="str">
        <f t="shared" ca="1" si="331"/>
        <v>TEX</v>
      </c>
      <c r="L2150" t="str">
        <f t="shared" ca="1" si="332"/>
        <v>imp</v>
      </c>
      <c r="M2150" t="str">
        <f t="shared" ca="1" si="329"/>
        <v>DWE</v>
      </c>
      <c r="N2150">
        <f t="shared" ca="1" si="330"/>
        <v>3.946910879787463E-3</v>
      </c>
    </row>
    <row r="2151" spans="6:14" x14ac:dyDescent="0.35">
      <c r="F2151">
        <f t="shared" si="337"/>
        <v>32</v>
      </c>
      <c r="G2151">
        <f t="shared" si="334"/>
        <v>4</v>
      </c>
      <c r="H2151">
        <f t="shared" si="335"/>
        <v>1</v>
      </c>
      <c r="K2151" t="str">
        <f t="shared" ca="1" si="331"/>
        <v>LEATHER</v>
      </c>
      <c r="L2151" t="str">
        <f t="shared" ca="1" si="332"/>
        <v>imp</v>
      </c>
      <c r="M2151" t="str">
        <f t="shared" ca="1" si="329"/>
        <v>DWE</v>
      </c>
      <c r="N2151">
        <f t="shared" ca="1" si="330"/>
        <v>2.0570094830033823E-3</v>
      </c>
    </row>
    <row r="2152" spans="6:14" x14ac:dyDescent="0.35">
      <c r="F2152">
        <f t="shared" si="337"/>
        <v>32</v>
      </c>
      <c r="G2152">
        <f t="shared" si="334"/>
        <v>5</v>
      </c>
      <c r="H2152">
        <f t="shared" si="335"/>
        <v>1</v>
      </c>
      <c r="K2152" t="str">
        <f t="shared" ca="1" si="331"/>
        <v>WOOD</v>
      </c>
      <c r="L2152" t="str">
        <f t="shared" ca="1" si="332"/>
        <v>imp</v>
      </c>
      <c r="M2152" t="str">
        <f t="shared" ca="1" si="329"/>
        <v>DWE</v>
      </c>
      <c r="N2152">
        <f t="shared" ca="1" si="330"/>
        <v>3.681896454358606E-5</v>
      </c>
    </row>
    <row r="2153" spans="6:14" x14ac:dyDescent="0.35">
      <c r="F2153">
        <f t="shared" si="337"/>
        <v>32</v>
      </c>
      <c r="G2153">
        <f t="shared" si="334"/>
        <v>6</v>
      </c>
      <c r="H2153">
        <f t="shared" si="335"/>
        <v>1</v>
      </c>
      <c r="K2153" t="str">
        <f t="shared" ca="1" si="331"/>
        <v>PPP</v>
      </c>
      <c r="L2153" t="str">
        <f t="shared" ca="1" si="332"/>
        <v>imp</v>
      </c>
      <c r="M2153" t="str">
        <f t="shared" ca="1" si="329"/>
        <v>DWE</v>
      </c>
      <c r="N2153">
        <f t="shared" ca="1" si="330"/>
        <v>5.3018937426626937E-4</v>
      </c>
    </row>
    <row r="2154" spans="6:14" x14ac:dyDescent="0.35">
      <c r="F2154">
        <f t="shared" si="337"/>
        <v>32</v>
      </c>
      <c r="G2154">
        <f t="shared" si="334"/>
        <v>7</v>
      </c>
      <c r="H2154">
        <f t="shared" si="335"/>
        <v>1</v>
      </c>
      <c r="K2154" t="str">
        <f t="shared" ca="1" si="331"/>
        <v>PC</v>
      </c>
      <c r="L2154" t="str">
        <f t="shared" ca="1" si="332"/>
        <v>imp</v>
      </c>
      <c r="M2154" t="str">
        <f t="shared" ca="1" si="329"/>
        <v>DWE</v>
      </c>
      <c r="N2154">
        <f t="shared" ca="1" si="330"/>
        <v>1.335079188858352E-4</v>
      </c>
    </row>
    <row r="2155" spans="6:14" x14ac:dyDescent="0.35">
      <c r="F2155">
        <f t="shared" si="337"/>
        <v>32</v>
      </c>
      <c r="G2155">
        <f t="shared" si="334"/>
        <v>8</v>
      </c>
      <c r="H2155">
        <f t="shared" si="335"/>
        <v>1</v>
      </c>
      <c r="K2155" t="str">
        <f t="shared" ca="1" si="331"/>
        <v>CHM</v>
      </c>
      <c r="L2155" t="str">
        <f t="shared" ca="1" si="332"/>
        <v>imp</v>
      </c>
      <c r="M2155" t="str">
        <f t="shared" ca="1" si="329"/>
        <v>DWE</v>
      </c>
      <c r="N2155">
        <f t="shared" ca="1" si="330"/>
        <v>1.8301706490263232E-3</v>
      </c>
    </row>
    <row r="2156" spans="6:14" x14ac:dyDescent="0.35">
      <c r="F2156">
        <f t="shared" si="337"/>
        <v>32</v>
      </c>
      <c r="G2156">
        <f t="shared" si="334"/>
        <v>9</v>
      </c>
      <c r="H2156">
        <f t="shared" si="335"/>
        <v>1</v>
      </c>
      <c r="K2156" t="str">
        <f t="shared" ca="1" si="331"/>
        <v>RUBBER</v>
      </c>
      <c r="L2156" t="str">
        <f t="shared" ca="1" si="332"/>
        <v>imp</v>
      </c>
      <c r="M2156" t="str">
        <f t="shared" ca="1" si="329"/>
        <v>DWE</v>
      </c>
      <c r="N2156">
        <f t="shared" ca="1" si="330"/>
        <v>1.4016674621897469E-3</v>
      </c>
    </row>
    <row r="2157" spans="6:14" x14ac:dyDescent="0.35">
      <c r="F2157">
        <f t="shared" si="337"/>
        <v>32</v>
      </c>
      <c r="G2157">
        <f t="shared" si="334"/>
        <v>10</v>
      </c>
      <c r="H2157">
        <f t="shared" si="335"/>
        <v>1</v>
      </c>
      <c r="K2157" t="str">
        <f t="shared" ca="1" si="331"/>
        <v>NMM</v>
      </c>
      <c r="L2157" t="str">
        <f t="shared" ca="1" si="332"/>
        <v>imp</v>
      </c>
      <c r="M2157" t="str">
        <f t="shared" ca="1" si="329"/>
        <v>DWE</v>
      </c>
      <c r="N2157">
        <f t="shared" ca="1" si="330"/>
        <v>5.2911177290598506E-4</v>
      </c>
    </row>
    <row r="2158" spans="6:14" x14ac:dyDescent="0.35">
      <c r="F2158">
        <f t="shared" si="337"/>
        <v>32</v>
      </c>
      <c r="G2158">
        <f t="shared" si="334"/>
        <v>11</v>
      </c>
      <c r="H2158">
        <f t="shared" si="335"/>
        <v>1</v>
      </c>
      <c r="K2158" t="str">
        <f t="shared" ca="1" si="331"/>
        <v>METAL</v>
      </c>
      <c r="L2158" t="str">
        <f t="shared" ca="1" si="332"/>
        <v>imp</v>
      </c>
      <c r="M2158" t="str">
        <f t="shared" ca="1" si="329"/>
        <v>DWE</v>
      </c>
      <c r="N2158">
        <f t="shared" ca="1" si="330"/>
        <v>6.6229649420071618E-3</v>
      </c>
    </row>
    <row r="2159" spans="6:14" x14ac:dyDescent="0.35">
      <c r="F2159">
        <f t="shared" si="337"/>
        <v>32</v>
      </c>
      <c r="G2159">
        <f t="shared" si="334"/>
        <v>12</v>
      </c>
      <c r="H2159">
        <f t="shared" si="335"/>
        <v>1</v>
      </c>
      <c r="K2159" t="str">
        <f t="shared" ca="1" si="331"/>
        <v>MACH</v>
      </c>
      <c r="L2159" t="str">
        <f t="shared" ca="1" si="332"/>
        <v>imp</v>
      </c>
      <c r="M2159" t="str">
        <f t="shared" ca="1" si="329"/>
        <v>DWE</v>
      </c>
      <c r="N2159">
        <f t="shared" ca="1" si="330"/>
        <v>2.5371067836824964E-2</v>
      </c>
    </row>
    <row r="2160" spans="6:14" x14ac:dyDescent="0.35">
      <c r="F2160">
        <f t="shared" si="337"/>
        <v>32</v>
      </c>
      <c r="G2160">
        <f t="shared" si="334"/>
        <v>13</v>
      </c>
      <c r="H2160">
        <f t="shared" si="335"/>
        <v>1</v>
      </c>
      <c r="K2160" t="str">
        <f t="shared" ca="1" si="331"/>
        <v>ELEC</v>
      </c>
      <c r="L2160" t="str">
        <f t="shared" ca="1" si="332"/>
        <v>imp</v>
      </c>
      <c r="M2160" t="str">
        <f t="shared" ca="1" si="329"/>
        <v>DWE</v>
      </c>
      <c r="N2160">
        <f t="shared" ca="1" si="330"/>
        <v>1.3603192654541581E-2</v>
      </c>
    </row>
    <row r="2161" spans="6:14" x14ac:dyDescent="0.35">
      <c r="F2161">
        <f t="shared" si="337"/>
        <v>32</v>
      </c>
      <c r="G2161">
        <f t="shared" si="334"/>
        <v>14</v>
      </c>
      <c r="H2161">
        <f t="shared" si="335"/>
        <v>1</v>
      </c>
      <c r="K2161" t="str">
        <f t="shared" ca="1" si="331"/>
        <v>TRNEQUIP</v>
      </c>
      <c r="L2161" t="str">
        <f t="shared" ca="1" si="332"/>
        <v>imp</v>
      </c>
      <c r="M2161" t="str">
        <f t="shared" ca="1" si="329"/>
        <v>DWE</v>
      </c>
      <c r="N2161">
        <f t="shared" ca="1" si="330"/>
        <v>2.1709165400337939E-2</v>
      </c>
    </row>
    <row r="2162" spans="6:14" x14ac:dyDescent="0.35">
      <c r="F2162">
        <f t="shared" si="337"/>
        <v>32</v>
      </c>
      <c r="G2162">
        <f t="shared" si="334"/>
        <v>15</v>
      </c>
      <c r="H2162">
        <f t="shared" si="335"/>
        <v>1</v>
      </c>
      <c r="K2162" t="str">
        <f t="shared" ca="1" si="331"/>
        <v>ROMAN</v>
      </c>
      <c r="L2162" t="str">
        <f t="shared" ca="1" si="332"/>
        <v>imp</v>
      </c>
      <c r="M2162" t="str">
        <f t="shared" ca="1" si="329"/>
        <v>DWE</v>
      </c>
      <c r="N2162">
        <f t="shared" ca="1" si="330"/>
        <v>8.2372100119546595E-3</v>
      </c>
    </row>
    <row r="2163" spans="6:14" x14ac:dyDescent="0.35">
      <c r="F2163">
        <f t="shared" si="337"/>
        <v>32</v>
      </c>
      <c r="G2163">
        <f t="shared" si="334"/>
        <v>16</v>
      </c>
      <c r="H2163">
        <f t="shared" si="335"/>
        <v>1</v>
      </c>
      <c r="K2163" t="str">
        <f t="shared" ca="1" si="331"/>
        <v>ELYGASWTR</v>
      </c>
      <c r="L2163" t="str">
        <f t="shared" ca="1" si="332"/>
        <v>imp</v>
      </c>
      <c r="M2163" t="str">
        <f t="shared" ca="1" si="329"/>
        <v>DWE</v>
      </c>
      <c r="N2163">
        <f t="shared" ca="1" si="330"/>
        <v>5.5067568721405837E-11</v>
      </c>
    </row>
    <row r="2164" spans="6:14" x14ac:dyDescent="0.35">
      <c r="F2164">
        <f t="shared" si="337"/>
        <v>32</v>
      </c>
      <c r="G2164">
        <f t="shared" si="334"/>
        <v>17</v>
      </c>
      <c r="H2164">
        <f t="shared" si="335"/>
        <v>1</v>
      </c>
      <c r="K2164" t="str">
        <f t="shared" ca="1" si="331"/>
        <v>CNS</v>
      </c>
      <c r="L2164" t="str">
        <f t="shared" ca="1" si="332"/>
        <v>imp</v>
      </c>
      <c r="M2164" t="str">
        <f t="shared" ca="1" si="329"/>
        <v>DWE</v>
      </c>
      <c r="N2164">
        <f t="shared" ca="1" si="330"/>
        <v>1.61248133246773E-3</v>
      </c>
    </row>
    <row r="2165" spans="6:14" x14ac:dyDescent="0.35">
      <c r="F2165">
        <f t="shared" ref="F2165:F2179" si="338">F2099+1</f>
        <v>32</v>
      </c>
      <c r="G2165">
        <f t="shared" si="334"/>
        <v>18</v>
      </c>
      <c r="H2165">
        <f t="shared" si="335"/>
        <v>1</v>
      </c>
      <c r="K2165" t="str">
        <f t="shared" ca="1" si="331"/>
        <v>TRD</v>
      </c>
      <c r="L2165" t="str">
        <f t="shared" ca="1" si="332"/>
        <v>imp</v>
      </c>
      <c r="M2165" t="str">
        <f t="shared" ca="1" si="329"/>
        <v>DWE</v>
      </c>
      <c r="N2165">
        <f t="shared" ca="1" si="330"/>
        <v>1.4108122279724472E-4</v>
      </c>
    </row>
    <row r="2166" spans="6:14" x14ac:dyDescent="0.35">
      <c r="F2166">
        <f t="shared" si="338"/>
        <v>32</v>
      </c>
      <c r="G2166">
        <f t="shared" si="334"/>
        <v>19</v>
      </c>
      <c r="H2166">
        <f t="shared" si="335"/>
        <v>1</v>
      </c>
      <c r="K2166" t="str">
        <f t="shared" ca="1" si="331"/>
        <v>AFS</v>
      </c>
      <c r="L2166" t="str">
        <f t="shared" ca="1" si="332"/>
        <v>imp</v>
      </c>
      <c r="M2166" t="str">
        <f t="shared" ca="1" si="329"/>
        <v>DWE</v>
      </c>
      <c r="N2166">
        <f t="shared" ca="1" si="330"/>
        <v>5.5067568721405837E-11</v>
      </c>
    </row>
    <row r="2167" spans="6:14" x14ac:dyDescent="0.35">
      <c r="F2167">
        <f t="shared" si="338"/>
        <v>32</v>
      </c>
      <c r="G2167">
        <f t="shared" si="334"/>
        <v>20</v>
      </c>
      <c r="H2167">
        <f t="shared" si="335"/>
        <v>1</v>
      </c>
      <c r="K2167" t="str">
        <f t="shared" ca="1" si="331"/>
        <v>OTP</v>
      </c>
      <c r="L2167" t="str">
        <f t="shared" ca="1" si="332"/>
        <v>imp</v>
      </c>
      <c r="M2167" t="str">
        <f t="shared" ca="1" si="329"/>
        <v>DWE</v>
      </c>
      <c r="N2167">
        <f t="shared" ca="1" si="330"/>
        <v>5.5067568721405837E-11</v>
      </c>
    </row>
    <row r="2168" spans="6:14" x14ac:dyDescent="0.35">
      <c r="F2168">
        <f t="shared" si="338"/>
        <v>32</v>
      </c>
      <c r="G2168">
        <f t="shared" si="334"/>
        <v>21</v>
      </c>
      <c r="H2168">
        <f t="shared" si="335"/>
        <v>1</v>
      </c>
      <c r="K2168" t="str">
        <f t="shared" ca="1" si="331"/>
        <v>WTP</v>
      </c>
      <c r="L2168" t="str">
        <f t="shared" ca="1" si="332"/>
        <v>imp</v>
      </c>
      <c r="M2168" t="str">
        <f t="shared" ca="1" si="329"/>
        <v>DWE</v>
      </c>
      <c r="N2168">
        <f t="shared" ca="1" si="330"/>
        <v>5.5067568721405837E-11</v>
      </c>
    </row>
    <row r="2169" spans="6:14" x14ac:dyDescent="0.35">
      <c r="F2169">
        <f t="shared" si="338"/>
        <v>32</v>
      </c>
      <c r="G2169">
        <f t="shared" si="334"/>
        <v>22</v>
      </c>
      <c r="H2169">
        <f t="shared" si="335"/>
        <v>1</v>
      </c>
      <c r="K2169" t="str">
        <f t="shared" ca="1" si="331"/>
        <v>ATP</v>
      </c>
      <c r="L2169" t="str">
        <f t="shared" ca="1" si="332"/>
        <v>imp</v>
      </c>
      <c r="M2169" t="str">
        <f t="shared" ca="1" si="329"/>
        <v>DWE</v>
      </c>
      <c r="N2169">
        <f t="shared" ca="1" si="330"/>
        <v>5.5067568721405837E-11</v>
      </c>
    </row>
    <row r="2170" spans="6:14" x14ac:dyDescent="0.35">
      <c r="F2170">
        <f t="shared" si="338"/>
        <v>32</v>
      </c>
      <c r="G2170">
        <f t="shared" si="334"/>
        <v>23</v>
      </c>
      <c r="H2170">
        <f t="shared" si="335"/>
        <v>1</v>
      </c>
      <c r="K2170" t="str">
        <f t="shared" ca="1" si="331"/>
        <v>WHS</v>
      </c>
      <c r="L2170" t="str">
        <f t="shared" ca="1" si="332"/>
        <v>imp</v>
      </c>
      <c r="M2170" t="str">
        <f t="shared" ca="1" si="329"/>
        <v>DWE</v>
      </c>
      <c r="N2170">
        <f t="shared" ca="1" si="330"/>
        <v>5.5067568721405837E-11</v>
      </c>
    </row>
    <row r="2171" spans="6:14" x14ac:dyDescent="0.35">
      <c r="F2171">
        <f t="shared" si="338"/>
        <v>32</v>
      </c>
      <c r="G2171">
        <f t="shared" si="334"/>
        <v>24</v>
      </c>
      <c r="H2171">
        <f t="shared" si="335"/>
        <v>1</v>
      </c>
      <c r="K2171" t="str">
        <f t="shared" ca="1" si="331"/>
        <v>CMN</v>
      </c>
      <c r="L2171" t="str">
        <f t="shared" ca="1" si="332"/>
        <v>imp</v>
      </c>
      <c r="M2171" t="str">
        <f t="shared" ca="1" si="329"/>
        <v>DWE</v>
      </c>
      <c r="N2171">
        <f t="shared" ca="1" si="330"/>
        <v>5.5067568721405837E-11</v>
      </c>
    </row>
    <row r="2172" spans="6:14" x14ac:dyDescent="0.35">
      <c r="F2172">
        <f t="shared" si="338"/>
        <v>32</v>
      </c>
      <c r="G2172">
        <f t="shared" si="334"/>
        <v>25</v>
      </c>
      <c r="H2172">
        <f t="shared" si="335"/>
        <v>1</v>
      </c>
      <c r="K2172" t="str">
        <f t="shared" ca="1" si="331"/>
        <v>OFI</v>
      </c>
      <c r="L2172" t="str">
        <f t="shared" ca="1" si="332"/>
        <v>imp</v>
      </c>
      <c r="M2172" t="str">
        <f t="shared" ca="1" si="329"/>
        <v>DWE</v>
      </c>
      <c r="N2172">
        <f t="shared" ca="1" si="330"/>
        <v>5.5067568721405837E-11</v>
      </c>
    </row>
    <row r="2173" spans="6:14" x14ac:dyDescent="0.35">
      <c r="F2173">
        <f t="shared" si="338"/>
        <v>32</v>
      </c>
      <c r="G2173">
        <f t="shared" si="334"/>
        <v>26</v>
      </c>
      <c r="H2173">
        <f t="shared" si="335"/>
        <v>1</v>
      </c>
      <c r="K2173" t="str">
        <f t="shared" ca="1" si="331"/>
        <v>RSA</v>
      </c>
      <c r="L2173" t="str">
        <f t="shared" ca="1" si="332"/>
        <v>imp</v>
      </c>
      <c r="M2173" t="str">
        <f t="shared" ca="1" si="329"/>
        <v>DWE</v>
      </c>
      <c r="N2173">
        <f t="shared" ca="1" si="330"/>
        <v>5.5067568721405837E-11</v>
      </c>
    </row>
    <row r="2174" spans="6:14" x14ac:dyDescent="0.35">
      <c r="F2174">
        <f t="shared" si="338"/>
        <v>32</v>
      </c>
      <c r="G2174">
        <f t="shared" si="334"/>
        <v>27</v>
      </c>
      <c r="H2174">
        <f t="shared" si="335"/>
        <v>1</v>
      </c>
      <c r="K2174" t="str">
        <f t="shared" ca="1" si="331"/>
        <v>OBS</v>
      </c>
      <c r="L2174" t="str">
        <f t="shared" ca="1" si="332"/>
        <v>imp</v>
      </c>
      <c r="M2174" t="str">
        <f t="shared" ca="1" si="329"/>
        <v>DWE</v>
      </c>
      <c r="N2174">
        <f t="shared" ca="1" si="330"/>
        <v>5.5067568721405837E-11</v>
      </c>
    </row>
    <row r="2175" spans="6:14" x14ac:dyDescent="0.35">
      <c r="F2175">
        <f t="shared" si="338"/>
        <v>32</v>
      </c>
      <c r="G2175">
        <f t="shared" si="334"/>
        <v>28</v>
      </c>
      <c r="H2175">
        <f t="shared" si="335"/>
        <v>1</v>
      </c>
      <c r="K2175" t="str">
        <f t="shared" ca="1" si="331"/>
        <v>GOV</v>
      </c>
      <c r="L2175" t="str">
        <f t="shared" ca="1" si="332"/>
        <v>imp</v>
      </c>
      <c r="M2175" t="str">
        <f t="shared" ca="1" si="329"/>
        <v>DWE</v>
      </c>
      <c r="N2175">
        <f t="shared" ca="1" si="330"/>
        <v>5.5067568721405837E-11</v>
      </c>
    </row>
    <row r="2176" spans="6:14" x14ac:dyDescent="0.35">
      <c r="F2176">
        <f t="shared" si="338"/>
        <v>32</v>
      </c>
      <c r="G2176">
        <f t="shared" si="334"/>
        <v>29</v>
      </c>
      <c r="H2176">
        <f t="shared" si="335"/>
        <v>1</v>
      </c>
      <c r="K2176" t="str">
        <f t="shared" ca="1" si="331"/>
        <v>EDU</v>
      </c>
      <c r="L2176" t="str">
        <f t="shared" ca="1" si="332"/>
        <v>imp</v>
      </c>
      <c r="M2176" t="str">
        <f t="shared" ca="1" si="329"/>
        <v>DWE</v>
      </c>
      <c r="N2176">
        <f t="shared" ca="1" si="330"/>
        <v>5.5067568721405837E-11</v>
      </c>
    </row>
    <row r="2177" spans="6:14" x14ac:dyDescent="0.35">
      <c r="F2177">
        <f t="shared" si="338"/>
        <v>32</v>
      </c>
      <c r="G2177">
        <f t="shared" si="334"/>
        <v>30</v>
      </c>
      <c r="H2177">
        <f t="shared" si="335"/>
        <v>1</v>
      </c>
      <c r="K2177" t="str">
        <f t="shared" ca="1" si="331"/>
        <v>HHT</v>
      </c>
      <c r="L2177" t="str">
        <f t="shared" ca="1" si="332"/>
        <v>imp</v>
      </c>
      <c r="M2177" t="str">
        <f t="shared" ca="1" si="329"/>
        <v>DWE</v>
      </c>
      <c r="N2177">
        <f t="shared" ca="1" si="330"/>
        <v>5.5067568721405837E-11</v>
      </c>
    </row>
    <row r="2178" spans="6:14" x14ac:dyDescent="0.35">
      <c r="F2178">
        <f t="shared" si="338"/>
        <v>32</v>
      </c>
      <c r="G2178">
        <f t="shared" si="334"/>
        <v>31</v>
      </c>
      <c r="H2178">
        <f t="shared" si="335"/>
        <v>1</v>
      </c>
      <c r="K2178" t="str">
        <f t="shared" ca="1" si="331"/>
        <v>REC</v>
      </c>
      <c r="L2178" t="str">
        <f t="shared" ca="1" si="332"/>
        <v>imp</v>
      </c>
      <c r="M2178" t="str">
        <f t="shared" ca="1" si="329"/>
        <v>DWE</v>
      </c>
      <c r="N2178">
        <f t="shared" ref="N2178:N2179" ca="1" si="339">SUMIFS(C:C,A:A,K2178,B:B,L2178)*SUMIFS(U:U,S:S,M2178)</f>
        <v>5.5067568721405837E-11</v>
      </c>
    </row>
    <row r="2179" spans="6:14" x14ac:dyDescent="0.35">
      <c r="F2179">
        <f t="shared" si="338"/>
        <v>32</v>
      </c>
      <c r="G2179">
        <f t="shared" si="334"/>
        <v>32</v>
      </c>
      <c r="H2179">
        <f t="shared" si="335"/>
        <v>1</v>
      </c>
      <c r="K2179" t="str">
        <f t="shared" ref="K2179" ca="1" si="340">OFFSET(A$2,G2179,0)</f>
        <v>DWE</v>
      </c>
      <c r="L2179" t="str">
        <f t="shared" ref="L2179" ca="1" si="341">OFFSET($V$3,H2179,0)</f>
        <v>imp</v>
      </c>
      <c r="M2179" t="str">
        <f t="shared" ca="1" si="329"/>
        <v>DWE</v>
      </c>
      <c r="N2179">
        <f t="shared" ca="1" si="339"/>
        <v>5.5067568721405837E-11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">
    <tabColor rgb="FFFFC000"/>
  </sheetPr>
  <dimension ref="A1:T2179"/>
  <sheetViews>
    <sheetView workbookViewId="0">
      <selection activeCell="M52" sqref="M52"/>
    </sheetView>
  </sheetViews>
  <sheetFormatPr defaultRowHeight="14.5" x14ac:dyDescent="0.35"/>
  <sheetData>
    <row r="1" spans="1:20" x14ac:dyDescent="0.35">
      <c r="A1" s="1" t="s">
        <v>1</v>
      </c>
      <c r="B1" s="1" t="s">
        <v>2</v>
      </c>
      <c r="C1" s="1" t="s">
        <v>3</v>
      </c>
      <c r="D1" s="1" t="s">
        <v>0</v>
      </c>
    </row>
    <row r="2" spans="1:20" x14ac:dyDescent="0.35">
      <c r="A2" t="s">
        <v>7</v>
      </c>
      <c r="B2" t="s">
        <v>4</v>
      </c>
      <c r="C2" t="s">
        <v>7</v>
      </c>
      <c r="D2">
        <f ca="1">'2BAS Calcs'!N2</f>
        <v>4.5862900647655185E-2</v>
      </c>
      <c r="R2" s="1"/>
      <c r="S2" s="1"/>
    </row>
    <row r="3" spans="1:20" x14ac:dyDescent="0.35">
      <c r="A3" t="s">
        <v>8</v>
      </c>
      <c r="B3" t="s">
        <v>4</v>
      </c>
      <c r="C3" t="s">
        <v>7</v>
      </c>
      <c r="D3">
        <f ca="1">'2BAS Calcs'!N3</f>
        <v>8.0004029845463245E-2</v>
      </c>
      <c r="T3" s="7"/>
    </row>
    <row r="4" spans="1:20" x14ac:dyDescent="0.35">
      <c r="A4" t="s">
        <v>9</v>
      </c>
      <c r="B4" t="s">
        <v>4</v>
      </c>
      <c r="C4" t="s">
        <v>7</v>
      </c>
      <c r="D4">
        <f ca="1">'2BAS Calcs'!N4</f>
        <v>0.13470989439537351</v>
      </c>
      <c r="T4" s="7"/>
    </row>
    <row r="5" spans="1:20" x14ac:dyDescent="0.35">
      <c r="A5" t="s">
        <v>10</v>
      </c>
      <c r="B5" t="s">
        <v>4</v>
      </c>
      <c r="C5" t="s">
        <v>7</v>
      </c>
      <c r="D5">
        <f ca="1">'2BAS Calcs'!N5</f>
        <v>0.70168404176375998</v>
      </c>
      <c r="T5" s="7"/>
    </row>
    <row r="6" spans="1:20" x14ac:dyDescent="0.35">
      <c r="A6" t="s">
        <v>11</v>
      </c>
      <c r="B6" t="s">
        <v>4</v>
      </c>
      <c r="C6" t="s">
        <v>7</v>
      </c>
      <c r="D6">
        <f ca="1">'2BAS Calcs'!N6</f>
        <v>4.9790223532686076E-3</v>
      </c>
      <c r="T6" s="7"/>
    </row>
    <row r="7" spans="1:20" x14ac:dyDescent="0.35">
      <c r="A7" t="s">
        <v>12</v>
      </c>
      <c r="B7" t="s">
        <v>4</v>
      </c>
      <c r="C7" t="s">
        <v>7</v>
      </c>
      <c r="D7">
        <f ca="1">'2BAS Calcs'!N7</f>
        <v>3.0650453566894033E-2</v>
      </c>
      <c r="T7" s="7"/>
    </row>
    <row r="8" spans="1:20" x14ac:dyDescent="0.35">
      <c r="A8" t="s">
        <v>13</v>
      </c>
      <c r="B8" t="s">
        <v>4</v>
      </c>
      <c r="C8" t="s">
        <v>7</v>
      </c>
      <c r="D8">
        <f ca="1">'2BAS Calcs'!N8</f>
        <v>0.61348659794887384</v>
      </c>
      <c r="T8" s="7"/>
    </row>
    <row r="9" spans="1:20" x14ac:dyDescent="0.35">
      <c r="A9" t="s">
        <v>14</v>
      </c>
      <c r="B9" t="s">
        <v>4</v>
      </c>
      <c r="C9" t="s">
        <v>7</v>
      </c>
      <c r="D9">
        <f ca="1">'2BAS Calcs'!N9</f>
        <v>9.3483541644058685E-2</v>
      </c>
      <c r="T9" s="7"/>
    </row>
    <row r="10" spans="1:20" x14ac:dyDescent="0.35">
      <c r="A10" t="s">
        <v>15</v>
      </c>
      <c r="B10" t="s">
        <v>4</v>
      </c>
      <c r="C10" t="s">
        <v>7</v>
      </c>
      <c r="D10">
        <f ca="1">'2BAS Calcs'!N10</f>
        <v>0.58214076789766578</v>
      </c>
      <c r="T10" s="7"/>
    </row>
    <row r="11" spans="1:20" x14ac:dyDescent="0.35">
      <c r="A11" t="s">
        <v>16</v>
      </c>
      <c r="B11" t="s">
        <v>4</v>
      </c>
      <c r="C11" t="s">
        <v>7</v>
      </c>
      <c r="D11">
        <f ca="1">'2BAS Calcs'!N11</f>
        <v>0.91128519894397819</v>
      </c>
      <c r="T11" s="7"/>
    </row>
    <row r="12" spans="1:20" x14ac:dyDescent="0.35">
      <c r="A12" t="s">
        <v>17</v>
      </c>
      <c r="B12" t="s">
        <v>4</v>
      </c>
      <c r="C12" t="s">
        <v>7</v>
      </c>
      <c r="D12">
        <f ca="1">'2BAS Calcs'!N12</f>
        <v>0.84419247134372288</v>
      </c>
      <c r="T12" s="7"/>
    </row>
    <row r="13" spans="1:20" x14ac:dyDescent="0.35">
      <c r="A13" t="s">
        <v>18</v>
      </c>
      <c r="B13" t="s">
        <v>4</v>
      </c>
      <c r="C13" t="s">
        <v>7</v>
      </c>
      <c r="D13">
        <f ca="1">'2BAS Calcs'!N13</f>
        <v>2.469116895151124</v>
      </c>
      <c r="T13" s="7"/>
    </row>
    <row r="14" spans="1:20" x14ac:dyDescent="0.35">
      <c r="A14" t="s">
        <v>19</v>
      </c>
      <c r="B14" t="s">
        <v>4</v>
      </c>
      <c r="C14" t="s">
        <v>7</v>
      </c>
      <c r="D14">
        <f ca="1">'2BAS Calcs'!N14</f>
        <v>3.5738520555549407</v>
      </c>
      <c r="T14" s="7"/>
    </row>
    <row r="15" spans="1:20" x14ac:dyDescent="0.35">
      <c r="A15" t="s">
        <v>20</v>
      </c>
      <c r="B15" t="s">
        <v>4</v>
      </c>
      <c r="C15" t="s">
        <v>7</v>
      </c>
      <c r="D15">
        <f ca="1">'2BAS Calcs'!N15</f>
        <v>0.74343882257931981</v>
      </c>
      <c r="T15" s="7"/>
    </row>
    <row r="16" spans="1:20" x14ac:dyDescent="0.35">
      <c r="A16" t="s">
        <v>21</v>
      </c>
      <c r="B16" t="s">
        <v>4</v>
      </c>
      <c r="C16" t="s">
        <v>7</v>
      </c>
      <c r="D16">
        <f ca="1">'2BAS Calcs'!N16</f>
        <v>1.0739032697212136</v>
      </c>
      <c r="T16" s="7"/>
    </row>
    <row r="17" spans="1:20" x14ac:dyDescent="0.35">
      <c r="A17" t="s">
        <v>22</v>
      </c>
      <c r="B17" t="s">
        <v>4</v>
      </c>
      <c r="C17" t="s">
        <v>7</v>
      </c>
      <c r="D17">
        <f ca="1">'2BAS Calcs'!N17</f>
        <v>2.9241688750753481</v>
      </c>
      <c r="T17" s="7"/>
    </row>
    <row r="18" spans="1:20" x14ac:dyDescent="0.35">
      <c r="A18" t="s">
        <v>23</v>
      </c>
      <c r="B18" t="s">
        <v>4</v>
      </c>
      <c r="C18" t="s">
        <v>7</v>
      </c>
      <c r="D18">
        <f ca="1">'2BAS Calcs'!N18</f>
        <v>6.6727594777490705E-8</v>
      </c>
      <c r="T18" s="7"/>
    </row>
    <row r="19" spans="1:20" x14ac:dyDescent="0.35">
      <c r="A19" t="s">
        <v>24</v>
      </c>
      <c r="B19" t="s">
        <v>4</v>
      </c>
      <c r="C19" t="s">
        <v>7</v>
      </c>
      <c r="D19">
        <f ca="1">'2BAS Calcs'!N19</f>
        <v>97.136327539218257</v>
      </c>
      <c r="T19" s="7"/>
    </row>
    <row r="20" spans="1:20" x14ac:dyDescent="0.35">
      <c r="A20" t="s">
        <v>25</v>
      </c>
      <c r="B20" t="s">
        <v>4</v>
      </c>
      <c r="C20" t="s">
        <v>7</v>
      </c>
      <c r="D20">
        <f ca="1">'2BAS Calcs'!N20</f>
        <v>15.531451159939643</v>
      </c>
      <c r="T20" s="7"/>
    </row>
    <row r="21" spans="1:20" x14ac:dyDescent="0.35">
      <c r="A21" t="s">
        <v>26</v>
      </c>
      <c r="B21" t="s">
        <v>4</v>
      </c>
      <c r="C21" t="s">
        <v>7</v>
      </c>
      <c r="D21">
        <f ca="1">'2BAS Calcs'!N21</f>
        <v>6.6727594777490705E-8</v>
      </c>
      <c r="T21" s="7"/>
    </row>
    <row r="22" spans="1:20" x14ac:dyDescent="0.35">
      <c r="A22" t="s">
        <v>27</v>
      </c>
      <c r="B22" t="s">
        <v>4</v>
      </c>
      <c r="C22" t="s">
        <v>7</v>
      </c>
      <c r="D22">
        <f ca="1">'2BAS Calcs'!N22</f>
        <v>6.6727594777490705E-8</v>
      </c>
      <c r="T22" s="7"/>
    </row>
    <row r="23" spans="1:20" x14ac:dyDescent="0.35">
      <c r="A23" t="s">
        <v>28</v>
      </c>
      <c r="B23" t="s">
        <v>4</v>
      </c>
      <c r="C23" t="s">
        <v>7</v>
      </c>
      <c r="D23">
        <f ca="1">'2BAS Calcs'!N23</f>
        <v>6.6727594777490705E-8</v>
      </c>
      <c r="T23" s="7"/>
    </row>
    <row r="24" spans="1:20" x14ac:dyDescent="0.35">
      <c r="A24" t="s">
        <v>29</v>
      </c>
      <c r="B24" t="s">
        <v>4</v>
      </c>
      <c r="C24" t="s">
        <v>7</v>
      </c>
      <c r="D24">
        <f ca="1">'2BAS Calcs'!N24</f>
        <v>6.6727594777490705E-8</v>
      </c>
      <c r="T24" s="7"/>
    </row>
    <row r="25" spans="1:20" x14ac:dyDescent="0.35">
      <c r="A25" t="s">
        <v>30</v>
      </c>
      <c r="B25" t="s">
        <v>4</v>
      </c>
      <c r="C25" t="s">
        <v>7</v>
      </c>
      <c r="D25">
        <f ca="1">'2BAS Calcs'!N25</f>
        <v>6.6727594777490705E-8</v>
      </c>
      <c r="T25" s="7"/>
    </row>
    <row r="26" spans="1:20" x14ac:dyDescent="0.35">
      <c r="A26" t="s">
        <v>31</v>
      </c>
      <c r="B26" t="s">
        <v>4</v>
      </c>
      <c r="C26" t="s">
        <v>7</v>
      </c>
      <c r="D26">
        <f ca="1">'2BAS Calcs'!N26</f>
        <v>6.6727594777490705E-8</v>
      </c>
      <c r="T26" s="7"/>
    </row>
    <row r="27" spans="1:20" x14ac:dyDescent="0.35">
      <c r="A27" t="s">
        <v>32</v>
      </c>
      <c r="B27" t="s">
        <v>4</v>
      </c>
      <c r="C27" t="s">
        <v>7</v>
      </c>
      <c r="D27">
        <f ca="1">'2BAS Calcs'!N27</f>
        <v>6.6727594777490705E-8</v>
      </c>
      <c r="T27" s="7"/>
    </row>
    <row r="28" spans="1:20" x14ac:dyDescent="0.35">
      <c r="A28" t="s">
        <v>33</v>
      </c>
      <c r="B28" t="s">
        <v>4</v>
      </c>
      <c r="C28" t="s">
        <v>7</v>
      </c>
      <c r="D28">
        <f ca="1">'2BAS Calcs'!N28</f>
        <v>6.6727594777490705E-8</v>
      </c>
      <c r="T28" s="7"/>
    </row>
    <row r="29" spans="1:20" x14ac:dyDescent="0.35">
      <c r="A29" t="s">
        <v>34</v>
      </c>
      <c r="B29" t="s">
        <v>4</v>
      </c>
      <c r="C29" t="s">
        <v>7</v>
      </c>
      <c r="D29">
        <f ca="1">'2BAS Calcs'!N29</f>
        <v>6.6727594777490705E-8</v>
      </c>
      <c r="T29" s="7"/>
    </row>
    <row r="30" spans="1:20" x14ac:dyDescent="0.35">
      <c r="A30" t="s">
        <v>35</v>
      </c>
      <c r="B30" t="s">
        <v>4</v>
      </c>
      <c r="C30" t="s">
        <v>7</v>
      </c>
      <c r="D30">
        <f ca="1">'2BAS Calcs'!N30</f>
        <v>6.6727594777490705E-8</v>
      </c>
      <c r="T30" s="7"/>
    </row>
    <row r="31" spans="1:20" x14ac:dyDescent="0.35">
      <c r="A31" t="s">
        <v>36</v>
      </c>
      <c r="B31" t="s">
        <v>4</v>
      </c>
      <c r="C31" t="s">
        <v>7</v>
      </c>
      <c r="D31">
        <f ca="1">'2BAS Calcs'!N31</f>
        <v>6.6727594777490705E-8</v>
      </c>
      <c r="T31" s="7"/>
    </row>
    <row r="32" spans="1:20" x14ac:dyDescent="0.35">
      <c r="A32" t="s">
        <v>37</v>
      </c>
      <c r="B32" t="s">
        <v>4</v>
      </c>
      <c r="C32" t="s">
        <v>7</v>
      </c>
      <c r="D32">
        <f ca="1">'2BAS Calcs'!N32</f>
        <v>6.6727594777490705E-8</v>
      </c>
      <c r="T32" s="7"/>
    </row>
    <row r="33" spans="1:20" x14ac:dyDescent="0.35">
      <c r="A33" t="s">
        <v>38</v>
      </c>
      <c r="B33" t="s">
        <v>4</v>
      </c>
      <c r="C33" t="s">
        <v>7</v>
      </c>
      <c r="D33">
        <f ca="1">'2BAS Calcs'!N33</f>
        <v>6.6727594777490705E-8</v>
      </c>
      <c r="T33" s="7"/>
    </row>
    <row r="34" spans="1:20" x14ac:dyDescent="0.35">
      <c r="A34" t="s">
        <v>39</v>
      </c>
      <c r="B34" t="s">
        <v>4</v>
      </c>
      <c r="C34" t="s">
        <v>7</v>
      </c>
      <c r="D34">
        <f ca="1">'2BAS Calcs'!N34</f>
        <v>6.6727594777490705E-8</v>
      </c>
      <c r="T34" s="7"/>
    </row>
    <row r="35" spans="1:20" x14ac:dyDescent="0.35">
      <c r="A35" t="s">
        <v>7</v>
      </c>
      <c r="B35" t="s">
        <v>5</v>
      </c>
      <c r="C35" t="s">
        <v>7</v>
      </c>
      <c r="D35">
        <f ca="1">'2BAS Calcs'!N35</f>
        <v>0.6173519656112223</v>
      </c>
      <c r="T35" s="7"/>
    </row>
    <row r="36" spans="1:20" x14ac:dyDescent="0.35">
      <c r="A36" t="s">
        <v>8</v>
      </c>
      <c r="B36" t="s">
        <v>5</v>
      </c>
      <c r="C36" t="s">
        <v>7</v>
      </c>
      <c r="D36">
        <f ca="1">'2BAS Calcs'!N36</f>
        <v>0.9739540249491575</v>
      </c>
    </row>
    <row r="37" spans="1:20" x14ac:dyDescent="0.35">
      <c r="A37" t="s">
        <v>9</v>
      </c>
      <c r="B37" t="s">
        <v>5</v>
      </c>
      <c r="C37" t="s">
        <v>7</v>
      </c>
      <c r="D37">
        <f ca="1">'2BAS Calcs'!N37</f>
        <v>0.243713171384075</v>
      </c>
    </row>
    <row r="38" spans="1:20" x14ac:dyDescent="0.35">
      <c r="A38" t="s">
        <v>10</v>
      </c>
      <c r="B38" t="s">
        <v>5</v>
      </c>
      <c r="C38" t="s">
        <v>7</v>
      </c>
      <c r="D38">
        <f ca="1">'2BAS Calcs'!N38</f>
        <v>4.782631155222056</v>
      </c>
    </row>
    <row r="39" spans="1:20" x14ac:dyDescent="0.35">
      <c r="A39" t="s">
        <v>11</v>
      </c>
      <c r="B39" t="s">
        <v>5</v>
      </c>
      <c r="C39" t="s">
        <v>7</v>
      </c>
      <c r="D39">
        <f ca="1">'2BAS Calcs'!N39</f>
        <v>2.4925613827208966</v>
      </c>
    </row>
    <row r="40" spans="1:20" x14ac:dyDescent="0.35">
      <c r="A40" t="s">
        <v>12</v>
      </c>
      <c r="B40" t="s">
        <v>5</v>
      </c>
      <c r="C40" t="s">
        <v>7</v>
      </c>
      <c r="D40">
        <f ca="1">'2BAS Calcs'!N40</f>
        <v>4.4615024836500296E-2</v>
      </c>
    </row>
    <row r="41" spans="1:20" x14ac:dyDescent="0.35">
      <c r="A41" t="s">
        <v>13</v>
      </c>
      <c r="B41" t="s">
        <v>5</v>
      </c>
      <c r="C41" t="s">
        <v>7</v>
      </c>
      <c r="D41">
        <f ca="1">'2BAS Calcs'!N41</f>
        <v>0.64245185583468045</v>
      </c>
    </row>
    <row r="42" spans="1:20" x14ac:dyDescent="0.35">
      <c r="A42" t="s">
        <v>14</v>
      </c>
      <c r="B42" t="s">
        <v>5</v>
      </c>
      <c r="C42" t="s">
        <v>7</v>
      </c>
      <c r="D42">
        <f ca="1">'2BAS Calcs'!N42</f>
        <v>0.16177693182842734</v>
      </c>
    </row>
    <row r="43" spans="1:20" x14ac:dyDescent="0.35">
      <c r="A43" t="s">
        <v>15</v>
      </c>
      <c r="B43" t="s">
        <v>5</v>
      </c>
      <c r="C43" t="s">
        <v>7</v>
      </c>
      <c r="D43">
        <f ca="1">'2BAS Calcs'!N43</f>
        <v>2.217691615544561</v>
      </c>
    </row>
    <row r="44" spans="1:20" x14ac:dyDescent="0.35">
      <c r="A44" t="s">
        <v>16</v>
      </c>
      <c r="B44" t="s">
        <v>5</v>
      </c>
      <c r="C44" t="s">
        <v>7</v>
      </c>
      <c r="D44">
        <f ca="1">'2BAS Calcs'!N44</f>
        <v>1.6984570156523782</v>
      </c>
    </row>
    <row r="45" spans="1:20" x14ac:dyDescent="0.35">
      <c r="A45" t="s">
        <v>17</v>
      </c>
      <c r="B45" t="s">
        <v>5</v>
      </c>
      <c r="C45" t="s">
        <v>7</v>
      </c>
      <c r="D45">
        <f ca="1">'2BAS Calcs'!N45</f>
        <v>0.64114608278948737</v>
      </c>
    </row>
    <row r="46" spans="1:20" x14ac:dyDescent="0.35">
      <c r="A46" t="s">
        <v>18</v>
      </c>
      <c r="B46" t="s">
        <v>5</v>
      </c>
      <c r="C46" t="s">
        <v>7</v>
      </c>
      <c r="D46">
        <f ca="1">'2BAS Calcs'!N46</f>
        <v>8.025313830570342</v>
      </c>
    </row>
    <row r="47" spans="1:20" x14ac:dyDescent="0.35">
      <c r="A47" t="s">
        <v>19</v>
      </c>
      <c r="B47" t="s">
        <v>5</v>
      </c>
      <c r="C47" t="s">
        <v>7</v>
      </c>
      <c r="D47">
        <f ca="1">'2BAS Calcs'!N47</f>
        <v>30.743146519737326</v>
      </c>
    </row>
    <row r="48" spans="1:20" x14ac:dyDescent="0.35">
      <c r="A48" t="s">
        <v>20</v>
      </c>
      <c r="B48" t="s">
        <v>5</v>
      </c>
      <c r="C48" t="s">
        <v>7</v>
      </c>
      <c r="D48">
        <f ca="1">'2BAS Calcs'!N48</f>
        <v>16.483537374322914</v>
      </c>
    </row>
    <row r="49" spans="1:4" x14ac:dyDescent="0.35">
      <c r="A49" t="s">
        <v>21</v>
      </c>
      <c r="B49" t="s">
        <v>5</v>
      </c>
      <c r="C49" t="s">
        <v>7</v>
      </c>
      <c r="D49">
        <f ca="1">'2BAS Calcs'!N49</f>
        <v>26.305871594221529</v>
      </c>
    </row>
    <row r="50" spans="1:4" x14ac:dyDescent="0.35">
      <c r="A50" t="s">
        <v>22</v>
      </c>
      <c r="B50" t="s">
        <v>5</v>
      </c>
      <c r="C50" t="s">
        <v>7</v>
      </c>
      <c r="D50">
        <f ca="1">'2BAS Calcs'!N50</f>
        <v>9.9813597102052647</v>
      </c>
    </row>
    <row r="51" spans="1:4" x14ac:dyDescent="0.35">
      <c r="A51" t="s">
        <v>23</v>
      </c>
      <c r="B51" t="s">
        <v>5</v>
      </c>
      <c r="C51" t="s">
        <v>7</v>
      </c>
      <c r="D51">
        <f ca="1">'2BAS Calcs'!N51</f>
        <v>6.6727594777490705E-8</v>
      </c>
    </row>
    <row r="52" spans="1:4" x14ac:dyDescent="0.35">
      <c r="A52" t="s">
        <v>24</v>
      </c>
      <c r="B52" t="s">
        <v>5</v>
      </c>
      <c r="C52" t="s">
        <v>7</v>
      </c>
      <c r="D52">
        <f ca="1">'2BAS Calcs'!N52</f>
        <v>1.953908687770882</v>
      </c>
    </row>
    <row r="53" spans="1:4" x14ac:dyDescent="0.35">
      <c r="A53" t="s">
        <v>25</v>
      </c>
      <c r="B53" t="s">
        <v>5</v>
      </c>
      <c r="C53" t="s">
        <v>7</v>
      </c>
      <c r="D53">
        <f ca="1">'2BAS Calcs'!N53</f>
        <v>0.17095380973062682</v>
      </c>
    </row>
    <row r="54" spans="1:4" x14ac:dyDescent="0.35">
      <c r="A54" t="s">
        <v>26</v>
      </c>
      <c r="B54" t="s">
        <v>5</v>
      </c>
      <c r="C54" t="s">
        <v>7</v>
      </c>
      <c r="D54">
        <f ca="1">'2BAS Calcs'!N54</f>
        <v>6.6727594777490705E-8</v>
      </c>
    </row>
    <row r="55" spans="1:4" x14ac:dyDescent="0.35">
      <c r="A55" t="s">
        <v>27</v>
      </c>
      <c r="B55" t="s">
        <v>5</v>
      </c>
      <c r="C55" t="s">
        <v>7</v>
      </c>
      <c r="D55">
        <f ca="1">'2BAS Calcs'!N55</f>
        <v>6.6727594777490705E-8</v>
      </c>
    </row>
    <row r="56" spans="1:4" x14ac:dyDescent="0.35">
      <c r="A56" t="s">
        <v>28</v>
      </c>
      <c r="B56" t="s">
        <v>5</v>
      </c>
      <c r="C56" t="s">
        <v>7</v>
      </c>
      <c r="D56">
        <f ca="1">'2BAS Calcs'!N56</f>
        <v>6.6727594777490705E-8</v>
      </c>
    </row>
    <row r="57" spans="1:4" x14ac:dyDescent="0.35">
      <c r="A57" t="s">
        <v>29</v>
      </c>
      <c r="B57" t="s">
        <v>5</v>
      </c>
      <c r="C57" t="s">
        <v>7</v>
      </c>
      <c r="D57">
        <f ca="1">'2BAS Calcs'!N57</f>
        <v>6.6727594777490705E-8</v>
      </c>
    </row>
    <row r="58" spans="1:4" x14ac:dyDescent="0.35">
      <c r="A58" t="s">
        <v>30</v>
      </c>
      <c r="B58" t="s">
        <v>5</v>
      </c>
      <c r="C58" t="s">
        <v>7</v>
      </c>
      <c r="D58">
        <f ca="1">'2BAS Calcs'!N58</f>
        <v>6.6727594777490705E-8</v>
      </c>
    </row>
    <row r="59" spans="1:4" x14ac:dyDescent="0.35">
      <c r="A59" t="s">
        <v>31</v>
      </c>
      <c r="B59" t="s">
        <v>5</v>
      </c>
      <c r="C59" t="s">
        <v>7</v>
      </c>
      <c r="D59">
        <f ca="1">'2BAS Calcs'!N59</f>
        <v>6.6727594777490705E-8</v>
      </c>
    </row>
    <row r="60" spans="1:4" x14ac:dyDescent="0.35">
      <c r="A60" t="s">
        <v>32</v>
      </c>
      <c r="B60" t="s">
        <v>5</v>
      </c>
      <c r="C60" t="s">
        <v>7</v>
      </c>
      <c r="D60">
        <f ca="1">'2BAS Calcs'!N60</f>
        <v>6.6727594777490705E-8</v>
      </c>
    </row>
    <row r="61" spans="1:4" x14ac:dyDescent="0.35">
      <c r="A61" t="s">
        <v>33</v>
      </c>
      <c r="B61" t="s">
        <v>5</v>
      </c>
      <c r="C61" t="s">
        <v>7</v>
      </c>
      <c r="D61">
        <f ca="1">'2BAS Calcs'!N61</f>
        <v>6.6727594777490705E-8</v>
      </c>
    </row>
    <row r="62" spans="1:4" x14ac:dyDescent="0.35">
      <c r="A62" t="s">
        <v>34</v>
      </c>
      <c r="B62" t="s">
        <v>5</v>
      </c>
      <c r="C62" t="s">
        <v>7</v>
      </c>
      <c r="D62">
        <f ca="1">'2BAS Calcs'!N62</f>
        <v>6.6727594777490705E-8</v>
      </c>
    </row>
    <row r="63" spans="1:4" x14ac:dyDescent="0.35">
      <c r="A63" t="s">
        <v>35</v>
      </c>
      <c r="B63" t="s">
        <v>5</v>
      </c>
      <c r="C63" t="s">
        <v>7</v>
      </c>
      <c r="D63">
        <f ca="1">'2BAS Calcs'!N63</f>
        <v>6.6727594777490705E-8</v>
      </c>
    </row>
    <row r="64" spans="1:4" x14ac:dyDescent="0.35">
      <c r="A64" t="s">
        <v>36</v>
      </c>
      <c r="B64" t="s">
        <v>5</v>
      </c>
      <c r="C64" t="s">
        <v>7</v>
      </c>
      <c r="D64">
        <f ca="1">'2BAS Calcs'!N64</f>
        <v>6.6727594777490705E-8</v>
      </c>
    </row>
    <row r="65" spans="1:4" x14ac:dyDescent="0.35">
      <c r="A65" t="s">
        <v>37</v>
      </c>
      <c r="B65" t="s">
        <v>5</v>
      </c>
      <c r="C65" t="s">
        <v>7</v>
      </c>
      <c r="D65">
        <f ca="1">'2BAS Calcs'!N65</f>
        <v>6.6727594777490705E-8</v>
      </c>
    </row>
    <row r="66" spans="1:4" x14ac:dyDescent="0.35">
      <c r="A66" t="s">
        <v>38</v>
      </c>
      <c r="B66" t="s">
        <v>5</v>
      </c>
      <c r="C66" t="s">
        <v>7</v>
      </c>
      <c r="D66">
        <f ca="1">'2BAS Calcs'!N66</f>
        <v>6.6727594777490705E-8</v>
      </c>
    </row>
    <row r="67" spans="1:4" x14ac:dyDescent="0.35">
      <c r="A67" t="s">
        <v>39</v>
      </c>
      <c r="B67" t="s">
        <v>5</v>
      </c>
      <c r="C67" t="s">
        <v>7</v>
      </c>
      <c r="D67">
        <f ca="1">'2BAS Calcs'!N67</f>
        <v>6.6727594777490705E-8</v>
      </c>
    </row>
    <row r="68" spans="1:4" x14ac:dyDescent="0.35">
      <c r="A68" t="s">
        <v>7</v>
      </c>
      <c r="B68" t="s">
        <v>4</v>
      </c>
      <c r="C68" t="s">
        <v>8</v>
      </c>
      <c r="D68">
        <f ca="1">'2BAS Calcs'!N68</f>
        <v>0.81430738629537103</v>
      </c>
    </row>
    <row r="69" spans="1:4" x14ac:dyDescent="0.35">
      <c r="A69" t="s">
        <v>8</v>
      </c>
      <c r="B69" t="s">
        <v>4</v>
      </c>
      <c r="C69" t="s">
        <v>8</v>
      </c>
      <c r="D69">
        <f ca="1">'2BAS Calcs'!N69</f>
        <v>1.420491759495522</v>
      </c>
    </row>
    <row r="70" spans="1:4" x14ac:dyDescent="0.35">
      <c r="A70" t="s">
        <v>9</v>
      </c>
      <c r="B70" t="s">
        <v>4</v>
      </c>
      <c r="C70" t="s">
        <v>8</v>
      </c>
      <c r="D70">
        <f ca="1">'2BAS Calcs'!N70</f>
        <v>2.3918082036712693</v>
      </c>
    </row>
    <row r="71" spans="1:4" x14ac:dyDescent="0.35">
      <c r="A71" t="s">
        <v>10</v>
      </c>
      <c r="B71" t="s">
        <v>4</v>
      </c>
      <c r="C71" t="s">
        <v>8</v>
      </c>
      <c r="D71">
        <f ca="1">'2BAS Calcs'!N71</f>
        <v>12.458577411915885</v>
      </c>
    </row>
    <row r="72" spans="1:4" x14ac:dyDescent="0.35">
      <c r="A72" t="s">
        <v>11</v>
      </c>
      <c r="B72" t="s">
        <v>4</v>
      </c>
      <c r="C72" t="s">
        <v>8</v>
      </c>
      <c r="D72">
        <f ca="1">'2BAS Calcs'!N72</f>
        <v>8.8403799618890389E-2</v>
      </c>
    </row>
    <row r="73" spans="1:4" x14ac:dyDescent="0.35">
      <c r="A73" t="s">
        <v>12</v>
      </c>
      <c r="B73" t="s">
        <v>4</v>
      </c>
      <c r="C73" t="s">
        <v>8</v>
      </c>
      <c r="D73">
        <f ca="1">'2BAS Calcs'!N73</f>
        <v>0.54420654560367787</v>
      </c>
    </row>
    <row r="74" spans="1:4" x14ac:dyDescent="0.35">
      <c r="A74" t="s">
        <v>13</v>
      </c>
      <c r="B74" t="s">
        <v>4</v>
      </c>
      <c r="C74" t="s">
        <v>8</v>
      </c>
      <c r="D74">
        <f ca="1">'2BAS Calcs'!N74</f>
        <v>10.892609517678375</v>
      </c>
    </row>
    <row r="75" spans="1:4" x14ac:dyDescent="0.35">
      <c r="A75" t="s">
        <v>14</v>
      </c>
      <c r="B75" t="s">
        <v>4</v>
      </c>
      <c r="C75" t="s">
        <v>8</v>
      </c>
      <c r="D75">
        <f ca="1">'2BAS Calcs'!N75</f>
        <v>1.6598238965005341</v>
      </c>
    </row>
    <row r="76" spans="1:4" x14ac:dyDescent="0.35">
      <c r="A76" t="s">
        <v>15</v>
      </c>
      <c r="B76" t="s">
        <v>4</v>
      </c>
      <c r="C76" t="s">
        <v>8</v>
      </c>
      <c r="D76">
        <f ca="1">'2BAS Calcs'!N76</f>
        <v>10.336056386938635</v>
      </c>
    </row>
    <row r="77" spans="1:4" x14ac:dyDescent="0.35">
      <c r="A77" t="s">
        <v>16</v>
      </c>
      <c r="B77" t="s">
        <v>4</v>
      </c>
      <c r="C77" t="s">
        <v>8</v>
      </c>
      <c r="D77">
        <f ca="1">'2BAS Calcs'!N77</f>
        <v>16.180098904399919</v>
      </c>
    </row>
    <row r="78" spans="1:4" x14ac:dyDescent="0.35">
      <c r="A78" t="s">
        <v>17</v>
      </c>
      <c r="B78" t="s">
        <v>4</v>
      </c>
      <c r="C78" t="s">
        <v>8</v>
      </c>
      <c r="D78">
        <f ca="1">'2BAS Calcs'!N78</f>
        <v>14.988850577755224</v>
      </c>
    </row>
    <row r="79" spans="1:4" x14ac:dyDescent="0.35">
      <c r="A79" t="s">
        <v>18</v>
      </c>
      <c r="B79" t="s">
        <v>4</v>
      </c>
      <c r="C79" t="s">
        <v>8</v>
      </c>
      <c r="D79">
        <f ca="1">'2BAS Calcs'!N79</f>
        <v>43.839794189970178</v>
      </c>
    </row>
    <row r="80" spans="1:4" x14ac:dyDescent="0.35">
      <c r="A80" t="s">
        <v>19</v>
      </c>
      <c r="B80" t="s">
        <v>4</v>
      </c>
      <c r="C80" t="s">
        <v>8</v>
      </c>
      <c r="D80">
        <f ca="1">'2BAS Calcs'!N80</f>
        <v>63.4546460269314</v>
      </c>
    </row>
    <row r="81" spans="1:4" x14ac:dyDescent="0.35">
      <c r="A81" t="s">
        <v>20</v>
      </c>
      <c r="B81" t="s">
        <v>4</v>
      </c>
      <c r="C81" t="s">
        <v>8</v>
      </c>
      <c r="D81">
        <f ca="1">'2BAS Calcs'!N81</f>
        <v>13.199944092851993</v>
      </c>
    </row>
    <row r="82" spans="1:4" x14ac:dyDescent="0.35">
      <c r="A82" t="s">
        <v>21</v>
      </c>
      <c r="B82" t="s">
        <v>4</v>
      </c>
      <c r="C82" t="s">
        <v>8</v>
      </c>
      <c r="D82">
        <f ca="1">'2BAS Calcs'!N82</f>
        <v>19.067423829535819</v>
      </c>
    </row>
    <row r="83" spans="1:4" x14ac:dyDescent="0.35">
      <c r="A83" t="s">
        <v>22</v>
      </c>
      <c r="B83" t="s">
        <v>4</v>
      </c>
      <c r="C83" t="s">
        <v>8</v>
      </c>
      <c r="D83">
        <f ca="1">'2BAS Calcs'!N83</f>
        <v>51.919357042904856</v>
      </c>
    </row>
    <row r="84" spans="1:4" x14ac:dyDescent="0.35">
      <c r="A84" t="s">
        <v>23</v>
      </c>
      <c r="B84" t="s">
        <v>4</v>
      </c>
      <c r="C84" t="s">
        <v>8</v>
      </c>
      <c r="D84">
        <f ca="1">'2BAS Calcs'!N84</f>
        <v>1.1847653011413519E-6</v>
      </c>
    </row>
    <row r="85" spans="1:4" x14ac:dyDescent="0.35">
      <c r="A85" t="s">
        <v>24</v>
      </c>
      <c r="B85" t="s">
        <v>4</v>
      </c>
      <c r="C85" t="s">
        <v>8</v>
      </c>
      <c r="D85">
        <f ca="1">'2BAS Calcs'!N85</f>
        <v>1724.6800327888973</v>
      </c>
    </row>
    <row r="86" spans="1:4" x14ac:dyDescent="0.35">
      <c r="A86" t="s">
        <v>25</v>
      </c>
      <c r="B86" t="s">
        <v>4</v>
      </c>
      <c r="C86" t="s">
        <v>8</v>
      </c>
      <c r="D86">
        <f ca="1">'2BAS Calcs'!N86</f>
        <v>275.76483870021588</v>
      </c>
    </row>
    <row r="87" spans="1:4" x14ac:dyDescent="0.35">
      <c r="A87" t="s">
        <v>26</v>
      </c>
      <c r="B87" t="s">
        <v>4</v>
      </c>
      <c r="C87" t="s">
        <v>8</v>
      </c>
      <c r="D87">
        <f ca="1">'2BAS Calcs'!N87</f>
        <v>1.1847653011413519E-6</v>
      </c>
    </row>
    <row r="88" spans="1:4" x14ac:dyDescent="0.35">
      <c r="A88" t="s">
        <v>27</v>
      </c>
      <c r="B88" t="s">
        <v>4</v>
      </c>
      <c r="C88" t="s">
        <v>8</v>
      </c>
      <c r="D88">
        <f ca="1">'2BAS Calcs'!N88</f>
        <v>1.1847653011413519E-6</v>
      </c>
    </row>
    <row r="89" spans="1:4" x14ac:dyDescent="0.35">
      <c r="A89" t="s">
        <v>28</v>
      </c>
      <c r="B89" t="s">
        <v>4</v>
      </c>
      <c r="C89" t="s">
        <v>8</v>
      </c>
      <c r="D89">
        <f ca="1">'2BAS Calcs'!N89</f>
        <v>1.1847653011413519E-6</v>
      </c>
    </row>
    <row r="90" spans="1:4" x14ac:dyDescent="0.35">
      <c r="A90" t="s">
        <v>29</v>
      </c>
      <c r="B90" t="s">
        <v>4</v>
      </c>
      <c r="C90" t="s">
        <v>8</v>
      </c>
      <c r="D90">
        <f ca="1">'2BAS Calcs'!N90</f>
        <v>1.1847653011413519E-6</v>
      </c>
    </row>
    <row r="91" spans="1:4" x14ac:dyDescent="0.35">
      <c r="A91" t="s">
        <v>30</v>
      </c>
      <c r="B91" t="s">
        <v>4</v>
      </c>
      <c r="C91" t="s">
        <v>8</v>
      </c>
      <c r="D91">
        <f ca="1">'2BAS Calcs'!N91</f>
        <v>1.1847653011413519E-6</v>
      </c>
    </row>
    <row r="92" spans="1:4" x14ac:dyDescent="0.35">
      <c r="A92" t="s">
        <v>31</v>
      </c>
      <c r="B92" t="s">
        <v>4</v>
      </c>
      <c r="C92" t="s">
        <v>8</v>
      </c>
      <c r="D92">
        <f ca="1">'2BAS Calcs'!N92</f>
        <v>1.1847653011413519E-6</v>
      </c>
    </row>
    <row r="93" spans="1:4" x14ac:dyDescent="0.35">
      <c r="A93" t="s">
        <v>32</v>
      </c>
      <c r="B93" t="s">
        <v>4</v>
      </c>
      <c r="C93" t="s">
        <v>8</v>
      </c>
      <c r="D93">
        <f ca="1">'2BAS Calcs'!N93</f>
        <v>1.1847653011413519E-6</v>
      </c>
    </row>
    <row r="94" spans="1:4" x14ac:dyDescent="0.35">
      <c r="A94" t="s">
        <v>33</v>
      </c>
      <c r="B94" t="s">
        <v>4</v>
      </c>
      <c r="C94" t="s">
        <v>8</v>
      </c>
      <c r="D94">
        <f ca="1">'2BAS Calcs'!N94</f>
        <v>1.1847653011413519E-6</v>
      </c>
    </row>
    <row r="95" spans="1:4" x14ac:dyDescent="0.35">
      <c r="A95" t="s">
        <v>34</v>
      </c>
      <c r="B95" t="s">
        <v>4</v>
      </c>
      <c r="C95" t="s">
        <v>8</v>
      </c>
      <c r="D95">
        <f ca="1">'2BAS Calcs'!N95</f>
        <v>1.1847653011413519E-6</v>
      </c>
    </row>
    <row r="96" spans="1:4" x14ac:dyDescent="0.35">
      <c r="A96" t="s">
        <v>35</v>
      </c>
      <c r="B96" t="s">
        <v>4</v>
      </c>
      <c r="C96" t="s">
        <v>8</v>
      </c>
      <c r="D96">
        <f ca="1">'2BAS Calcs'!N96</f>
        <v>1.1847653011413519E-6</v>
      </c>
    </row>
    <row r="97" spans="1:4" x14ac:dyDescent="0.35">
      <c r="A97" t="s">
        <v>36</v>
      </c>
      <c r="B97" t="s">
        <v>4</v>
      </c>
      <c r="C97" t="s">
        <v>8</v>
      </c>
      <c r="D97">
        <f ca="1">'2BAS Calcs'!N97</f>
        <v>1.1847653011413519E-6</v>
      </c>
    </row>
    <row r="98" spans="1:4" x14ac:dyDescent="0.35">
      <c r="A98" t="s">
        <v>37</v>
      </c>
      <c r="B98" t="s">
        <v>4</v>
      </c>
      <c r="C98" t="s">
        <v>8</v>
      </c>
      <c r="D98">
        <f ca="1">'2BAS Calcs'!N98</f>
        <v>1.1847653011413519E-6</v>
      </c>
    </row>
    <row r="99" spans="1:4" x14ac:dyDescent="0.35">
      <c r="A99" t="s">
        <v>38</v>
      </c>
      <c r="B99" t="s">
        <v>4</v>
      </c>
      <c r="C99" t="s">
        <v>8</v>
      </c>
      <c r="D99">
        <f ca="1">'2BAS Calcs'!N99</f>
        <v>1.1847653011413519E-6</v>
      </c>
    </row>
    <row r="100" spans="1:4" x14ac:dyDescent="0.35">
      <c r="A100" t="s">
        <v>39</v>
      </c>
      <c r="B100" t="s">
        <v>4</v>
      </c>
      <c r="C100" t="s">
        <v>8</v>
      </c>
      <c r="D100">
        <f ca="1">'2BAS Calcs'!N100</f>
        <v>1.1847653011413519E-6</v>
      </c>
    </row>
    <row r="101" spans="1:4" x14ac:dyDescent="0.35">
      <c r="A101" t="s">
        <v>7</v>
      </c>
      <c r="B101" t="s">
        <v>5</v>
      </c>
      <c r="C101" t="s">
        <v>8</v>
      </c>
      <c r="D101">
        <f ca="1">'2BAS Calcs'!N101</f>
        <v>10.961240096942849</v>
      </c>
    </row>
    <row r="102" spans="1:4" x14ac:dyDescent="0.35">
      <c r="A102" t="s">
        <v>8</v>
      </c>
      <c r="B102" t="s">
        <v>5</v>
      </c>
      <c r="C102" t="s">
        <v>8</v>
      </c>
      <c r="D102">
        <f ca="1">'2BAS Calcs'!N102</f>
        <v>17.292799740714901</v>
      </c>
    </row>
    <row r="103" spans="1:4" x14ac:dyDescent="0.35">
      <c r="A103" t="s">
        <v>9</v>
      </c>
      <c r="B103" t="s">
        <v>5</v>
      </c>
      <c r="C103" t="s">
        <v>8</v>
      </c>
      <c r="D103">
        <f ca="1">'2BAS Calcs'!N103</f>
        <v>4.327188921611925</v>
      </c>
    </row>
    <row r="104" spans="1:4" x14ac:dyDescent="0.35">
      <c r="A104" t="s">
        <v>10</v>
      </c>
      <c r="B104" t="s">
        <v>5</v>
      </c>
      <c r="C104" t="s">
        <v>8</v>
      </c>
      <c r="D104">
        <f ca="1">'2BAS Calcs'!N104</f>
        <v>84.916824287754636</v>
      </c>
    </row>
    <row r="105" spans="1:4" x14ac:dyDescent="0.35">
      <c r="A105" t="s">
        <v>11</v>
      </c>
      <c r="B105" t="s">
        <v>5</v>
      </c>
      <c r="C105" t="s">
        <v>8</v>
      </c>
      <c r="D105">
        <f ca="1">'2BAS Calcs'!N105</f>
        <v>44.256056989016493</v>
      </c>
    </row>
    <row r="106" spans="1:4" x14ac:dyDescent="0.35">
      <c r="A106" t="s">
        <v>12</v>
      </c>
      <c r="B106" t="s">
        <v>5</v>
      </c>
      <c r="C106" t="s">
        <v>8</v>
      </c>
      <c r="D106">
        <f ca="1">'2BAS Calcs'!N106</f>
        <v>0.79215103604597381</v>
      </c>
    </row>
    <row r="107" spans="1:4" x14ac:dyDescent="0.35">
      <c r="A107" t="s">
        <v>13</v>
      </c>
      <c r="B107" t="s">
        <v>5</v>
      </c>
      <c r="C107" t="s">
        <v>8</v>
      </c>
      <c r="D107">
        <f ca="1">'2BAS Calcs'!N107</f>
        <v>11.40689498827188</v>
      </c>
    </row>
    <row r="108" spans="1:4" x14ac:dyDescent="0.35">
      <c r="A108" t="s">
        <v>14</v>
      </c>
      <c r="B108" t="s">
        <v>5</v>
      </c>
      <c r="C108" t="s">
        <v>8</v>
      </c>
      <c r="D108">
        <f ca="1">'2BAS Calcs'!N108</f>
        <v>2.8723902906221066</v>
      </c>
    </row>
    <row r="109" spans="1:4" x14ac:dyDescent="0.35">
      <c r="A109" t="s">
        <v>15</v>
      </c>
      <c r="B109" t="s">
        <v>5</v>
      </c>
      <c r="C109" t="s">
        <v>8</v>
      </c>
      <c r="D109">
        <f ca="1">'2BAS Calcs'!N109</f>
        <v>39.375674838734362</v>
      </c>
    </row>
    <row r="110" spans="1:4" x14ac:dyDescent="0.35">
      <c r="A110" t="s">
        <v>16</v>
      </c>
      <c r="B110" t="s">
        <v>5</v>
      </c>
      <c r="C110" t="s">
        <v>8</v>
      </c>
      <c r="D110">
        <f ca="1">'2BAS Calcs'!N110</f>
        <v>30.156533355280388</v>
      </c>
    </row>
    <row r="111" spans="1:4" x14ac:dyDescent="0.35">
      <c r="A111" t="s">
        <v>17</v>
      </c>
      <c r="B111" t="s">
        <v>5</v>
      </c>
      <c r="C111" t="s">
        <v>8</v>
      </c>
      <c r="D111">
        <f ca="1">'2BAS Calcs'!N111</f>
        <v>11.383710658006882</v>
      </c>
    </row>
    <row r="112" spans="1:4" x14ac:dyDescent="0.35">
      <c r="A112" t="s">
        <v>18</v>
      </c>
      <c r="B112" t="s">
        <v>5</v>
      </c>
      <c r="C112" t="s">
        <v>8</v>
      </c>
      <c r="D112">
        <f ca="1">'2BAS Calcs'!N112</f>
        <v>142.49147431336627</v>
      </c>
    </row>
    <row r="113" spans="1:4" x14ac:dyDescent="0.35">
      <c r="A113" t="s">
        <v>19</v>
      </c>
      <c r="B113" t="s">
        <v>5</v>
      </c>
      <c r="C113" t="s">
        <v>8</v>
      </c>
      <c r="D113">
        <f ca="1">'2BAS Calcs'!N113</f>
        <v>545.85233239631248</v>
      </c>
    </row>
    <row r="114" spans="1:4" x14ac:dyDescent="0.35">
      <c r="A114" t="s">
        <v>20</v>
      </c>
      <c r="B114" t="s">
        <v>5</v>
      </c>
      <c r="C114" t="s">
        <v>8</v>
      </c>
      <c r="D114">
        <f ca="1">'2BAS Calcs'!N114</f>
        <v>292.66936994036837</v>
      </c>
    </row>
    <row r="115" spans="1:4" x14ac:dyDescent="0.35">
      <c r="A115" t="s">
        <v>21</v>
      </c>
      <c r="B115" t="s">
        <v>5</v>
      </c>
      <c r="C115" t="s">
        <v>8</v>
      </c>
      <c r="D115">
        <f ca="1">'2BAS Calcs'!N115</f>
        <v>467.0673952064426</v>
      </c>
    </row>
    <row r="116" spans="1:4" x14ac:dyDescent="0.35">
      <c r="A116" t="s">
        <v>22</v>
      </c>
      <c r="B116" t="s">
        <v>5</v>
      </c>
      <c r="C116" t="s">
        <v>8</v>
      </c>
      <c r="D116">
        <f ca="1">'2BAS Calcs'!N116</f>
        <v>177.22156301744343</v>
      </c>
    </row>
    <row r="117" spans="1:4" x14ac:dyDescent="0.35">
      <c r="A117" t="s">
        <v>23</v>
      </c>
      <c r="B117" t="s">
        <v>5</v>
      </c>
      <c r="C117" t="s">
        <v>8</v>
      </c>
      <c r="D117">
        <f ca="1">'2BAS Calcs'!N117</f>
        <v>1.1847653011413519E-6</v>
      </c>
    </row>
    <row r="118" spans="1:4" x14ac:dyDescent="0.35">
      <c r="A118" t="s">
        <v>24</v>
      </c>
      <c r="B118" t="s">
        <v>5</v>
      </c>
      <c r="C118" t="s">
        <v>8</v>
      </c>
      <c r="D118">
        <f ca="1">'2BAS Calcs'!N118</f>
        <v>34.692142322661219</v>
      </c>
    </row>
    <row r="119" spans="1:4" x14ac:dyDescent="0.35">
      <c r="A119" t="s">
        <v>25</v>
      </c>
      <c r="B119" t="s">
        <v>5</v>
      </c>
      <c r="C119" t="s">
        <v>8</v>
      </c>
      <c r="D119">
        <f ca="1">'2BAS Calcs'!N119</f>
        <v>3.0353280759205568</v>
      </c>
    </row>
    <row r="120" spans="1:4" x14ac:dyDescent="0.35">
      <c r="A120" t="s">
        <v>26</v>
      </c>
      <c r="B120" t="s">
        <v>5</v>
      </c>
      <c r="C120" t="s">
        <v>8</v>
      </c>
      <c r="D120">
        <f ca="1">'2BAS Calcs'!N120</f>
        <v>1.1847653011413519E-6</v>
      </c>
    </row>
    <row r="121" spans="1:4" x14ac:dyDescent="0.35">
      <c r="A121" t="s">
        <v>27</v>
      </c>
      <c r="B121" t="s">
        <v>5</v>
      </c>
      <c r="C121" t="s">
        <v>8</v>
      </c>
      <c r="D121">
        <f ca="1">'2BAS Calcs'!N121</f>
        <v>1.1847653011413519E-6</v>
      </c>
    </row>
    <row r="122" spans="1:4" x14ac:dyDescent="0.35">
      <c r="A122" t="s">
        <v>28</v>
      </c>
      <c r="B122" t="s">
        <v>5</v>
      </c>
      <c r="C122" t="s">
        <v>8</v>
      </c>
      <c r="D122">
        <f ca="1">'2BAS Calcs'!N122</f>
        <v>1.1847653011413519E-6</v>
      </c>
    </row>
    <row r="123" spans="1:4" x14ac:dyDescent="0.35">
      <c r="A123" t="s">
        <v>29</v>
      </c>
      <c r="B123" t="s">
        <v>5</v>
      </c>
      <c r="C123" t="s">
        <v>8</v>
      </c>
      <c r="D123">
        <f ca="1">'2BAS Calcs'!N123</f>
        <v>1.1847653011413519E-6</v>
      </c>
    </row>
    <row r="124" spans="1:4" x14ac:dyDescent="0.35">
      <c r="A124" t="s">
        <v>30</v>
      </c>
      <c r="B124" t="s">
        <v>5</v>
      </c>
      <c r="C124" t="s">
        <v>8</v>
      </c>
      <c r="D124">
        <f ca="1">'2BAS Calcs'!N124</f>
        <v>1.1847653011413519E-6</v>
      </c>
    </row>
    <row r="125" spans="1:4" x14ac:dyDescent="0.35">
      <c r="A125" t="s">
        <v>31</v>
      </c>
      <c r="B125" t="s">
        <v>5</v>
      </c>
      <c r="C125" t="s">
        <v>8</v>
      </c>
      <c r="D125">
        <f ca="1">'2BAS Calcs'!N125</f>
        <v>1.1847653011413519E-6</v>
      </c>
    </row>
    <row r="126" spans="1:4" x14ac:dyDescent="0.35">
      <c r="A126" t="s">
        <v>32</v>
      </c>
      <c r="B126" t="s">
        <v>5</v>
      </c>
      <c r="C126" t="s">
        <v>8</v>
      </c>
      <c r="D126">
        <f ca="1">'2BAS Calcs'!N126</f>
        <v>1.1847653011413519E-6</v>
      </c>
    </row>
    <row r="127" spans="1:4" x14ac:dyDescent="0.35">
      <c r="A127" t="s">
        <v>33</v>
      </c>
      <c r="B127" t="s">
        <v>5</v>
      </c>
      <c r="C127" t="s">
        <v>8</v>
      </c>
      <c r="D127">
        <f ca="1">'2BAS Calcs'!N127</f>
        <v>1.1847653011413519E-6</v>
      </c>
    </row>
    <row r="128" spans="1:4" x14ac:dyDescent="0.35">
      <c r="A128" t="s">
        <v>34</v>
      </c>
      <c r="B128" t="s">
        <v>5</v>
      </c>
      <c r="C128" t="s">
        <v>8</v>
      </c>
      <c r="D128">
        <f ca="1">'2BAS Calcs'!N128</f>
        <v>1.1847653011413519E-6</v>
      </c>
    </row>
    <row r="129" spans="1:4" x14ac:dyDescent="0.35">
      <c r="A129" t="s">
        <v>35</v>
      </c>
      <c r="B129" t="s">
        <v>5</v>
      </c>
      <c r="C129" t="s">
        <v>8</v>
      </c>
      <c r="D129">
        <f ca="1">'2BAS Calcs'!N129</f>
        <v>1.1847653011413519E-6</v>
      </c>
    </row>
    <row r="130" spans="1:4" x14ac:dyDescent="0.35">
      <c r="A130" t="s">
        <v>36</v>
      </c>
      <c r="B130" t="s">
        <v>5</v>
      </c>
      <c r="C130" t="s">
        <v>8</v>
      </c>
      <c r="D130">
        <f ca="1">'2BAS Calcs'!N130</f>
        <v>1.1847653011413519E-6</v>
      </c>
    </row>
    <row r="131" spans="1:4" x14ac:dyDescent="0.35">
      <c r="A131" t="s">
        <v>37</v>
      </c>
      <c r="B131" t="s">
        <v>5</v>
      </c>
      <c r="C131" t="s">
        <v>8</v>
      </c>
      <c r="D131">
        <f ca="1">'2BAS Calcs'!N131</f>
        <v>1.1847653011413519E-6</v>
      </c>
    </row>
    <row r="132" spans="1:4" x14ac:dyDescent="0.35">
      <c r="A132" t="s">
        <v>38</v>
      </c>
      <c r="B132" t="s">
        <v>5</v>
      </c>
      <c r="C132" t="s">
        <v>8</v>
      </c>
      <c r="D132">
        <f ca="1">'2BAS Calcs'!N132</f>
        <v>1.1847653011413519E-6</v>
      </c>
    </row>
    <row r="133" spans="1:4" x14ac:dyDescent="0.35">
      <c r="A133" t="s">
        <v>39</v>
      </c>
      <c r="B133" t="s">
        <v>5</v>
      </c>
      <c r="C133" t="s">
        <v>8</v>
      </c>
      <c r="D133">
        <f ca="1">'2BAS Calcs'!N133</f>
        <v>1.1847653011413519E-6</v>
      </c>
    </row>
    <row r="134" spans="1:4" x14ac:dyDescent="0.35">
      <c r="A134" t="s">
        <v>7</v>
      </c>
      <c r="B134" t="s">
        <v>4</v>
      </c>
      <c r="C134" t="s">
        <v>9</v>
      </c>
      <c r="D134">
        <f ca="1">'2BAS Calcs'!N134</f>
        <v>0.37628344871884889</v>
      </c>
    </row>
    <row r="135" spans="1:4" x14ac:dyDescent="0.35">
      <c r="A135" t="s">
        <v>8</v>
      </c>
      <c r="B135" t="s">
        <v>4</v>
      </c>
      <c r="C135" t="s">
        <v>9</v>
      </c>
      <c r="D135">
        <f ca="1">'2BAS Calcs'!N135</f>
        <v>0.65639529634058913</v>
      </c>
    </row>
    <row r="136" spans="1:4" x14ac:dyDescent="0.35">
      <c r="A136" t="s">
        <v>9</v>
      </c>
      <c r="B136" t="s">
        <v>4</v>
      </c>
      <c r="C136" t="s">
        <v>9</v>
      </c>
      <c r="D136">
        <f ca="1">'2BAS Calcs'!N136</f>
        <v>1.105231089264622</v>
      </c>
    </row>
    <row r="137" spans="1:4" x14ac:dyDescent="0.35">
      <c r="A137" t="s">
        <v>10</v>
      </c>
      <c r="B137" t="s">
        <v>4</v>
      </c>
      <c r="C137" t="s">
        <v>9</v>
      </c>
      <c r="D137">
        <f ca="1">'2BAS Calcs'!N137</f>
        <v>5.7569863095727989</v>
      </c>
    </row>
    <row r="138" spans="1:4" x14ac:dyDescent="0.35">
      <c r="A138" t="s">
        <v>11</v>
      </c>
      <c r="B138" t="s">
        <v>4</v>
      </c>
      <c r="C138" t="s">
        <v>9</v>
      </c>
      <c r="D138">
        <f ca="1">'2BAS Calcs'!N138</f>
        <v>4.0850527896820615E-2</v>
      </c>
    </row>
    <row r="139" spans="1:4" x14ac:dyDescent="0.35">
      <c r="A139" t="s">
        <v>12</v>
      </c>
      <c r="B139" t="s">
        <v>4</v>
      </c>
      <c r="C139" t="s">
        <v>9</v>
      </c>
      <c r="D139">
        <f ca="1">'2BAS Calcs'!N139</f>
        <v>0.2514725019586716</v>
      </c>
    </row>
    <row r="140" spans="1:4" x14ac:dyDescent="0.35">
      <c r="A140" t="s">
        <v>13</v>
      </c>
      <c r="B140" t="s">
        <v>4</v>
      </c>
      <c r="C140" t="s">
        <v>9</v>
      </c>
      <c r="D140">
        <f ca="1">'2BAS Calcs'!N140</f>
        <v>5.0333679195844416</v>
      </c>
    </row>
    <row r="141" spans="1:4" x14ac:dyDescent="0.35">
      <c r="A141" t="s">
        <v>14</v>
      </c>
      <c r="B141" t="s">
        <v>4</v>
      </c>
      <c r="C141" t="s">
        <v>9</v>
      </c>
      <c r="D141">
        <f ca="1">'2BAS Calcs'!N141</f>
        <v>0.76698832719986221</v>
      </c>
    </row>
    <row r="142" spans="1:4" x14ac:dyDescent="0.35">
      <c r="A142" t="s">
        <v>15</v>
      </c>
      <c r="B142" t="s">
        <v>4</v>
      </c>
      <c r="C142" t="s">
        <v>9</v>
      </c>
      <c r="D142">
        <f ca="1">'2BAS Calcs'!N142</f>
        <v>4.7761901818473813</v>
      </c>
    </row>
    <row r="143" spans="1:4" x14ac:dyDescent="0.35">
      <c r="A143" t="s">
        <v>16</v>
      </c>
      <c r="B143" t="s">
        <v>4</v>
      </c>
      <c r="C143" t="s">
        <v>9</v>
      </c>
      <c r="D143">
        <f ca="1">'2BAS Calcs'!N143</f>
        <v>7.4766648550959847</v>
      </c>
    </row>
    <row r="144" spans="1:4" x14ac:dyDescent="0.35">
      <c r="A144" t="s">
        <v>17</v>
      </c>
      <c r="B144" t="s">
        <v>4</v>
      </c>
      <c r="C144" t="s">
        <v>9</v>
      </c>
      <c r="D144">
        <f ca="1">'2BAS Calcs'!N144</f>
        <v>6.9262006984711881</v>
      </c>
    </row>
    <row r="145" spans="1:4" x14ac:dyDescent="0.35">
      <c r="A145" t="s">
        <v>18</v>
      </c>
      <c r="B145" t="s">
        <v>4</v>
      </c>
      <c r="C145" t="s">
        <v>9</v>
      </c>
      <c r="D145">
        <f ca="1">'2BAS Calcs'!N145</f>
        <v>20.25793849663415</v>
      </c>
    </row>
    <row r="146" spans="1:4" x14ac:dyDescent="0.35">
      <c r="A146" t="s">
        <v>19</v>
      </c>
      <c r="B146" t="s">
        <v>4</v>
      </c>
      <c r="C146" t="s">
        <v>9</v>
      </c>
      <c r="D146">
        <f ca="1">'2BAS Calcs'!N146</f>
        <v>29.321768961072337</v>
      </c>
    </row>
    <row r="147" spans="1:4" x14ac:dyDescent="0.35">
      <c r="A147" t="s">
        <v>20</v>
      </c>
      <c r="B147" t="s">
        <v>4</v>
      </c>
      <c r="C147" t="s">
        <v>9</v>
      </c>
      <c r="D147">
        <f ca="1">'2BAS Calcs'!N147</f>
        <v>6.0995645744427902</v>
      </c>
    </row>
    <row r="148" spans="1:4" x14ac:dyDescent="0.35">
      <c r="A148" t="s">
        <v>21</v>
      </c>
      <c r="B148" t="s">
        <v>4</v>
      </c>
      <c r="C148" t="s">
        <v>9</v>
      </c>
      <c r="D148">
        <f ca="1">'2BAS Calcs'!N148</f>
        <v>8.8108693565984968</v>
      </c>
    </row>
    <row r="149" spans="1:4" x14ac:dyDescent="0.35">
      <c r="A149" t="s">
        <v>22</v>
      </c>
      <c r="B149" t="s">
        <v>4</v>
      </c>
      <c r="C149" t="s">
        <v>9</v>
      </c>
      <c r="D149">
        <f ca="1">'2BAS Calcs'!N149</f>
        <v>23.991425169614171</v>
      </c>
    </row>
    <row r="150" spans="1:4" x14ac:dyDescent="0.35">
      <c r="A150" t="s">
        <v>23</v>
      </c>
      <c r="B150" t="s">
        <v>4</v>
      </c>
      <c r="C150" t="s">
        <v>9</v>
      </c>
      <c r="D150">
        <f ca="1">'2BAS Calcs'!N150</f>
        <v>5.4746841418700723E-7</v>
      </c>
    </row>
    <row r="151" spans="1:4" x14ac:dyDescent="0.35">
      <c r="A151" t="s">
        <v>24</v>
      </c>
      <c r="B151" t="s">
        <v>4</v>
      </c>
      <c r="C151" t="s">
        <v>9</v>
      </c>
      <c r="D151">
        <f ca="1">'2BAS Calcs'!N151</f>
        <v>796.95771105156768</v>
      </c>
    </row>
    <row r="152" spans="1:4" x14ac:dyDescent="0.35">
      <c r="A152" t="s">
        <v>25</v>
      </c>
      <c r="B152" t="s">
        <v>4</v>
      </c>
      <c r="C152" t="s">
        <v>9</v>
      </c>
      <c r="D152">
        <f ca="1">'2BAS Calcs'!N152</f>
        <v>127.42822463343801</v>
      </c>
    </row>
    <row r="153" spans="1:4" x14ac:dyDescent="0.35">
      <c r="A153" t="s">
        <v>26</v>
      </c>
      <c r="B153" t="s">
        <v>4</v>
      </c>
      <c r="C153" t="s">
        <v>9</v>
      </c>
      <c r="D153">
        <f ca="1">'2BAS Calcs'!N153</f>
        <v>5.4746841418700723E-7</v>
      </c>
    </row>
    <row r="154" spans="1:4" x14ac:dyDescent="0.35">
      <c r="A154" t="s">
        <v>27</v>
      </c>
      <c r="B154" t="s">
        <v>4</v>
      </c>
      <c r="C154" t="s">
        <v>9</v>
      </c>
      <c r="D154">
        <f ca="1">'2BAS Calcs'!N154</f>
        <v>5.4746841418700723E-7</v>
      </c>
    </row>
    <row r="155" spans="1:4" x14ac:dyDescent="0.35">
      <c r="A155" t="s">
        <v>28</v>
      </c>
      <c r="B155" t="s">
        <v>4</v>
      </c>
      <c r="C155" t="s">
        <v>9</v>
      </c>
      <c r="D155">
        <f ca="1">'2BAS Calcs'!N155</f>
        <v>5.4746841418700723E-7</v>
      </c>
    </row>
    <row r="156" spans="1:4" x14ac:dyDescent="0.35">
      <c r="A156" t="s">
        <v>29</v>
      </c>
      <c r="B156" t="s">
        <v>4</v>
      </c>
      <c r="C156" t="s">
        <v>9</v>
      </c>
      <c r="D156">
        <f ca="1">'2BAS Calcs'!N156</f>
        <v>5.4746841418700723E-7</v>
      </c>
    </row>
    <row r="157" spans="1:4" x14ac:dyDescent="0.35">
      <c r="A157" t="s">
        <v>30</v>
      </c>
      <c r="B157" t="s">
        <v>4</v>
      </c>
      <c r="C157" t="s">
        <v>9</v>
      </c>
      <c r="D157">
        <f ca="1">'2BAS Calcs'!N157</f>
        <v>5.4746841418700723E-7</v>
      </c>
    </row>
    <row r="158" spans="1:4" x14ac:dyDescent="0.35">
      <c r="A158" t="s">
        <v>31</v>
      </c>
      <c r="B158" t="s">
        <v>4</v>
      </c>
      <c r="C158" t="s">
        <v>9</v>
      </c>
      <c r="D158">
        <f ca="1">'2BAS Calcs'!N158</f>
        <v>5.4746841418700723E-7</v>
      </c>
    </row>
    <row r="159" spans="1:4" x14ac:dyDescent="0.35">
      <c r="A159" t="s">
        <v>32</v>
      </c>
      <c r="B159" t="s">
        <v>4</v>
      </c>
      <c r="C159" t="s">
        <v>9</v>
      </c>
      <c r="D159">
        <f ca="1">'2BAS Calcs'!N159</f>
        <v>5.4746841418700723E-7</v>
      </c>
    </row>
    <row r="160" spans="1:4" x14ac:dyDescent="0.35">
      <c r="A160" t="s">
        <v>33</v>
      </c>
      <c r="B160" t="s">
        <v>4</v>
      </c>
      <c r="C160" t="s">
        <v>9</v>
      </c>
      <c r="D160">
        <f ca="1">'2BAS Calcs'!N160</f>
        <v>5.4746841418700723E-7</v>
      </c>
    </row>
    <row r="161" spans="1:4" x14ac:dyDescent="0.35">
      <c r="A161" t="s">
        <v>34</v>
      </c>
      <c r="B161" t="s">
        <v>4</v>
      </c>
      <c r="C161" t="s">
        <v>9</v>
      </c>
      <c r="D161">
        <f ca="1">'2BAS Calcs'!N161</f>
        <v>5.4746841418700723E-7</v>
      </c>
    </row>
    <row r="162" spans="1:4" x14ac:dyDescent="0.35">
      <c r="A162" t="s">
        <v>35</v>
      </c>
      <c r="B162" t="s">
        <v>4</v>
      </c>
      <c r="C162" t="s">
        <v>9</v>
      </c>
      <c r="D162">
        <f ca="1">'2BAS Calcs'!N162</f>
        <v>5.4746841418700723E-7</v>
      </c>
    </row>
    <row r="163" spans="1:4" x14ac:dyDescent="0.35">
      <c r="A163" t="s">
        <v>36</v>
      </c>
      <c r="B163" t="s">
        <v>4</v>
      </c>
      <c r="C163" t="s">
        <v>9</v>
      </c>
      <c r="D163">
        <f ca="1">'2BAS Calcs'!N163</f>
        <v>5.4746841418700723E-7</v>
      </c>
    </row>
    <row r="164" spans="1:4" x14ac:dyDescent="0.35">
      <c r="A164" t="s">
        <v>37</v>
      </c>
      <c r="B164" t="s">
        <v>4</v>
      </c>
      <c r="C164" t="s">
        <v>9</v>
      </c>
      <c r="D164">
        <f ca="1">'2BAS Calcs'!N164</f>
        <v>5.4746841418700723E-7</v>
      </c>
    </row>
    <row r="165" spans="1:4" x14ac:dyDescent="0.35">
      <c r="A165" t="s">
        <v>38</v>
      </c>
      <c r="B165" t="s">
        <v>4</v>
      </c>
      <c r="C165" t="s">
        <v>9</v>
      </c>
      <c r="D165">
        <f ca="1">'2BAS Calcs'!N165</f>
        <v>5.4746841418700723E-7</v>
      </c>
    </row>
    <row r="166" spans="1:4" x14ac:dyDescent="0.35">
      <c r="A166" t="s">
        <v>39</v>
      </c>
      <c r="B166" t="s">
        <v>4</v>
      </c>
      <c r="C166" t="s">
        <v>9</v>
      </c>
      <c r="D166">
        <f ca="1">'2BAS Calcs'!N166</f>
        <v>5.4746841418700723E-7</v>
      </c>
    </row>
    <row r="167" spans="1:4" x14ac:dyDescent="0.35">
      <c r="A167" t="s">
        <v>7</v>
      </c>
      <c r="B167" t="s">
        <v>5</v>
      </c>
      <c r="C167" t="s">
        <v>9</v>
      </c>
      <c r="D167">
        <f ca="1">'2BAS Calcs'!N167</f>
        <v>5.0650814364796961</v>
      </c>
    </row>
    <row r="168" spans="1:4" x14ac:dyDescent="0.35">
      <c r="A168" t="s">
        <v>8</v>
      </c>
      <c r="B168" t="s">
        <v>5</v>
      </c>
      <c r="C168" t="s">
        <v>9</v>
      </c>
      <c r="D168">
        <f ca="1">'2BAS Calcs'!N168</f>
        <v>7.9908329875818653</v>
      </c>
    </row>
    <row r="169" spans="1:4" x14ac:dyDescent="0.35">
      <c r="A169" t="s">
        <v>9</v>
      </c>
      <c r="B169" t="s">
        <v>5</v>
      </c>
      <c r="C169" t="s">
        <v>9</v>
      </c>
      <c r="D169">
        <f ca="1">'2BAS Calcs'!N169</f>
        <v>1.9995515183642487</v>
      </c>
    </row>
    <row r="170" spans="1:4" x14ac:dyDescent="0.35">
      <c r="A170" t="s">
        <v>10</v>
      </c>
      <c r="B170" t="s">
        <v>5</v>
      </c>
      <c r="C170" t="s">
        <v>9</v>
      </c>
      <c r="D170">
        <f ca="1">'2BAS Calcs'!N170</f>
        <v>39.239230829792191</v>
      </c>
    </row>
    <row r="171" spans="1:4" x14ac:dyDescent="0.35">
      <c r="A171" t="s">
        <v>11</v>
      </c>
      <c r="B171" t="s">
        <v>5</v>
      </c>
      <c r="C171" t="s">
        <v>9</v>
      </c>
      <c r="D171">
        <f ca="1">'2BAS Calcs'!N171</f>
        <v>20.450289449400398</v>
      </c>
    </row>
    <row r="172" spans="1:4" x14ac:dyDescent="0.35">
      <c r="A172" t="s">
        <v>12</v>
      </c>
      <c r="B172" t="s">
        <v>5</v>
      </c>
      <c r="C172" t="s">
        <v>9</v>
      </c>
      <c r="D172">
        <f ca="1">'2BAS Calcs'!N172</f>
        <v>0.36604521678926422</v>
      </c>
    </row>
    <row r="173" spans="1:4" x14ac:dyDescent="0.35">
      <c r="A173" t="s">
        <v>13</v>
      </c>
      <c r="B173" t="s">
        <v>5</v>
      </c>
      <c r="C173" t="s">
        <v>9</v>
      </c>
      <c r="D173">
        <f ca="1">'2BAS Calcs'!N173</f>
        <v>5.2710141865320024</v>
      </c>
    </row>
    <row r="174" spans="1:4" x14ac:dyDescent="0.35">
      <c r="A174" t="s">
        <v>14</v>
      </c>
      <c r="B174" t="s">
        <v>5</v>
      </c>
      <c r="C174" t="s">
        <v>9</v>
      </c>
      <c r="D174">
        <f ca="1">'2BAS Calcs'!N174</f>
        <v>1.3273033535149292</v>
      </c>
    </row>
    <row r="175" spans="1:4" x14ac:dyDescent="0.35">
      <c r="A175" t="s">
        <v>15</v>
      </c>
      <c r="B175" t="s">
        <v>5</v>
      </c>
      <c r="C175" t="s">
        <v>9</v>
      </c>
      <c r="D175">
        <f ca="1">'2BAS Calcs'!N175</f>
        <v>18.195112771059481</v>
      </c>
    </row>
    <row r="176" spans="1:4" x14ac:dyDescent="0.35">
      <c r="A176" t="s">
        <v>16</v>
      </c>
      <c r="B176" t="s">
        <v>5</v>
      </c>
      <c r="C176" t="s">
        <v>9</v>
      </c>
      <c r="D176">
        <f ca="1">'2BAS Calcs'!N176</f>
        <v>13.935038000765349</v>
      </c>
    </row>
    <row r="177" spans="1:4" x14ac:dyDescent="0.35">
      <c r="A177" t="s">
        <v>17</v>
      </c>
      <c r="B177" t="s">
        <v>5</v>
      </c>
      <c r="C177" t="s">
        <v>9</v>
      </c>
      <c r="D177">
        <f ca="1">'2BAS Calcs'!N177</f>
        <v>5.2603009351294343</v>
      </c>
    </row>
    <row r="178" spans="1:4" x14ac:dyDescent="0.35">
      <c r="A178" t="s">
        <v>18</v>
      </c>
      <c r="B178" t="s">
        <v>5</v>
      </c>
      <c r="C178" t="s">
        <v>9</v>
      </c>
      <c r="D178">
        <f ca="1">'2BAS Calcs'!N178</f>
        <v>65.84391136569937</v>
      </c>
    </row>
    <row r="179" spans="1:4" x14ac:dyDescent="0.35">
      <c r="A179" t="s">
        <v>19</v>
      </c>
      <c r="B179" t="s">
        <v>5</v>
      </c>
      <c r="C179" t="s">
        <v>9</v>
      </c>
      <c r="D179">
        <f ca="1">'2BAS Calcs'!N179</f>
        <v>252.23300387798469</v>
      </c>
    </row>
    <row r="180" spans="1:4" x14ac:dyDescent="0.35">
      <c r="A180" t="s">
        <v>20</v>
      </c>
      <c r="B180" t="s">
        <v>5</v>
      </c>
      <c r="C180" t="s">
        <v>9</v>
      </c>
      <c r="D180">
        <f ca="1">'2BAS Calcs'!N180</f>
        <v>135.23964255874813</v>
      </c>
    </row>
    <row r="181" spans="1:4" x14ac:dyDescent="0.35">
      <c r="A181" t="s">
        <v>21</v>
      </c>
      <c r="B181" t="s">
        <v>5</v>
      </c>
      <c r="C181" t="s">
        <v>9</v>
      </c>
      <c r="D181">
        <f ca="1">'2BAS Calcs'!N181</f>
        <v>215.82725787613163</v>
      </c>
    </row>
    <row r="182" spans="1:4" x14ac:dyDescent="0.35">
      <c r="A182" t="s">
        <v>22</v>
      </c>
      <c r="B182" t="s">
        <v>5</v>
      </c>
      <c r="C182" t="s">
        <v>9</v>
      </c>
      <c r="D182">
        <f ca="1">'2BAS Calcs'!N182</f>
        <v>81.892344392120975</v>
      </c>
    </row>
    <row r="183" spans="1:4" x14ac:dyDescent="0.35">
      <c r="A183" t="s">
        <v>23</v>
      </c>
      <c r="B183" t="s">
        <v>5</v>
      </c>
      <c r="C183" t="s">
        <v>9</v>
      </c>
      <c r="D183">
        <f ca="1">'2BAS Calcs'!N183</f>
        <v>5.4746841418700723E-7</v>
      </c>
    </row>
    <row r="184" spans="1:4" x14ac:dyDescent="0.35">
      <c r="A184" t="s">
        <v>24</v>
      </c>
      <c r="B184" t="s">
        <v>5</v>
      </c>
      <c r="C184" t="s">
        <v>9</v>
      </c>
      <c r="D184">
        <f ca="1">'2BAS Calcs'!N184</f>
        <v>16.030898376109089</v>
      </c>
    </row>
    <row r="185" spans="1:4" x14ac:dyDescent="0.35">
      <c r="A185" t="s">
        <v>25</v>
      </c>
      <c r="B185" t="s">
        <v>5</v>
      </c>
      <c r="C185" t="s">
        <v>9</v>
      </c>
      <c r="D185">
        <f ca="1">'2BAS Calcs'!N185</f>
        <v>1.4025953044545381</v>
      </c>
    </row>
    <row r="186" spans="1:4" x14ac:dyDescent="0.35">
      <c r="A186" t="s">
        <v>26</v>
      </c>
      <c r="B186" t="s">
        <v>5</v>
      </c>
      <c r="C186" t="s">
        <v>9</v>
      </c>
      <c r="D186">
        <f ca="1">'2BAS Calcs'!N186</f>
        <v>5.4746841418700723E-7</v>
      </c>
    </row>
    <row r="187" spans="1:4" x14ac:dyDescent="0.35">
      <c r="A187" t="s">
        <v>27</v>
      </c>
      <c r="B187" t="s">
        <v>5</v>
      </c>
      <c r="C187" t="s">
        <v>9</v>
      </c>
      <c r="D187">
        <f ca="1">'2BAS Calcs'!N187</f>
        <v>5.4746841418700723E-7</v>
      </c>
    </row>
    <row r="188" spans="1:4" x14ac:dyDescent="0.35">
      <c r="A188" t="s">
        <v>28</v>
      </c>
      <c r="B188" t="s">
        <v>5</v>
      </c>
      <c r="C188" t="s">
        <v>9</v>
      </c>
      <c r="D188">
        <f ca="1">'2BAS Calcs'!N188</f>
        <v>5.4746841418700723E-7</v>
      </c>
    </row>
    <row r="189" spans="1:4" x14ac:dyDescent="0.35">
      <c r="A189" t="s">
        <v>29</v>
      </c>
      <c r="B189" t="s">
        <v>5</v>
      </c>
      <c r="C189" t="s">
        <v>9</v>
      </c>
      <c r="D189">
        <f ca="1">'2BAS Calcs'!N189</f>
        <v>5.4746841418700723E-7</v>
      </c>
    </row>
    <row r="190" spans="1:4" x14ac:dyDescent="0.35">
      <c r="A190" t="s">
        <v>30</v>
      </c>
      <c r="B190" t="s">
        <v>5</v>
      </c>
      <c r="C190" t="s">
        <v>9</v>
      </c>
      <c r="D190">
        <f ca="1">'2BAS Calcs'!N190</f>
        <v>5.4746841418700723E-7</v>
      </c>
    </row>
    <row r="191" spans="1:4" x14ac:dyDescent="0.35">
      <c r="A191" t="s">
        <v>31</v>
      </c>
      <c r="B191" t="s">
        <v>5</v>
      </c>
      <c r="C191" t="s">
        <v>9</v>
      </c>
      <c r="D191">
        <f ca="1">'2BAS Calcs'!N191</f>
        <v>5.4746841418700723E-7</v>
      </c>
    </row>
    <row r="192" spans="1:4" x14ac:dyDescent="0.35">
      <c r="A192" t="s">
        <v>32</v>
      </c>
      <c r="B192" t="s">
        <v>5</v>
      </c>
      <c r="C192" t="s">
        <v>9</v>
      </c>
      <c r="D192">
        <f ca="1">'2BAS Calcs'!N192</f>
        <v>5.4746841418700723E-7</v>
      </c>
    </row>
    <row r="193" spans="1:4" x14ac:dyDescent="0.35">
      <c r="A193" t="s">
        <v>33</v>
      </c>
      <c r="B193" t="s">
        <v>5</v>
      </c>
      <c r="C193" t="s">
        <v>9</v>
      </c>
      <c r="D193">
        <f ca="1">'2BAS Calcs'!N193</f>
        <v>5.4746841418700723E-7</v>
      </c>
    </row>
    <row r="194" spans="1:4" x14ac:dyDescent="0.35">
      <c r="A194" t="s">
        <v>34</v>
      </c>
      <c r="B194" t="s">
        <v>5</v>
      </c>
      <c r="C194" t="s">
        <v>9</v>
      </c>
      <c r="D194">
        <f ca="1">'2BAS Calcs'!N194</f>
        <v>5.4746841418700723E-7</v>
      </c>
    </row>
    <row r="195" spans="1:4" x14ac:dyDescent="0.35">
      <c r="A195" t="s">
        <v>35</v>
      </c>
      <c r="B195" t="s">
        <v>5</v>
      </c>
      <c r="C195" t="s">
        <v>9</v>
      </c>
      <c r="D195">
        <f ca="1">'2BAS Calcs'!N195</f>
        <v>5.4746841418700723E-7</v>
      </c>
    </row>
    <row r="196" spans="1:4" x14ac:dyDescent="0.35">
      <c r="A196" t="s">
        <v>36</v>
      </c>
      <c r="B196" t="s">
        <v>5</v>
      </c>
      <c r="C196" t="s">
        <v>9</v>
      </c>
      <c r="D196">
        <f ca="1">'2BAS Calcs'!N196</f>
        <v>5.4746841418700723E-7</v>
      </c>
    </row>
    <row r="197" spans="1:4" x14ac:dyDescent="0.35">
      <c r="A197" t="s">
        <v>37</v>
      </c>
      <c r="B197" t="s">
        <v>5</v>
      </c>
      <c r="C197" t="s">
        <v>9</v>
      </c>
      <c r="D197">
        <f ca="1">'2BAS Calcs'!N197</f>
        <v>5.4746841418700723E-7</v>
      </c>
    </row>
    <row r="198" spans="1:4" x14ac:dyDescent="0.35">
      <c r="A198" t="s">
        <v>38</v>
      </c>
      <c r="B198" t="s">
        <v>5</v>
      </c>
      <c r="C198" t="s">
        <v>9</v>
      </c>
      <c r="D198">
        <f ca="1">'2BAS Calcs'!N198</f>
        <v>5.4746841418700723E-7</v>
      </c>
    </row>
    <row r="199" spans="1:4" x14ac:dyDescent="0.35">
      <c r="A199" t="s">
        <v>39</v>
      </c>
      <c r="B199" t="s">
        <v>5</v>
      </c>
      <c r="C199" t="s">
        <v>9</v>
      </c>
      <c r="D199">
        <f ca="1">'2BAS Calcs'!N199</f>
        <v>5.4746841418700723E-7</v>
      </c>
    </row>
    <row r="200" spans="1:4" x14ac:dyDescent="0.35">
      <c r="A200" t="s">
        <v>7</v>
      </c>
      <c r="B200" t="s">
        <v>4</v>
      </c>
      <c r="C200" t="s">
        <v>10</v>
      </c>
      <c r="D200">
        <f ca="1">'2BAS Calcs'!N200</f>
        <v>8.9937269485353202E-2</v>
      </c>
    </row>
    <row r="201" spans="1:4" x14ac:dyDescent="0.35">
      <c r="A201" t="s">
        <v>8</v>
      </c>
      <c r="B201" t="s">
        <v>4</v>
      </c>
      <c r="C201" t="s">
        <v>10</v>
      </c>
      <c r="D201">
        <f ca="1">'2BAS Calcs'!N201</f>
        <v>0.15688811415144413</v>
      </c>
    </row>
    <row r="202" spans="1:4" x14ac:dyDescent="0.35">
      <c r="A202" t="s">
        <v>9</v>
      </c>
      <c r="B202" t="s">
        <v>4</v>
      </c>
      <c r="C202" t="s">
        <v>10</v>
      </c>
      <c r="D202">
        <f ca="1">'2BAS Calcs'!N202</f>
        <v>0.26416645924028792</v>
      </c>
    </row>
    <row r="203" spans="1:4" x14ac:dyDescent="0.35">
      <c r="A203" t="s">
        <v>10</v>
      </c>
      <c r="B203" t="s">
        <v>4</v>
      </c>
      <c r="C203" t="s">
        <v>10</v>
      </c>
      <c r="D203">
        <f ca="1">'2BAS Calcs'!N203</f>
        <v>1.3760042619743369</v>
      </c>
    </row>
    <row r="204" spans="1:4" x14ac:dyDescent="0.35">
      <c r="A204" t="s">
        <v>11</v>
      </c>
      <c r="B204" t="s">
        <v>4</v>
      </c>
      <c r="C204" t="s">
        <v>10</v>
      </c>
      <c r="D204">
        <f ca="1">'2BAS Calcs'!N204</f>
        <v>9.7638760051346803E-3</v>
      </c>
    </row>
    <row r="205" spans="1:4" x14ac:dyDescent="0.35">
      <c r="A205" t="s">
        <v>12</v>
      </c>
      <c r="B205" t="s">
        <v>4</v>
      </c>
      <c r="C205" t="s">
        <v>10</v>
      </c>
      <c r="D205">
        <f ca="1">'2BAS Calcs'!N205</f>
        <v>6.0105620520427991E-2</v>
      </c>
    </row>
    <row r="206" spans="1:4" x14ac:dyDescent="0.35">
      <c r="A206" t="s">
        <v>13</v>
      </c>
      <c r="B206" t="s">
        <v>4</v>
      </c>
      <c r="C206" t="s">
        <v>10</v>
      </c>
      <c r="D206">
        <f ca="1">'2BAS Calcs'!N206</f>
        <v>1.203048841355858</v>
      </c>
    </row>
    <row r="207" spans="1:4" x14ac:dyDescent="0.35">
      <c r="A207" t="s">
        <v>14</v>
      </c>
      <c r="B207" t="s">
        <v>4</v>
      </c>
      <c r="C207" t="s">
        <v>10</v>
      </c>
      <c r="D207">
        <f ca="1">'2BAS Calcs'!N207</f>
        <v>0.18332147244412897</v>
      </c>
    </row>
    <row r="208" spans="1:4" x14ac:dyDescent="0.35">
      <c r="A208" t="s">
        <v>15</v>
      </c>
      <c r="B208" t="s">
        <v>4</v>
      </c>
      <c r="C208" t="s">
        <v>10</v>
      </c>
      <c r="D208">
        <f ca="1">'2BAS Calcs'!N208</f>
        <v>1.141579585710299</v>
      </c>
    </row>
    <row r="209" spans="1:4" x14ac:dyDescent="0.35">
      <c r="A209" t="s">
        <v>16</v>
      </c>
      <c r="B209" t="s">
        <v>4</v>
      </c>
      <c r="C209" t="s">
        <v>10</v>
      </c>
      <c r="D209">
        <f ca="1">'2BAS Calcs'!N209</f>
        <v>1.7870326856360432</v>
      </c>
    </row>
    <row r="210" spans="1:4" x14ac:dyDescent="0.35">
      <c r="A210" t="s">
        <v>17</v>
      </c>
      <c r="B210" t="s">
        <v>4</v>
      </c>
      <c r="C210" t="s">
        <v>10</v>
      </c>
      <c r="D210">
        <f ca="1">'2BAS Calcs'!N210</f>
        <v>1.6554636693400786</v>
      </c>
    </row>
    <row r="211" spans="1:4" x14ac:dyDescent="0.35">
      <c r="A211" t="s">
        <v>18</v>
      </c>
      <c r="B211" t="s">
        <v>4</v>
      </c>
      <c r="C211" t="s">
        <v>10</v>
      </c>
      <c r="D211">
        <f ca="1">'2BAS Calcs'!N211</f>
        <v>4.8419447626324237</v>
      </c>
    </row>
    <row r="212" spans="1:4" x14ac:dyDescent="0.35">
      <c r="A212" t="s">
        <v>19</v>
      </c>
      <c r="B212" t="s">
        <v>4</v>
      </c>
      <c r="C212" t="s">
        <v>10</v>
      </c>
      <c r="D212">
        <f ca="1">'2BAS Calcs'!N212</f>
        <v>7.0083333343998042</v>
      </c>
    </row>
    <row r="213" spans="1:4" x14ac:dyDescent="0.35">
      <c r="A213" t="s">
        <v>20</v>
      </c>
      <c r="B213" t="s">
        <v>4</v>
      </c>
      <c r="C213" t="s">
        <v>10</v>
      </c>
      <c r="D213">
        <f ca="1">'2BAS Calcs'!N213</f>
        <v>1.4578854976022639</v>
      </c>
    </row>
    <row r="214" spans="1:4" x14ac:dyDescent="0.35">
      <c r="A214" t="s">
        <v>21</v>
      </c>
      <c r="B214" t="s">
        <v>4</v>
      </c>
      <c r="C214" t="s">
        <v>10</v>
      </c>
      <c r="D214">
        <f ca="1">'2BAS Calcs'!N214</f>
        <v>2.105927152583114</v>
      </c>
    </row>
    <row r="215" spans="1:4" x14ac:dyDescent="0.35">
      <c r="A215" t="s">
        <v>22</v>
      </c>
      <c r="B215" t="s">
        <v>4</v>
      </c>
      <c r="C215" t="s">
        <v>10</v>
      </c>
      <c r="D215">
        <f ca="1">'2BAS Calcs'!N215</f>
        <v>5.7343028989549873</v>
      </c>
    </row>
    <row r="216" spans="1:4" x14ac:dyDescent="0.35">
      <c r="A216" t="s">
        <v>23</v>
      </c>
      <c r="B216" t="s">
        <v>4</v>
      </c>
      <c r="C216" t="s">
        <v>10</v>
      </c>
      <c r="D216">
        <f ca="1">'2BAS Calcs'!N216</f>
        <v>1.308529898646839E-7</v>
      </c>
    </row>
    <row r="217" spans="1:4" x14ac:dyDescent="0.35">
      <c r="A217" t="s">
        <v>24</v>
      </c>
      <c r="B217" t="s">
        <v>4</v>
      </c>
      <c r="C217" t="s">
        <v>10</v>
      </c>
      <c r="D217">
        <f ca="1">'2BAS Calcs'!N217</f>
        <v>190.48459524678708</v>
      </c>
    </row>
    <row r="218" spans="1:4" x14ac:dyDescent="0.35">
      <c r="A218" t="s">
        <v>25</v>
      </c>
      <c r="B218" t="s">
        <v>4</v>
      </c>
      <c r="C218" t="s">
        <v>10</v>
      </c>
      <c r="D218">
        <f ca="1">'2BAS Calcs'!N218</f>
        <v>30.457216808015168</v>
      </c>
    </row>
    <row r="219" spans="1:4" x14ac:dyDescent="0.35">
      <c r="A219" t="s">
        <v>26</v>
      </c>
      <c r="B219" t="s">
        <v>4</v>
      </c>
      <c r="C219" t="s">
        <v>10</v>
      </c>
      <c r="D219">
        <f ca="1">'2BAS Calcs'!N219</f>
        <v>1.308529898646839E-7</v>
      </c>
    </row>
    <row r="220" spans="1:4" x14ac:dyDescent="0.35">
      <c r="A220" t="s">
        <v>27</v>
      </c>
      <c r="B220" t="s">
        <v>4</v>
      </c>
      <c r="C220" t="s">
        <v>10</v>
      </c>
      <c r="D220">
        <f ca="1">'2BAS Calcs'!N220</f>
        <v>1.308529898646839E-7</v>
      </c>
    </row>
    <row r="221" spans="1:4" x14ac:dyDescent="0.35">
      <c r="A221" t="s">
        <v>28</v>
      </c>
      <c r="B221" t="s">
        <v>4</v>
      </c>
      <c r="C221" t="s">
        <v>10</v>
      </c>
      <c r="D221">
        <f ca="1">'2BAS Calcs'!N221</f>
        <v>1.308529898646839E-7</v>
      </c>
    </row>
    <row r="222" spans="1:4" x14ac:dyDescent="0.35">
      <c r="A222" t="s">
        <v>29</v>
      </c>
      <c r="B222" t="s">
        <v>4</v>
      </c>
      <c r="C222" t="s">
        <v>10</v>
      </c>
      <c r="D222">
        <f ca="1">'2BAS Calcs'!N222</f>
        <v>1.308529898646839E-7</v>
      </c>
    </row>
    <row r="223" spans="1:4" x14ac:dyDescent="0.35">
      <c r="A223" t="s">
        <v>30</v>
      </c>
      <c r="B223" t="s">
        <v>4</v>
      </c>
      <c r="C223" t="s">
        <v>10</v>
      </c>
      <c r="D223">
        <f ca="1">'2BAS Calcs'!N223</f>
        <v>1.308529898646839E-7</v>
      </c>
    </row>
    <row r="224" spans="1:4" x14ac:dyDescent="0.35">
      <c r="A224" t="s">
        <v>31</v>
      </c>
      <c r="B224" t="s">
        <v>4</v>
      </c>
      <c r="C224" t="s">
        <v>10</v>
      </c>
      <c r="D224">
        <f ca="1">'2BAS Calcs'!N224</f>
        <v>1.308529898646839E-7</v>
      </c>
    </row>
    <row r="225" spans="1:4" x14ac:dyDescent="0.35">
      <c r="A225" t="s">
        <v>32</v>
      </c>
      <c r="B225" t="s">
        <v>4</v>
      </c>
      <c r="C225" t="s">
        <v>10</v>
      </c>
      <c r="D225">
        <f ca="1">'2BAS Calcs'!N225</f>
        <v>1.308529898646839E-7</v>
      </c>
    </row>
    <row r="226" spans="1:4" x14ac:dyDescent="0.35">
      <c r="A226" t="s">
        <v>33</v>
      </c>
      <c r="B226" t="s">
        <v>4</v>
      </c>
      <c r="C226" t="s">
        <v>10</v>
      </c>
      <c r="D226">
        <f ca="1">'2BAS Calcs'!N226</f>
        <v>1.308529898646839E-7</v>
      </c>
    </row>
    <row r="227" spans="1:4" x14ac:dyDescent="0.35">
      <c r="A227" t="s">
        <v>34</v>
      </c>
      <c r="B227" t="s">
        <v>4</v>
      </c>
      <c r="C227" t="s">
        <v>10</v>
      </c>
      <c r="D227">
        <f ca="1">'2BAS Calcs'!N227</f>
        <v>1.308529898646839E-7</v>
      </c>
    </row>
    <row r="228" spans="1:4" x14ac:dyDescent="0.35">
      <c r="A228" t="s">
        <v>35</v>
      </c>
      <c r="B228" t="s">
        <v>4</v>
      </c>
      <c r="C228" t="s">
        <v>10</v>
      </c>
      <c r="D228">
        <f ca="1">'2BAS Calcs'!N228</f>
        <v>1.308529898646839E-7</v>
      </c>
    </row>
    <row r="229" spans="1:4" x14ac:dyDescent="0.35">
      <c r="A229" t="s">
        <v>36</v>
      </c>
      <c r="B229" t="s">
        <v>4</v>
      </c>
      <c r="C229" t="s">
        <v>10</v>
      </c>
      <c r="D229">
        <f ca="1">'2BAS Calcs'!N229</f>
        <v>1.308529898646839E-7</v>
      </c>
    </row>
    <row r="230" spans="1:4" x14ac:dyDescent="0.35">
      <c r="A230" t="s">
        <v>37</v>
      </c>
      <c r="B230" t="s">
        <v>4</v>
      </c>
      <c r="C230" t="s">
        <v>10</v>
      </c>
      <c r="D230">
        <f ca="1">'2BAS Calcs'!N230</f>
        <v>1.308529898646839E-7</v>
      </c>
    </row>
    <row r="231" spans="1:4" x14ac:dyDescent="0.35">
      <c r="A231" t="s">
        <v>38</v>
      </c>
      <c r="B231" t="s">
        <v>4</v>
      </c>
      <c r="C231" t="s">
        <v>10</v>
      </c>
      <c r="D231">
        <f ca="1">'2BAS Calcs'!N231</f>
        <v>1.308529898646839E-7</v>
      </c>
    </row>
    <row r="232" spans="1:4" x14ac:dyDescent="0.35">
      <c r="A232" t="s">
        <v>39</v>
      </c>
      <c r="B232" t="s">
        <v>4</v>
      </c>
      <c r="C232" t="s">
        <v>10</v>
      </c>
      <c r="D232">
        <f ca="1">'2BAS Calcs'!N232</f>
        <v>1.308529898646839E-7</v>
      </c>
    </row>
    <row r="233" spans="1:4" x14ac:dyDescent="0.35">
      <c r="A233" t="s">
        <v>7</v>
      </c>
      <c r="B233" t="s">
        <v>5</v>
      </c>
      <c r="C233" t="s">
        <v>10</v>
      </c>
      <c r="D233">
        <f ca="1">'2BAS Calcs'!N233</f>
        <v>1.210628837566289</v>
      </c>
    </row>
    <row r="234" spans="1:4" x14ac:dyDescent="0.35">
      <c r="A234" t="s">
        <v>8</v>
      </c>
      <c r="B234" t="s">
        <v>5</v>
      </c>
      <c r="C234" t="s">
        <v>10</v>
      </c>
      <c r="D234">
        <f ca="1">'2BAS Calcs'!N234</f>
        <v>1.9099264192020793</v>
      </c>
    </row>
    <row r="235" spans="1:4" x14ac:dyDescent="0.35">
      <c r="A235" t="s">
        <v>9</v>
      </c>
      <c r="B235" t="s">
        <v>5</v>
      </c>
      <c r="C235" t="s">
        <v>10</v>
      </c>
      <c r="D235">
        <f ca="1">'2BAS Calcs'!N235</f>
        <v>0.47792217374764462</v>
      </c>
    </row>
    <row r="236" spans="1:4" x14ac:dyDescent="0.35">
      <c r="A236" t="s">
        <v>10</v>
      </c>
      <c r="B236" t="s">
        <v>5</v>
      </c>
      <c r="C236" t="s">
        <v>10</v>
      </c>
      <c r="D236">
        <f ca="1">'2BAS Calcs'!N236</f>
        <v>9.3787523462767197</v>
      </c>
    </row>
    <row r="237" spans="1:4" x14ac:dyDescent="0.35">
      <c r="A237" t="s">
        <v>11</v>
      </c>
      <c r="B237" t="s">
        <v>5</v>
      </c>
      <c r="C237" t="s">
        <v>10</v>
      </c>
      <c r="D237">
        <f ca="1">'2BAS Calcs'!N237</f>
        <v>4.8879194647714712</v>
      </c>
    </row>
    <row r="238" spans="1:4" x14ac:dyDescent="0.35">
      <c r="A238" t="s">
        <v>12</v>
      </c>
      <c r="B238" t="s">
        <v>5</v>
      </c>
      <c r="C238" t="s">
        <v>10</v>
      </c>
      <c r="D238">
        <f ca="1">'2BAS Calcs'!N238</f>
        <v>8.7490181718831203E-2</v>
      </c>
    </row>
    <row r="239" spans="1:4" x14ac:dyDescent="0.35">
      <c r="A239" t="s">
        <v>13</v>
      </c>
      <c r="B239" t="s">
        <v>5</v>
      </c>
      <c r="C239" t="s">
        <v>10</v>
      </c>
      <c r="D239">
        <f ca="1">'2BAS Calcs'!N239</f>
        <v>1.2598497886880395</v>
      </c>
    </row>
    <row r="240" spans="1:4" x14ac:dyDescent="0.35">
      <c r="A240" t="s">
        <v>14</v>
      </c>
      <c r="B240" t="s">
        <v>5</v>
      </c>
      <c r="C240" t="s">
        <v>10</v>
      </c>
      <c r="D240">
        <f ca="1">'2BAS Calcs'!N240</f>
        <v>0.31724499124350009</v>
      </c>
    </row>
    <row r="241" spans="1:4" x14ac:dyDescent="0.35">
      <c r="A241" t="s">
        <v>15</v>
      </c>
      <c r="B241" t="s">
        <v>5</v>
      </c>
      <c r="C241" t="s">
        <v>10</v>
      </c>
      <c r="D241">
        <f ca="1">'2BAS Calcs'!N241</f>
        <v>4.3488991242606208</v>
      </c>
    </row>
    <row r="242" spans="1:4" x14ac:dyDescent="0.35">
      <c r="A242" t="s">
        <v>16</v>
      </c>
      <c r="B242" t="s">
        <v>5</v>
      </c>
      <c r="C242" t="s">
        <v>10</v>
      </c>
      <c r="D242">
        <f ca="1">'2BAS Calcs'!N242</f>
        <v>3.3306787004067639</v>
      </c>
    </row>
    <row r="243" spans="1:4" x14ac:dyDescent="0.35">
      <c r="A243" t="s">
        <v>17</v>
      </c>
      <c r="B243" t="s">
        <v>5</v>
      </c>
      <c r="C243" t="s">
        <v>10</v>
      </c>
      <c r="D243">
        <f ca="1">'2BAS Calcs'!N243</f>
        <v>1.2572891642924207</v>
      </c>
    </row>
    <row r="244" spans="1:4" x14ac:dyDescent="0.35">
      <c r="A244" t="s">
        <v>18</v>
      </c>
      <c r="B244" t="s">
        <v>5</v>
      </c>
      <c r="C244" t="s">
        <v>10</v>
      </c>
      <c r="D244">
        <f ca="1">'2BAS Calcs'!N244</f>
        <v>15.73766165009101</v>
      </c>
    </row>
    <row r="245" spans="1:4" x14ac:dyDescent="0.35">
      <c r="A245" t="s">
        <v>19</v>
      </c>
      <c r="B245" t="s">
        <v>5</v>
      </c>
      <c r="C245" t="s">
        <v>10</v>
      </c>
      <c r="D245">
        <f ca="1">'2BAS Calcs'!N245</f>
        <v>60.287391646142574</v>
      </c>
    </row>
    <row r="246" spans="1:4" x14ac:dyDescent="0.35">
      <c r="A246" t="s">
        <v>20</v>
      </c>
      <c r="B246" t="s">
        <v>5</v>
      </c>
      <c r="C246" t="s">
        <v>10</v>
      </c>
      <c r="D246">
        <f ca="1">'2BAS Calcs'!N246</f>
        <v>32.324260392853404</v>
      </c>
    </row>
    <row r="247" spans="1:4" x14ac:dyDescent="0.35">
      <c r="A247" t="s">
        <v>21</v>
      </c>
      <c r="B247" t="s">
        <v>5</v>
      </c>
      <c r="C247" t="s">
        <v>10</v>
      </c>
      <c r="D247">
        <f ca="1">'2BAS Calcs'!N247</f>
        <v>51.585883779846768</v>
      </c>
    </row>
    <row r="248" spans="1:4" x14ac:dyDescent="0.35">
      <c r="A248" t="s">
        <v>22</v>
      </c>
      <c r="B248" t="s">
        <v>5</v>
      </c>
      <c r="C248" t="s">
        <v>10</v>
      </c>
      <c r="D248">
        <f ca="1">'2BAS Calcs'!N248</f>
        <v>19.57347279413462</v>
      </c>
    </row>
    <row r="249" spans="1:4" x14ac:dyDescent="0.35">
      <c r="A249" t="s">
        <v>23</v>
      </c>
      <c r="B249" t="s">
        <v>5</v>
      </c>
      <c r="C249" t="s">
        <v>10</v>
      </c>
      <c r="D249">
        <f ca="1">'2BAS Calcs'!N249</f>
        <v>1.308529898646839E-7</v>
      </c>
    </row>
    <row r="250" spans="1:4" x14ac:dyDescent="0.35">
      <c r="A250" t="s">
        <v>24</v>
      </c>
      <c r="B250" t="s">
        <v>5</v>
      </c>
      <c r="C250" t="s">
        <v>10</v>
      </c>
      <c r="D250">
        <f ca="1">'2BAS Calcs'!N250</f>
        <v>3.8316201051449874</v>
      </c>
    </row>
    <row r="251" spans="1:4" x14ac:dyDescent="0.35">
      <c r="A251" t="s">
        <v>25</v>
      </c>
      <c r="B251" t="s">
        <v>5</v>
      </c>
      <c r="C251" t="s">
        <v>10</v>
      </c>
      <c r="D251">
        <f ca="1">'2BAS Calcs'!N251</f>
        <v>0.33524087308414185</v>
      </c>
    </row>
    <row r="252" spans="1:4" x14ac:dyDescent="0.35">
      <c r="A252" t="s">
        <v>26</v>
      </c>
      <c r="B252" t="s">
        <v>5</v>
      </c>
      <c r="C252" t="s">
        <v>10</v>
      </c>
      <c r="D252">
        <f ca="1">'2BAS Calcs'!N252</f>
        <v>1.308529898646839E-7</v>
      </c>
    </row>
    <row r="253" spans="1:4" x14ac:dyDescent="0.35">
      <c r="A253" t="s">
        <v>27</v>
      </c>
      <c r="B253" t="s">
        <v>5</v>
      </c>
      <c r="C253" t="s">
        <v>10</v>
      </c>
      <c r="D253">
        <f ca="1">'2BAS Calcs'!N253</f>
        <v>1.308529898646839E-7</v>
      </c>
    </row>
    <row r="254" spans="1:4" x14ac:dyDescent="0.35">
      <c r="A254" t="s">
        <v>28</v>
      </c>
      <c r="B254" t="s">
        <v>5</v>
      </c>
      <c r="C254" t="s">
        <v>10</v>
      </c>
      <c r="D254">
        <f ca="1">'2BAS Calcs'!N254</f>
        <v>1.308529898646839E-7</v>
      </c>
    </row>
    <row r="255" spans="1:4" x14ac:dyDescent="0.35">
      <c r="A255" t="s">
        <v>29</v>
      </c>
      <c r="B255" t="s">
        <v>5</v>
      </c>
      <c r="C255" t="s">
        <v>10</v>
      </c>
      <c r="D255">
        <f ca="1">'2BAS Calcs'!N255</f>
        <v>1.308529898646839E-7</v>
      </c>
    </row>
    <row r="256" spans="1:4" x14ac:dyDescent="0.35">
      <c r="A256" t="s">
        <v>30</v>
      </c>
      <c r="B256" t="s">
        <v>5</v>
      </c>
      <c r="C256" t="s">
        <v>10</v>
      </c>
      <c r="D256">
        <f ca="1">'2BAS Calcs'!N256</f>
        <v>1.308529898646839E-7</v>
      </c>
    </row>
    <row r="257" spans="1:4" x14ac:dyDescent="0.35">
      <c r="A257" t="s">
        <v>31</v>
      </c>
      <c r="B257" t="s">
        <v>5</v>
      </c>
      <c r="C257" t="s">
        <v>10</v>
      </c>
      <c r="D257">
        <f ca="1">'2BAS Calcs'!N257</f>
        <v>1.308529898646839E-7</v>
      </c>
    </row>
    <row r="258" spans="1:4" x14ac:dyDescent="0.35">
      <c r="A258" t="s">
        <v>32</v>
      </c>
      <c r="B258" t="s">
        <v>5</v>
      </c>
      <c r="C258" t="s">
        <v>10</v>
      </c>
      <c r="D258">
        <f ca="1">'2BAS Calcs'!N258</f>
        <v>1.308529898646839E-7</v>
      </c>
    </row>
    <row r="259" spans="1:4" x14ac:dyDescent="0.35">
      <c r="A259" t="s">
        <v>33</v>
      </c>
      <c r="B259" t="s">
        <v>5</v>
      </c>
      <c r="C259" t="s">
        <v>10</v>
      </c>
      <c r="D259">
        <f ca="1">'2BAS Calcs'!N259</f>
        <v>1.308529898646839E-7</v>
      </c>
    </row>
    <row r="260" spans="1:4" x14ac:dyDescent="0.35">
      <c r="A260" t="s">
        <v>34</v>
      </c>
      <c r="B260" t="s">
        <v>5</v>
      </c>
      <c r="C260" t="s">
        <v>10</v>
      </c>
      <c r="D260">
        <f ca="1">'2BAS Calcs'!N260</f>
        <v>1.308529898646839E-7</v>
      </c>
    </row>
    <row r="261" spans="1:4" x14ac:dyDescent="0.35">
      <c r="A261" t="s">
        <v>35</v>
      </c>
      <c r="B261" t="s">
        <v>5</v>
      </c>
      <c r="C261" t="s">
        <v>10</v>
      </c>
      <c r="D261">
        <f ca="1">'2BAS Calcs'!N261</f>
        <v>1.308529898646839E-7</v>
      </c>
    </row>
    <row r="262" spans="1:4" x14ac:dyDescent="0.35">
      <c r="A262" t="s">
        <v>36</v>
      </c>
      <c r="B262" t="s">
        <v>5</v>
      </c>
      <c r="C262" t="s">
        <v>10</v>
      </c>
      <c r="D262">
        <f ca="1">'2BAS Calcs'!N262</f>
        <v>1.308529898646839E-7</v>
      </c>
    </row>
    <row r="263" spans="1:4" x14ac:dyDescent="0.35">
      <c r="A263" t="s">
        <v>37</v>
      </c>
      <c r="B263" t="s">
        <v>5</v>
      </c>
      <c r="C263" t="s">
        <v>10</v>
      </c>
      <c r="D263">
        <f ca="1">'2BAS Calcs'!N263</f>
        <v>1.308529898646839E-7</v>
      </c>
    </row>
    <row r="264" spans="1:4" x14ac:dyDescent="0.35">
      <c r="A264" t="s">
        <v>38</v>
      </c>
      <c r="B264" t="s">
        <v>5</v>
      </c>
      <c r="C264" t="s">
        <v>10</v>
      </c>
      <c r="D264">
        <f ca="1">'2BAS Calcs'!N264</f>
        <v>1.308529898646839E-7</v>
      </c>
    </row>
    <row r="265" spans="1:4" x14ac:dyDescent="0.35">
      <c r="A265" t="s">
        <v>39</v>
      </c>
      <c r="B265" t="s">
        <v>5</v>
      </c>
      <c r="C265" t="s">
        <v>10</v>
      </c>
      <c r="D265">
        <f ca="1">'2BAS Calcs'!N265</f>
        <v>1.308529898646839E-7</v>
      </c>
    </row>
    <row r="266" spans="1:4" x14ac:dyDescent="0.35">
      <c r="A266" t="s">
        <v>7</v>
      </c>
      <c r="B266" t="s">
        <v>4</v>
      </c>
      <c r="C266" t="s">
        <v>11</v>
      </c>
      <c r="D266">
        <f ca="1">'2BAS Calcs'!N266</f>
        <v>4.2181401614483277E-4</v>
      </c>
    </row>
    <row r="267" spans="1:4" x14ac:dyDescent="0.35">
      <c r="A267" t="s">
        <v>8</v>
      </c>
      <c r="B267" t="s">
        <v>4</v>
      </c>
      <c r="C267" t="s">
        <v>11</v>
      </c>
      <c r="D267">
        <f ca="1">'2BAS Calcs'!N267</f>
        <v>7.3581959841895162E-4</v>
      </c>
    </row>
    <row r="268" spans="1:4" x14ac:dyDescent="0.35">
      <c r="A268" t="s">
        <v>9</v>
      </c>
      <c r="B268" t="s">
        <v>4</v>
      </c>
      <c r="C268" t="s">
        <v>11</v>
      </c>
      <c r="D268">
        <f ca="1">'2BAS Calcs'!N268</f>
        <v>1.2389648445025672E-3</v>
      </c>
    </row>
    <row r="269" spans="1:4" x14ac:dyDescent="0.35">
      <c r="A269" t="s">
        <v>10</v>
      </c>
      <c r="B269" t="s">
        <v>4</v>
      </c>
      <c r="C269" t="s">
        <v>11</v>
      </c>
      <c r="D269">
        <f ca="1">'2BAS Calcs'!N269</f>
        <v>6.4535857859274459E-3</v>
      </c>
    </row>
    <row r="270" spans="1:4" x14ac:dyDescent="0.35">
      <c r="A270" t="s">
        <v>11</v>
      </c>
      <c r="B270" t="s">
        <v>4</v>
      </c>
      <c r="C270" t="s">
        <v>11</v>
      </c>
      <c r="D270">
        <f ca="1">'2BAS Calcs'!N270</f>
        <v>4.5793471098616721E-5</v>
      </c>
    </row>
    <row r="271" spans="1:4" x14ac:dyDescent="0.35">
      <c r="A271" t="s">
        <v>12</v>
      </c>
      <c r="B271" t="s">
        <v>4</v>
      </c>
      <c r="C271" t="s">
        <v>11</v>
      </c>
      <c r="D271">
        <f ca="1">'2BAS Calcs'!N271</f>
        <v>2.8190085522585218E-4</v>
      </c>
    </row>
    <row r="272" spans="1:4" x14ac:dyDescent="0.35">
      <c r="A272" t="s">
        <v>13</v>
      </c>
      <c r="B272" t="s">
        <v>4</v>
      </c>
      <c r="C272" t="s">
        <v>11</v>
      </c>
      <c r="D272">
        <f ca="1">'2BAS Calcs'!N272</f>
        <v>5.6424090512704021E-3</v>
      </c>
    </row>
    <row r="273" spans="1:4" x14ac:dyDescent="0.35">
      <c r="A273" t="s">
        <v>14</v>
      </c>
      <c r="B273" t="s">
        <v>4</v>
      </c>
      <c r="C273" t="s">
        <v>11</v>
      </c>
      <c r="D273">
        <f ca="1">'2BAS Calcs'!N273</f>
        <v>8.5979446540608584E-4</v>
      </c>
    </row>
    <row r="274" spans="1:4" x14ac:dyDescent="0.35">
      <c r="A274" t="s">
        <v>15</v>
      </c>
      <c r="B274" t="s">
        <v>4</v>
      </c>
      <c r="C274" t="s">
        <v>11</v>
      </c>
      <c r="D274">
        <f ca="1">'2BAS Calcs'!N274</f>
        <v>5.3541126226412314E-3</v>
      </c>
    </row>
    <row r="275" spans="1:4" x14ac:dyDescent="0.35">
      <c r="A275" t="s">
        <v>16</v>
      </c>
      <c r="B275" t="s">
        <v>4</v>
      </c>
      <c r="C275" t="s">
        <v>11</v>
      </c>
      <c r="D275">
        <f ca="1">'2BAS Calcs'!N275</f>
        <v>8.3813466700029815E-3</v>
      </c>
    </row>
    <row r="276" spans="1:4" x14ac:dyDescent="0.35">
      <c r="A276" t="s">
        <v>17</v>
      </c>
      <c r="B276" t="s">
        <v>4</v>
      </c>
      <c r="C276" t="s">
        <v>11</v>
      </c>
      <c r="D276">
        <f ca="1">'2BAS Calcs'!N276</f>
        <v>7.7642759552525855E-3</v>
      </c>
    </row>
    <row r="277" spans="1:4" x14ac:dyDescent="0.35">
      <c r="A277" t="s">
        <v>18</v>
      </c>
      <c r="B277" t="s">
        <v>4</v>
      </c>
      <c r="C277" t="s">
        <v>11</v>
      </c>
      <c r="D277">
        <f ca="1">'2BAS Calcs'!N277</f>
        <v>2.2709163597745628E-2</v>
      </c>
    </row>
    <row r="278" spans="1:4" x14ac:dyDescent="0.35">
      <c r="A278" t="s">
        <v>19</v>
      </c>
      <c r="B278" t="s">
        <v>4</v>
      </c>
      <c r="C278" t="s">
        <v>11</v>
      </c>
      <c r="D278">
        <f ca="1">'2BAS Calcs'!N278</f>
        <v>3.2869724055235243E-2</v>
      </c>
    </row>
    <row r="279" spans="1:4" x14ac:dyDescent="0.35">
      <c r="A279" t="s">
        <v>20</v>
      </c>
      <c r="B279" t="s">
        <v>4</v>
      </c>
      <c r="C279" t="s">
        <v>11</v>
      </c>
      <c r="D279">
        <f ca="1">'2BAS Calcs'!N279</f>
        <v>6.8376162667810152E-3</v>
      </c>
    </row>
    <row r="280" spans="1:4" x14ac:dyDescent="0.35">
      <c r="A280" t="s">
        <v>21</v>
      </c>
      <c r="B280" t="s">
        <v>4</v>
      </c>
      <c r="C280" t="s">
        <v>11</v>
      </c>
      <c r="D280">
        <f ca="1">'2BAS Calcs'!N280</f>
        <v>9.8769908740024802E-3</v>
      </c>
    </row>
    <row r="281" spans="1:4" x14ac:dyDescent="0.35">
      <c r="A281" t="s">
        <v>22</v>
      </c>
      <c r="B281" t="s">
        <v>4</v>
      </c>
      <c r="C281" t="s">
        <v>11</v>
      </c>
      <c r="D281">
        <f ca="1">'2BAS Calcs'!N281</f>
        <v>2.6894404838397695E-2</v>
      </c>
    </row>
    <row r="282" spans="1:4" x14ac:dyDescent="0.35">
      <c r="A282" t="s">
        <v>23</v>
      </c>
      <c r="B282" t="s">
        <v>4</v>
      </c>
      <c r="C282" t="s">
        <v>11</v>
      </c>
      <c r="D282">
        <f ca="1">'2BAS Calcs'!N282</f>
        <v>6.1371248532701267E-10</v>
      </c>
    </row>
    <row r="283" spans="1:4" x14ac:dyDescent="0.35">
      <c r="A283" t="s">
        <v>24</v>
      </c>
      <c r="B283" t="s">
        <v>4</v>
      </c>
      <c r="C283" t="s">
        <v>11</v>
      </c>
      <c r="D283">
        <f ca="1">'2BAS Calcs'!N283</f>
        <v>0.89339016621863854</v>
      </c>
    </row>
    <row r="284" spans="1:4" x14ac:dyDescent="0.35">
      <c r="A284" t="s">
        <v>25</v>
      </c>
      <c r="B284" t="s">
        <v>4</v>
      </c>
      <c r="C284" t="s">
        <v>11</v>
      </c>
      <c r="D284">
        <f ca="1">'2BAS Calcs'!N284</f>
        <v>0.14284713129382959</v>
      </c>
    </row>
    <row r="285" spans="1:4" x14ac:dyDescent="0.35">
      <c r="A285" t="s">
        <v>26</v>
      </c>
      <c r="B285" t="s">
        <v>4</v>
      </c>
      <c r="C285" t="s">
        <v>11</v>
      </c>
      <c r="D285">
        <f ca="1">'2BAS Calcs'!N285</f>
        <v>6.1371248532701267E-10</v>
      </c>
    </row>
    <row r="286" spans="1:4" x14ac:dyDescent="0.35">
      <c r="A286" t="s">
        <v>27</v>
      </c>
      <c r="B286" t="s">
        <v>4</v>
      </c>
      <c r="C286" t="s">
        <v>11</v>
      </c>
      <c r="D286">
        <f ca="1">'2BAS Calcs'!N286</f>
        <v>6.1371248532701267E-10</v>
      </c>
    </row>
    <row r="287" spans="1:4" x14ac:dyDescent="0.35">
      <c r="A287" t="s">
        <v>28</v>
      </c>
      <c r="B287" t="s">
        <v>4</v>
      </c>
      <c r="C287" t="s">
        <v>11</v>
      </c>
      <c r="D287">
        <f ca="1">'2BAS Calcs'!N287</f>
        <v>6.1371248532701267E-10</v>
      </c>
    </row>
    <row r="288" spans="1:4" x14ac:dyDescent="0.35">
      <c r="A288" t="s">
        <v>29</v>
      </c>
      <c r="B288" t="s">
        <v>4</v>
      </c>
      <c r="C288" t="s">
        <v>11</v>
      </c>
      <c r="D288">
        <f ca="1">'2BAS Calcs'!N288</f>
        <v>6.1371248532701267E-10</v>
      </c>
    </row>
    <row r="289" spans="1:4" x14ac:dyDescent="0.35">
      <c r="A289" t="s">
        <v>30</v>
      </c>
      <c r="B289" t="s">
        <v>4</v>
      </c>
      <c r="C289" t="s">
        <v>11</v>
      </c>
      <c r="D289">
        <f ca="1">'2BAS Calcs'!N289</f>
        <v>6.1371248532701267E-10</v>
      </c>
    </row>
    <row r="290" spans="1:4" x14ac:dyDescent="0.35">
      <c r="A290" t="s">
        <v>31</v>
      </c>
      <c r="B290" t="s">
        <v>4</v>
      </c>
      <c r="C290" t="s">
        <v>11</v>
      </c>
      <c r="D290">
        <f ca="1">'2BAS Calcs'!N290</f>
        <v>6.1371248532701267E-10</v>
      </c>
    </row>
    <row r="291" spans="1:4" x14ac:dyDescent="0.35">
      <c r="A291" t="s">
        <v>32</v>
      </c>
      <c r="B291" t="s">
        <v>4</v>
      </c>
      <c r="C291" t="s">
        <v>11</v>
      </c>
      <c r="D291">
        <f ca="1">'2BAS Calcs'!N291</f>
        <v>6.1371248532701267E-10</v>
      </c>
    </row>
    <row r="292" spans="1:4" x14ac:dyDescent="0.35">
      <c r="A292" t="s">
        <v>33</v>
      </c>
      <c r="B292" t="s">
        <v>4</v>
      </c>
      <c r="C292" t="s">
        <v>11</v>
      </c>
      <c r="D292">
        <f ca="1">'2BAS Calcs'!N292</f>
        <v>6.1371248532701267E-10</v>
      </c>
    </row>
    <row r="293" spans="1:4" x14ac:dyDescent="0.35">
      <c r="A293" t="s">
        <v>34</v>
      </c>
      <c r="B293" t="s">
        <v>4</v>
      </c>
      <c r="C293" t="s">
        <v>11</v>
      </c>
      <c r="D293">
        <f ca="1">'2BAS Calcs'!N293</f>
        <v>6.1371248532701267E-10</v>
      </c>
    </row>
    <row r="294" spans="1:4" x14ac:dyDescent="0.35">
      <c r="A294" t="s">
        <v>35</v>
      </c>
      <c r="B294" t="s">
        <v>4</v>
      </c>
      <c r="C294" t="s">
        <v>11</v>
      </c>
      <c r="D294">
        <f ca="1">'2BAS Calcs'!N294</f>
        <v>6.1371248532701267E-10</v>
      </c>
    </row>
    <row r="295" spans="1:4" x14ac:dyDescent="0.35">
      <c r="A295" t="s">
        <v>36</v>
      </c>
      <c r="B295" t="s">
        <v>4</v>
      </c>
      <c r="C295" t="s">
        <v>11</v>
      </c>
      <c r="D295">
        <f ca="1">'2BAS Calcs'!N295</f>
        <v>6.1371248532701267E-10</v>
      </c>
    </row>
    <row r="296" spans="1:4" x14ac:dyDescent="0.35">
      <c r="A296" t="s">
        <v>37</v>
      </c>
      <c r="B296" t="s">
        <v>4</v>
      </c>
      <c r="C296" t="s">
        <v>11</v>
      </c>
      <c r="D296">
        <f ca="1">'2BAS Calcs'!N296</f>
        <v>6.1371248532701267E-10</v>
      </c>
    </row>
    <row r="297" spans="1:4" x14ac:dyDescent="0.35">
      <c r="A297" t="s">
        <v>38</v>
      </c>
      <c r="B297" t="s">
        <v>4</v>
      </c>
      <c r="C297" t="s">
        <v>11</v>
      </c>
      <c r="D297">
        <f ca="1">'2BAS Calcs'!N297</f>
        <v>6.1371248532701267E-10</v>
      </c>
    </row>
    <row r="298" spans="1:4" x14ac:dyDescent="0.35">
      <c r="A298" t="s">
        <v>39</v>
      </c>
      <c r="B298" t="s">
        <v>4</v>
      </c>
      <c r="C298" t="s">
        <v>11</v>
      </c>
      <c r="D298">
        <f ca="1">'2BAS Calcs'!N298</f>
        <v>6.1371248532701267E-10</v>
      </c>
    </row>
    <row r="299" spans="1:4" x14ac:dyDescent="0.35">
      <c r="A299" t="s">
        <v>7</v>
      </c>
      <c r="B299" t="s">
        <v>5</v>
      </c>
      <c r="C299" t="s">
        <v>11</v>
      </c>
      <c r="D299">
        <f ca="1">'2BAS Calcs'!N299</f>
        <v>5.6779599264768724E-3</v>
      </c>
    </row>
    <row r="300" spans="1:4" x14ac:dyDescent="0.35">
      <c r="A300" t="s">
        <v>8</v>
      </c>
      <c r="B300" t="s">
        <v>5</v>
      </c>
      <c r="C300" t="s">
        <v>11</v>
      </c>
      <c r="D300">
        <f ca="1">'2BAS Calcs'!N300</f>
        <v>8.9577295156370133E-3</v>
      </c>
    </row>
    <row r="301" spans="1:4" x14ac:dyDescent="0.35">
      <c r="A301" t="s">
        <v>9</v>
      </c>
      <c r="B301" t="s">
        <v>5</v>
      </c>
      <c r="C301" t="s">
        <v>11</v>
      </c>
      <c r="D301">
        <f ca="1">'2BAS Calcs'!N301</f>
        <v>2.2414986875490287E-3</v>
      </c>
    </row>
    <row r="302" spans="1:4" x14ac:dyDescent="0.35">
      <c r="A302" t="s">
        <v>10</v>
      </c>
      <c r="B302" t="s">
        <v>5</v>
      </c>
      <c r="C302" t="s">
        <v>11</v>
      </c>
      <c r="D302">
        <f ca="1">'2BAS Calcs'!N302</f>
        <v>4.3987205929740043E-2</v>
      </c>
    </row>
    <row r="303" spans="1:4" x14ac:dyDescent="0.35">
      <c r="A303" t="s">
        <v>11</v>
      </c>
      <c r="B303" t="s">
        <v>5</v>
      </c>
      <c r="C303" t="s">
        <v>11</v>
      </c>
      <c r="D303">
        <f ca="1">'2BAS Calcs'!N303</f>
        <v>2.2924789153883868E-2</v>
      </c>
    </row>
    <row r="304" spans="1:4" x14ac:dyDescent="0.35">
      <c r="A304" t="s">
        <v>12</v>
      </c>
      <c r="B304" t="s">
        <v>5</v>
      </c>
      <c r="C304" t="s">
        <v>11</v>
      </c>
      <c r="D304">
        <f ca="1">'2BAS Calcs'!N304</f>
        <v>4.1033695080182017E-4</v>
      </c>
    </row>
    <row r="305" spans="1:4" x14ac:dyDescent="0.35">
      <c r="A305" t="s">
        <v>13</v>
      </c>
      <c r="B305" t="s">
        <v>5</v>
      </c>
      <c r="C305" t="s">
        <v>11</v>
      </c>
      <c r="D305">
        <f ca="1">'2BAS Calcs'!N305</f>
        <v>5.9088106871230507E-3</v>
      </c>
    </row>
    <row r="306" spans="1:4" x14ac:dyDescent="0.35">
      <c r="A306" t="s">
        <v>14</v>
      </c>
      <c r="B306" t="s">
        <v>5</v>
      </c>
      <c r="C306" t="s">
        <v>11</v>
      </c>
      <c r="D306">
        <f ca="1">'2BAS Calcs'!N306</f>
        <v>1.4879080121511378E-3</v>
      </c>
    </row>
    <row r="307" spans="1:4" x14ac:dyDescent="0.35">
      <c r="A307" t="s">
        <v>15</v>
      </c>
      <c r="B307" t="s">
        <v>5</v>
      </c>
      <c r="C307" t="s">
        <v>11</v>
      </c>
      <c r="D307">
        <f ca="1">'2BAS Calcs'!N307</f>
        <v>2.039673447848965E-2</v>
      </c>
    </row>
    <row r="308" spans="1:4" x14ac:dyDescent="0.35">
      <c r="A308" t="s">
        <v>16</v>
      </c>
      <c r="B308" t="s">
        <v>5</v>
      </c>
      <c r="C308" t="s">
        <v>11</v>
      </c>
      <c r="D308">
        <f ca="1">'2BAS Calcs'!N308</f>
        <v>1.5621187602714909E-2</v>
      </c>
    </row>
    <row r="309" spans="1:4" x14ac:dyDescent="0.35">
      <c r="A309" t="s">
        <v>17</v>
      </c>
      <c r="B309" t="s">
        <v>5</v>
      </c>
      <c r="C309" t="s">
        <v>11</v>
      </c>
      <c r="D309">
        <f ca="1">'2BAS Calcs'!N309</f>
        <v>5.8968011246098113E-3</v>
      </c>
    </row>
    <row r="310" spans="1:4" x14ac:dyDescent="0.35">
      <c r="A310" t="s">
        <v>18</v>
      </c>
      <c r="B310" t="s">
        <v>5</v>
      </c>
      <c r="C310" t="s">
        <v>11</v>
      </c>
      <c r="D310">
        <f ca="1">'2BAS Calcs'!N310</f>
        <v>7.3811071909788195E-2</v>
      </c>
    </row>
    <row r="311" spans="1:4" x14ac:dyDescent="0.35">
      <c r="A311" t="s">
        <v>19</v>
      </c>
      <c r="B311" t="s">
        <v>5</v>
      </c>
      <c r="C311" t="s">
        <v>11</v>
      </c>
      <c r="D311">
        <f ca="1">'2BAS Calcs'!N311</f>
        <v>0.28275337842336068</v>
      </c>
    </row>
    <row r="312" spans="1:4" x14ac:dyDescent="0.35">
      <c r="A312" t="s">
        <v>20</v>
      </c>
      <c r="B312" t="s">
        <v>5</v>
      </c>
      <c r="C312" t="s">
        <v>11</v>
      </c>
      <c r="D312">
        <f ca="1">'2BAS Calcs'!N312</f>
        <v>0.15160373639585928</v>
      </c>
    </row>
    <row r="313" spans="1:4" x14ac:dyDescent="0.35">
      <c r="A313" t="s">
        <v>21</v>
      </c>
      <c r="B313" t="s">
        <v>5</v>
      </c>
      <c r="C313" t="s">
        <v>11</v>
      </c>
      <c r="D313">
        <f ca="1">'2BAS Calcs'!N313</f>
        <v>0.2419425110198774</v>
      </c>
    </row>
    <row r="314" spans="1:4" x14ac:dyDescent="0.35">
      <c r="A314" t="s">
        <v>22</v>
      </c>
      <c r="B314" t="s">
        <v>5</v>
      </c>
      <c r="C314" t="s">
        <v>11</v>
      </c>
      <c r="D314">
        <f ca="1">'2BAS Calcs'!N314</f>
        <v>9.1801376853453853E-2</v>
      </c>
    </row>
    <row r="315" spans="1:4" x14ac:dyDescent="0.35">
      <c r="A315" t="s">
        <v>23</v>
      </c>
      <c r="B315" t="s">
        <v>5</v>
      </c>
      <c r="C315" t="s">
        <v>11</v>
      </c>
      <c r="D315">
        <f ca="1">'2BAS Calcs'!N315</f>
        <v>6.1371248532701267E-10</v>
      </c>
    </row>
    <row r="316" spans="1:4" x14ac:dyDescent="0.35">
      <c r="A316" t="s">
        <v>24</v>
      </c>
      <c r="B316" t="s">
        <v>5</v>
      </c>
      <c r="C316" t="s">
        <v>11</v>
      </c>
      <c r="D316">
        <f ca="1">'2BAS Calcs'!N316</f>
        <v>1.7970648588077339E-2</v>
      </c>
    </row>
    <row r="317" spans="1:4" x14ac:dyDescent="0.35">
      <c r="A317" t="s">
        <v>25</v>
      </c>
      <c r="B317" t="s">
        <v>5</v>
      </c>
      <c r="C317" t="s">
        <v>11</v>
      </c>
      <c r="D317">
        <f ca="1">'2BAS Calcs'!N317</f>
        <v>1.5723103432059538E-3</v>
      </c>
    </row>
    <row r="318" spans="1:4" x14ac:dyDescent="0.35">
      <c r="A318" t="s">
        <v>26</v>
      </c>
      <c r="B318" t="s">
        <v>5</v>
      </c>
      <c r="C318" t="s">
        <v>11</v>
      </c>
      <c r="D318">
        <f ca="1">'2BAS Calcs'!N318</f>
        <v>6.1371248532701267E-10</v>
      </c>
    </row>
    <row r="319" spans="1:4" x14ac:dyDescent="0.35">
      <c r="A319" t="s">
        <v>27</v>
      </c>
      <c r="B319" t="s">
        <v>5</v>
      </c>
      <c r="C319" t="s">
        <v>11</v>
      </c>
      <c r="D319">
        <f ca="1">'2BAS Calcs'!N319</f>
        <v>6.1371248532701267E-10</v>
      </c>
    </row>
    <row r="320" spans="1:4" x14ac:dyDescent="0.35">
      <c r="A320" t="s">
        <v>28</v>
      </c>
      <c r="B320" t="s">
        <v>5</v>
      </c>
      <c r="C320" t="s">
        <v>11</v>
      </c>
      <c r="D320">
        <f ca="1">'2BAS Calcs'!N320</f>
        <v>6.1371248532701267E-10</v>
      </c>
    </row>
    <row r="321" spans="1:4" x14ac:dyDescent="0.35">
      <c r="A321" t="s">
        <v>29</v>
      </c>
      <c r="B321" t="s">
        <v>5</v>
      </c>
      <c r="C321" t="s">
        <v>11</v>
      </c>
      <c r="D321">
        <f ca="1">'2BAS Calcs'!N321</f>
        <v>6.1371248532701267E-10</v>
      </c>
    </row>
    <row r="322" spans="1:4" x14ac:dyDescent="0.35">
      <c r="A322" t="s">
        <v>30</v>
      </c>
      <c r="B322" t="s">
        <v>5</v>
      </c>
      <c r="C322" t="s">
        <v>11</v>
      </c>
      <c r="D322">
        <f ca="1">'2BAS Calcs'!N322</f>
        <v>6.1371248532701267E-10</v>
      </c>
    </row>
    <row r="323" spans="1:4" x14ac:dyDescent="0.35">
      <c r="A323" t="s">
        <v>31</v>
      </c>
      <c r="B323" t="s">
        <v>5</v>
      </c>
      <c r="C323" t="s">
        <v>11</v>
      </c>
      <c r="D323">
        <f ca="1">'2BAS Calcs'!N323</f>
        <v>6.1371248532701267E-10</v>
      </c>
    </row>
    <row r="324" spans="1:4" x14ac:dyDescent="0.35">
      <c r="A324" t="s">
        <v>32</v>
      </c>
      <c r="B324" t="s">
        <v>5</v>
      </c>
      <c r="C324" t="s">
        <v>11</v>
      </c>
      <c r="D324">
        <f ca="1">'2BAS Calcs'!N324</f>
        <v>6.1371248532701267E-10</v>
      </c>
    </row>
    <row r="325" spans="1:4" x14ac:dyDescent="0.35">
      <c r="A325" t="s">
        <v>33</v>
      </c>
      <c r="B325" t="s">
        <v>5</v>
      </c>
      <c r="C325" t="s">
        <v>11</v>
      </c>
      <c r="D325">
        <f ca="1">'2BAS Calcs'!N325</f>
        <v>6.1371248532701267E-10</v>
      </c>
    </row>
    <row r="326" spans="1:4" x14ac:dyDescent="0.35">
      <c r="A326" t="s">
        <v>34</v>
      </c>
      <c r="B326" t="s">
        <v>5</v>
      </c>
      <c r="C326" t="s">
        <v>11</v>
      </c>
      <c r="D326">
        <f ca="1">'2BAS Calcs'!N326</f>
        <v>6.1371248532701267E-10</v>
      </c>
    </row>
    <row r="327" spans="1:4" x14ac:dyDescent="0.35">
      <c r="A327" t="s">
        <v>35</v>
      </c>
      <c r="B327" t="s">
        <v>5</v>
      </c>
      <c r="C327" t="s">
        <v>11</v>
      </c>
      <c r="D327">
        <f ca="1">'2BAS Calcs'!N327</f>
        <v>6.1371248532701267E-10</v>
      </c>
    </row>
    <row r="328" spans="1:4" x14ac:dyDescent="0.35">
      <c r="A328" t="s">
        <v>36</v>
      </c>
      <c r="B328" t="s">
        <v>5</v>
      </c>
      <c r="C328" t="s">
        <v>11</v>
      </c>
      <c r="D328">
        <f ca="1">'2BAS Calcs'!N328</f>
        <v>6.1371248532701267E-10</v>
      </c>
    </row>
    <row r="329" spans="1:4" x14ac:dyDescent="0.35">
      <c r="A329" t="s">
        <v>37</v>
      </c>
      <c r="B329" t="s">
        <v>5</v>
      </c>
      <c r="C329" t="s">
        <v>11</v>
      </c>
      <c r="D329">
        <f ca="1">'2BAS Calcs'!N329</f>
        <v>6.1371248532701267E-10</v>
      </c>
    </row>
    <row r="330" spans="1:4" x14ac:dyDescent="0.35">
      <c r="A330" t="s">
        <v>38</v>
      </c>
      <c r="B330" t="s">
        <v>5</v>
      </c>
      <c r="C330" t="s">
        <v>11</v>
      </c>
      <c r="D330">
        <f ca="1">'2BAS Calcs'!N330</f>
        <v>6.1371248532701267E-10</v>
      </c>
    </row>
    <row r="331" spans="1:4" x14ac:dyDescent="0.35">
      <c r="A331" t="s">
        <v>39</v>
      </c>
      <c r="B331" t="s">
        <v>5</v>
      </c>
      <c r="C331" t="s">
        <v>11</v>
      </c>
      <c r="D331">
        <f ca="1">'2BAS Calcs'!N331</f>
        <v>6.1371248532701267E-10</v>
      </c>
    </row>
    <row r="332" spans="1:4" x14ac:dyDescent="0.35">
      <c r="A332" t="s">
        <v>7</v>
      </c>
      <c r="B332" t="s">
        <v>4</v>
      </c>
      <c r="C332" t="s">
        <v>12</v>
      </c>
      <c r="D332">
        <f ca="1">'2BAS Calcs'!N332</f>
        <v>3.4057545464290614E-2</v>
      </c>
    </row>
    <row r="333" spans="1:4" x14ac:dyDescent="0.35">
      <c r="A333" t="s">
        <v>8</v>
      </c>
      <c r="B333" t="s">
        <v>4</v>
      </c>
      <c r="C333" t="s">
        <v>12</v>
      </c>
      <c r="D333">
        <f ca="1">'2BAS Calcs'!N333</f>
        <v>5.941056595441558E-2</v>
      </c>
    </row>
    <row r="334" spans="1:4" x14ac:dyDescent="0.35">
      <c r="A334" t="s">
        <v>9</v>
      </c>
      <c r="B334" t="s">
        <v>4</v>
      </c>
      <c r="C334" t="s">
        <v>12</v>
      </c>
      <c r="D334">
        <f ca="1">'2BAS Calcs'!N334</f>
        <v>0.10003484925881555</v>
      </c>
    </row>
    <row r="335" spans="1:4" x14ac:dyDescent="0.35">
      <c r="A335" t="s">
        <v>10</v>
      </c>
      <c r="B335" t="s">
        <v>4</v>
      </c>
      <c r="C335" t="s">
        <v>12</v>
      </c>
      <c r="D335">
        <f ca="1">'2BAS Calcs'!N335</f>
        <v>0.52106682779468405</v>
      </c>
    </row>
    <row r="336" spans="1:4" x14ac:dyDescent="0.35">
      <c r="A336" t="s">
        <v>11</v>
      </c>
      <c r="B336" t="s">
        <v>4</v>
      </c>
      <c r="C336" t="s">
        <v>12</v>
      </c>
      <c r="D336">
        <f ca="1">'2BAS Calcs'!N336</f>
        <v>3.6973954496886917E-3</v>
      </c>
    </row>
    <row r="337" spans="1:4" x14ac:dyDescent="0.35">
      <c r="A337" t="s">
        <v>12</v>
      </c>
      <c r="B337" t="s">
        <v>4</v>
      </c>
      <c r="C337" t="s">
        <v>12</v>
      </c>
      <c r="D337">
        <f ca="1">'2BAS Calcs'!N337</f>
        <v>2.2760863380083481E-2</v>
      </c>
    </row>
    <row r="338" spans="1:4" x14ac:dyDescent="0.35">
      <c r="A338" t="s">
        <v>13</v>
      </c>
      <c r="B338" t="s">
        <v>4</v>
      </c>
      <c r="C338" t="s">
        <v>12</v>
      </c>
      <c r="D338">
        <f ca="1">'2BAS Calcs'!N338</f>
        <v>0.45557187631665813</v>
      </c>
    </row>
    <row r="339" spans="1:4" x14ac:dyDescent="0.35">
      <c r="A339" t="s">
        <v>14</v>
      </c>
      <c r="B339" t="s">
        <v>4</v>
      </c>
      <c r="C339" t="s">
        <v>12</v>
      </c>
      <c r="D339">
        <f ca="1">'2BAS Calcs'!N339</f>
        <v>6.9420379538689542E-2</v>
      </c>
    </row>
    <row r="340" spans="1:4" x14ac:dyDescent="0.35">
      <c r="A340" t="s">
        <v>15</v>
      </c>
      <c r="B340" t="s">
        <v>4</v>
      </c>
      <c r="C340" t="s">
        <v>12</v>
      </c>
      <c r="D340">
        <f ca="1">'2BAS Calcs'!N340</f>
        <v>0.43229463006730806</v>
      </c>
    </row>
    <row r="341" spans="1:4" x14ac:dyDescent="0.35">
      <c r="A341" t="s">
        <v>16</v>
      </c>
      <c r="B341" t="s">
        <v>4</v>
      </c>
      <c r="C341" t="s">
        <v>12</v>
      </c>
      <c r="D341">
        <f ca="1">'2BAS Calcs'!N341</f>
        <v>0.67671552945172087</v>
      </c>
    </row>
    <row r="342" spans="1:4" x14ac:dyDescent="0.35">
      <c r="A342" t="s">
        <v>17</v>
      </c>
      <c r="B342" t="s">
        <v>4</v>
      </c>
      <c r="C342" t="s">
        <v>12</v>
      </c>
      <c r="D342">
        <f ca="1">'2BAS Calcs'!N342</f>
        <v>0.62689282769712129</v>
      </c>
    </row>
    <row r="343" spans="1:4" x14ac:dyDescent="0.35">
      <c r="A343" t="s">
        <v>18</v>
      </c>
      <c r="B343" t="s">
        <v>4</v>
      </c>
      <c r="C343" t="s">
        <v>12</v>
      </c>
      <c r="D343">
        <f ca="1">'2BAS Calcs'!N343</f>
        <v>1.8335530401642144</v>
      </c>
    </row>
    <row r="344" spans="1:4" x14ac:dyDescent="0.35">
      <c r="A344" t="s">
        <v>19</v>
      </c>
      <c r="B344" t="s">
        <v>4</v>
      </c>
      <c r="C344" t="s">
        <v>12</v>
      </c>
      <c r="D344">
        <f ca="1">'2BAS Calcs'!N344</f>
        <v>2.6539234794547131</v>
      </c>
    </row>
    <row r="345" spans="1:4" x14ac:dyDescent="0.35">
      <c r="A345" t="s">
        <v>20</v>
      </c>
      <c r="B345" t="s">
        <v>4</v>
      </c>
      <c r="C345" t="s">
        <v>12</v>
      </c>
      <c r="D345">
        <f ca="1">'2BAS Calcs'!N345</f>
        <v>0.5520737053775594</v>
      </c>
    </row>
    <row r="346" spans="1:4" x14ac:dyDescent="0.35">
      <c r="A346" t="s">
        <v>21</v>
      </c>
      <c r="B346" t="s">
        <v>4</v>
      </c>
      <c r="C346" t="s">
        <v>12</v>
      </c>
      <c r="D346">
        <f ca="1">'2BAS Calcs'!N346</f>
        <v>0.79747484167577409</v>
      </c>
    </row>
    <row r="347" spans="1:4" x14ac:dyDescent="0.35">
      <c r="A347" t="s">
        <v>22</v>
      </c>
      <c r="B347" t="s">
        <v>4</v>
      </c>
      <c r="C347" t="s">
        <v>12</v>
      </c>
      <c r="D347">
        <f ca="1">'2BAS Calcs'!N347</f>
        <v>2.1714722139632898</v>
      </c>
    </row>
    <row r="348" spans="1:4" x14ac:dyDescent="0.35">
      <c r="A348" t="s">
        <v>23</v>
      </c>
      <c r="B348" t="s">
        <v>4</v>
      </c>
      <c r="C348" t="s">
        <v>12</v>
      </c>
      <c r="D348">
        <f ca="1">'2BAS Calcs'!N348</f>
        <v>4.9551556067427664E-8</v>
      </c>
    </row>
    <row r="349" spans="1:4" x14ac:dyDescent="0.35">
      <c r="A349" t="s">
        <v>24</v>
      </c>
      <c r="B349" t="s">
        <v>4</v>
      </c>
      <c r="C349" t="s">
        <v>12</v>
      </c>
      <c r="D349">
        <f ca="1">'2BAS Calcs'!N349</f>
        <v>72.132918866532449</v>
      </c>
    </row>
    <row r="350" spans="1:4" x14ac:dyDescent="0.35">
      <c r="A350" t="s">
        <v>25</v>
      </c>
      <c r="B350" t="s">
        <v>4</v>
      </c>
      <c r="C350" t="s">
        <v>12</v>
      </c>
      <c r="D350">
        <f ca="1">'2BAS Calcs'!N350</f>
        <v>11.533572812366321</v>
      </c>
    </row>
    <row r="351" spans="1:4" x14ac:dyDescent="0.35">
      <c r="A351" t="s">
        <v>26</v>
      </c>
      <c r="B351" t="s">
        <v>4</v>
      </c>
      <c r="C351" t="s">
        <v>12</v>
      </c>
      <c r="D351">
        <f ca="1">'2BAS Calcs'!N351</f>
        <v>4.9551556067427664E-8</v>
      </c>
    </row>
    <row r="352" spans="1:4" x14ac:dyDescent="0.35">
      <c r="A352" t="s">
        <v>27</v>
      </c>
      <c r="B352" t="s">
        <v>4</v>
      </c>
      <c r="C352" t="s">
        <v>12</v>
      </c>
      <c r="D352">
        <f ca="1">'2BAS Calcs'!N352</f>
        <v>4.9551556067427664E-8</v>
      </c>
    </row>
    <row r="353" spans="1:4" x14ac:dyDescent="0.35">
      <c r="A353" t="s">
        <v>28</v>
      </c>
      <c r="B353" t="s">
        <v>4</v>
      </c>
      <c r="C353" t="s">
        <v>12</v>
      </c>
      <c r="D353">
        <f ca="1">'2BAS Calcs'!N353</f>
        <v>4.9551556067427664E-8</v>
      </c>
    </row>
    <row r="354" spans="1:4" x14ac:dyDescent="0.35">
      <c r="A354" t="s">
        <v>29</v>
      </c>
      <c r="B354" t="s">
        <v>4</v>
      </c>
      <c r="C354" t="s">
        <v>12</v>
      </c>
      <c r="D354">
        <f ca="1">'2BAS Calcs'!N354</f>
        <v>4.9551556067427664E-8</v>
      </c>
    </row>
    <row r="355" spans="1:4" x14ac:dyDescent="0.35">
      <c r="A355" t="s">
        <v>30</v>
      </c>
      <c r="B355" t="s">
        <v>4</v>
      </c>
      <c r="C355" t="s">
        <v>12</v>
      </c>
      <c r="D355">
        <f ca="1">'2BAS Calcs'!N355</f>
        <v>4.9551556067427664E-8</v>
      </c>
    </row>
    <row r="356" spans="1:4" x14ac:dyDescent="0.35">
      <c r="A356" t="s">
        <v>31</v>
      </c>
      <c r="B356" t="s">
        <v>4</v>
      </c>
      <c r="C356" t="s">
        <v>12</v>
      </c>
      <c r="D356">
        <f ca="1">'2BAS Calcs'!N356</f>
        <v>4.9551556067427664E-8</v>
      </c>
    </row>
    <row r="357" spans="1:4" x14ac:dyDescent="0.35">
      <c r="A357" t="s">
        <v>32</v>
      </c>
      <c r="B357" t="s">
        <v>4</v>
      </c>
      <c r="C357" t="s">
        <v>12</v>
      </c>
      <c r="D357">
        <f ca="1">'2BAS Calcs'!N357</f>
        <v>4.9551556067427664E-8</v>
      </c>
    </row>
    <row r="358" spans="1:4" x14ac:dyDescent="0.35">
      <c r="A358" t="s">
        <v>33</v>
      </c>
      <c r="B358" t="s">
        <v>4</v>
      </c>
      <c r="C358" t="s">
        <v>12</v>
      </c>
      <c r="D358">
        <f ca="1">'2BAS Calcs'!N358</f>
        <v>4.9551556067427664E-8</v>
      </c>
    </row>
    <row r="359" spans="1:4" x14ac:dyDescent="0.35">
      <c r="A359" t="s">
        <v>34</v>
      </c>
      <c r="B359" t="s">
        <v>4</v>
      </c>
      <c r="C359" t="s">
        <v>12</v>
      </c>
      <c r="D359">
        <f ca="1">'2BAS Calcs'!N359</f>
        <v>4.9551556067427664E-8</v>
      </c>
    </row>
    <row r="360" spans="1:4" x14ac:dyDescent="0.35">
      <c r="A360" t="s">
        <v>35</v>
      </c>
      <c r="B360" t="s">
        <v>4</v>
      </c>
      <c r="C360" t="s">
        <v>12</v>
      </c>
      <c r="D360">
        <f ca="1">'2BAS Calcs'!N360</f>
        <v>4.9551556067427664E-8</v>
      </c>
    </row>
    <row r="361" spans="1:4" x14ac:dyDescent="0.35">
      <c r="A361" t="s">
        <v>36</v>
      </c>
      <c r="B361" t="s">
        <v>4</v>
      </c>
      <c r="C361" t="s">
        <v>12</v>
      </c>
      <c r="D361">
        <f ca="1">'2BAS Calcs'!N361</f>
        <v>4.9551556067427664E-8</v>
      </c>
    </row>
    <row r="362" spans="1:4" x14ac:dyDescent="0.35">
      <c r="A362" t="s">
        <v>37</v>
      </c>
      <c r="B362" t="s">
        <v>4</v>
      </c>
      <c r="C362" t="s">
        <v>12</v>
      </c>
      <c r="D362">
        <f ca="1">'2BAS Calcs'!N362</f>
        <v>4.9551556067427664E-8</v>
      </c>
    </row>
    <row r="363" spans="1:4" x14ac:dyDescent="0.35">
      <c r="A363" t="s">
        <v>38</v>
      </c>
      <c r="B363" t="s">
        <v>4</v>
      </c>
      <c r="C363" t="s">
        <v>12</v>
      </c>
      <c r="D363">
        <f ca="1">'2BAS Calcs'!N363</f>
        <v>4.9551556067427664E-8</v>
      </c>
    </row>
    <row r="364" spans="1:4" x14ac:dyDescent="0.35">
      <c r="A364" t="s">
        <v>39</v>
      </c>
      <c r="B364" t="s">
        <v>4</v>
      </c>
      <c r="C364" t="s">
        <v>12</v>
      </c>
      <c r="D364">
        <f ca="1">'2BAS Calcs'!N364</f>
        <v>4.9551556067427664E-8</v>
      </c>
    </row>
    <row r="365" spans="1:4" x14ac:dyDescent="0.35">
      <c r="A365" t="s">
        <v>7</v>
      </c>
      <c r="B365" t="s">
        <v>5</v>
      </c>
      <c r="C365" t="s">
        <v>12</v>
      </c>
      <c r="D365">
        <f ca="1">'2BAS Calcs'!N365</f>
        <v>0.45844227773125684</v>
      </c>
    </row>
    <row r="366" spans="1:4" x14ac:dyDescent="0.35">
      <c r="A366" t="s">
        <v>8</v>
      </c>
      <c r="B366" t="s">
        <v>5</v>
      </c>
      <c r="C366" t="s">
        <v>12</v>
      </c>
      <c r="D366">
        <f ca="1">'2BAS Calcs'!N366</f>
        <v>0.72325306547157209</v>
      </c>
    </row>
    <row r="367" spans="1:4" x14ac:dyDescent="0.35">
      <c r="A367" t="s">
        <v>9</v>
      </c>
      <c r="B367" t="s">
        <v>5</v>
      </c>
      <c r="C367" t="s">
        <v>12</v>
      </c>
      <c r="D367">
        <f ca="1">'2BAS Calcs'!N367</f>
        <v>0.18098010150790472</v>
      </c>
    </row>
    <row r="368" spans="1:4" x14ac:dyDescent="0.35">
      <c r="A368" t="s">
        <v>10</v>
      </c>
      <c r="B368" t="s">
        <v>5</v>
      </c>
      <c r="C368" t="s">
        <v>12</v>
      </c>
      <c r="D368">
        <f ca="1">'2BAS Calcs'!N368</f>
        <v>3.5515563932442999</v>
      </c>
    </row>
    <row r="369" spans="1:4" x14ac:dyDescent="0.35">
      <c r="A369" t="s">
        <v>11</v>
      </c>
      <c r="B369" t="s">
        <v>5</v>
      </c>
      <c r="C369" t="s">
        <v>12</v>
      </c>
      <c r="D369">
        <f ca="1">'2BAS Calcs'!N369</f>
        <v>1.8509627916195086</v>
      </c>
    </row>
    <row r="370" spans="1:4" x14ac:dyDescent="0.35">
      <c r="A370" t="s">
        <v>12</v>
      </c>
      <c r="B370" t="s">
        <v>5</v>
      </c>
      <c r="C370" t="s">
        <v>12</v>
      </c>
      <c r="D370">
        <f ca="1">'2BAS Calcs'!N370</f>
        <v>3.3130879541027232E-2</v>
      </c>
    </row>
    <row r="371" spans="1:4" x14ac:dyDescent="0.35">
      <c r="A371" t="s">
        <v>13</v>
      </c>
      <c r="B371" t="s">
        <v>5</v>
      </c>
      <c r="C371" t="s">
        <v>12</v>
      </c>
      <c r="D371">
        <f ca="1">'2BAS Calcs'!N371</f>
        <v>0.47708132237000528</v>
      </c>
    </row>
    <row r="372" spans="1:4" x14ac:dyDescent="0.35">
      <c r="A372" t="s">
        <v>14</v>
      </c>
      <c r="B372" t="s">
        <v>5</v>
      </c>
      <c r="C372" t="s">
        <v>12</v>
      </c>
      <c r="D372">
        <f ca="1">'2BAS Calcs'!N372</f>
        <v>0.12013468692590862</v>
      </c>
    </row>
    <row r="373" spans="1:4" x14ac:dyDescent="0.35">
      <c r="A373" t="s">
        <v>15</v>
      </c>
      <c r="B373" t="s">
        <v>5</v>
      </c>
      <c r="C373" t="s">
        <v>12</v>
      </c>
      <c r="D373">
        <f ca="1">'2BAS Calcs'!N373</f>
        <v>1.6468459682138865</v>
      </c>
    </row>
    <row r="374" spans="1:4" x14ac:dyDescent="0.35">
      <c r="A374" t="s">
        <v>16</v>
      </c>
      <c r="B374" t="s">
        <v>5</v>
      </c>
      <c r="C374" t="s">
        <v>12</v>
      </c>
      <c r="D374">
        <f ca="1">'2BAS Calcs'!N374</f>
        <v>1.2612651230702665</v>
      </c>
    </row>
    <row r="375" spans="1:4" x14ac:dyDescent="0.35">
      <c r="A375" t="s">
        <v>17</v>
      </c>
      <c r="B375" t="s">
        <v>5</v>
      </c>
      <c r="C375" t="s">
        <v>12</v>
      </c>
      <c r="D375">
        <f ca="1">'2BAS Calcs'!N375</f>
        <v>0.47611166226947299</v>
      </c>
    </row>
    <row r="376" spans="1:4" x14ac:dyDescent="0.35">
      <c r="A376" t="s">
        <v>18</v>
      </c>
      <c r="B376" t="s">
        <v>5</v>
      </c>
      <c r="C376" t="s">
        <v>12</v>
      </c>
      <c r="D376">
        <f ca="1">'2BAS Calcs'!N376</f>
        <v>5.9595552568658512</v>
      </c>
    </row>
    <row r="377" spans="1:4" x14ac:dyDescent="0.35">
      <c r="A377" t="s">
        <v>19</v>
      </c>
      <c r="B377" t="s">
        <v>5</v>
      </c>
      <c r="C377" t="s">
        <v>12</v>
      </c>
      <c r="D377">
        <f ca="1">'2BAS Calcs'!N377</f>
        <v>22.829696672594412</v>
      </c>
    </row>
    <row r="378" spans="1:4" x14ac:dyDescent="0.35">
      <c r="A378" t="s">
        <v>20</v>
      </c>
      <c r="B378" t="s">
        <v>5</v>
      </c>
      <c r="C378" t="s">
        <v>12</v>
      </c>
      <c r="D378">
        <f ca="1">'2BAS Calcs'!N378</f>
        <v>12.240586958318305</v>
      </c>
    </row>
    <row r="379" spans="1:4" x14ac:dyDescent="0.35">
      <c r="A379" t="s">
        <v>21</v>
      </c>
      <c r="B379" t="s">
        <v>5</v>
      </c>
      <c r="C379" t="s">
        <v>12</v>
      </c>
      <c r="D379">
        <f ca="1">'2BAS Calcs'!N379</f>
        <v>19.534599973972551</v>
      </c>
    </row>
    <row r="380" spans="1:4" x14ac:dyDescent="0.35">
      <c r="A380" t="s">
        <v>22</v>
      </c>
      <c r="B380" t="s">
        <v>5</v>
      </c>
      <c r="C380" t="s">
        <v>12</v>
      </c>
      <c r="D380">
        <f ca="1">'2BAS Calcs'!N380</f>
        <v>7.4121044967777099</v>
      </c>
    </row>
    <row r="381" spans="1:4" x14ac:dyDescent="0.35">
      <c r="A381" t="s">
        <v>23</v>
      </c>
      <c r="B381" t="s">
        <v>5</v>
      </c>
      <c r="C381" t="s">
        <v>12</v>
      </c>
      <c r="D381">
        <f ca="1">'2BAS Calcs'!N381</f>
        <v>4.9551556067427664E-8</v>
      </c>
    </row>
    <row r="382" spans="1:4" x14ac:dyDescent="0.35">
      <c r="A382" t="s">
        <v>24</v>
      </c>
      <c r="B382" t="s">
        <v>5</v>
      </c>
      <c r="C382" t="s">
        <v>12</v>
      </c>
      <c r="D382">
        <f ca="1">'2BAS Calcs'!N382</f>
        <v>1.4509621726298612</v>
      </c>
    </row>
    <row r="383" spans="1:4" x14ac:dyDescent="0.35">
      <c r="A383" t="s">
        <v>25</v>
      </c>
      <c r="B383" t="s">
        <v>5</v>
      </c>
      <c r="C383" t="s">
        <v>12</v>
      </c>
      <c r="D383">
        <f ca="1">'2BAS Calcs'!N383</f>
        <v>0.12694938752183313</v>
      </c>
    </row>
    <row r="384" spans="1:4" x14ac:dyDescent="0.35">
      <c r="A384" t="s">
        <v>26</v>
      </c>
      <c r="B384" t="s">
        <v>5</v>
      </c>
      <c r="C384" t="s">
        <v>12</v>
      </c>
      <c r="D384">
        <f ca="1">'2BAS Calcs'!N384</f>
        <v>4.9551556067427664E-8</v>
      </c>
    </row>
    <row r="385" spans="1:4" x14ac:dyDescent="0.35">
      <c r="A385" t="s">
        <v>27</v>
      </c>
      <c r="B385" t="s">
        <v>5</v>
      </c>
      <c r="C385" t="s">
        <v>12</v>
      </c>
      <c r="D385">
        <f ca="1">'2BAS Calcs'!N385</f>
        <v>4.9551556067427664E-8</v>
      </c>
    </row>
    <row r="386" spans="1:4" x14ac:dyDescent="0.35">
      <c r="A386" t="s">
        <v>28</v>
      </c>
      <c r="B386" t="s">
        <v>5</v>
      </c>
      <c r="C386" t="s">
        <v>12</v>
      </c>
      <c r="D386">
        <f ca="1">'2BAS Calcs'!N386</f>
        <v>4.9551556067427664E-8</v>
      </c>
    </row>
    <row r="387" spans="1:4" x14ac:dyDescent="0.35">
      <c r="A387" t="s">
        <v>29</v>
      </c>
      <c r="B387" t="s">
        <v>5</v>
      </c>
      <c r="C387" t="s">
        <v>12</v>
      </c>
      <c r="D387">
        <f ca="1">'2BAS Calcs'!N387</f>
        <v>4.9551556067427664E-8</v>
      </c>
    </row>
    <row r="388" spans="1:4" x14ac:dyDescent="0.35">
      <c r="A388" t="s">
        <v>30</v>
      </c>
      <c r="B388" t="s">
        <v>5</v>
      </c>
      <c r="C388" t="s">
        <v>12</v>
      </c>
      <c r="D388">
        <f ca="1">'2BAS Calcs'!N388</f>
        <v>4.9551556067427664E-8</v>
      </c>
    </row>
    <row r="389" spans="1:4" x14ac:dyDescent="0.35">
      <c r="A389" t="s">
        <v>31</v>
      </c>
      <c r="B389" t="s">
        <v>5</v>
      </c>
      <c r="C389" t="s">
        <v>12</v>
      </c>
      <c r="D389">
        <f ca="1">'2BAS Calcs'!N389</f>
        <v>4.9551556067427664E-8</v>
      </c>
    </row>
    <row r="390" spans="1:4" x14ac:dyDescent="0.35">
      <c r="A390" t="s">
        <v>32</v>
      </c>
      <c r="B390" t="s">
        <v>5</v>
      </c>
      <c r="C390" t="s">
        <v>12</v>
      </c>
      <c r="D390">
        <f ca="1">'2BAS Calcs'!N390</f>
        <v>4.9551556067427664E-8</v>
      </c>
    </row>
    <row r="391" spans="1:4" x14ac:dyDescent="0.35">
      <c r="A391" t="s">
        <v>33</v>
      </c>
      <c r="B391" t="s">
        <v>5</v>
      </c>
      <c r="C391" t="s">
        <v>12</v>
      </c>
      <c r="D391">
        <f ca="1">'2BAS Calcs'!N391</f>
        <v>4.9551556067427664E-8</v>
      </c>
    </row>
    <row r="392" spans="1:4" x14ac:dyDescent="0.35">
      <c r="A392" t="s">
        <v>34</v>
      </c>
      <c r="B392" t="s">
        <v>5</v>
      </c>
      <c r="C392" t="s">
        <v>12</v>
      </c>
      <c r="D392">
        <f ca="1">'2BAS Calcs'!N392</f>
        <v>4.9551556067427664E-8</v>
      </c>
    </row>
    <row r="393" spans="1:4" x14ac:dyDescent="0.35">
      <c r="A393" t="s">
        <v>35</v>
      </c>
      <c r="B393" t="s">
        <v>5</v>
      </c>
      <c r="C393" t="s">
        <v>12</v>
      </c>
      <c r="D393">
        <f ca="1">'2BAS Calcs'!N393</f>
        <v>4.9551556067427664E-8</v>
      </c>
    </row>
    <row r="394" spans="1:4" x14ac:dyDescent="0.35">
      <c r="A394" t="s">
        <v>36</v>
      </c>
      <c r="B394" t="s">
        <v>5</v>
      </c>
      <c r="C394" t="s">
        <v>12</v>
      </c>
      <c r="D394">
        <f ca="1">'2BAS Calcs'!N394</f>
        <v>4.9551556067427664E-8</v>
      </c>
    </row>
    <row r="395" spans="1:4" x14ac:dyDescent="0.35">
      <c r="A395" t="s">
        <v>37</v>
      </c>
      <c r="B395" t="s">
        <v>5</v>
      </c>
      <c r="C395" t="s">
        <v>12</v>
      </c>
      <c r="D395">
        <f ca="1">'2BAS Calcs'!N395</f>
        <v>4.9551556067427664E-8</v>
      </c>
    </row>
    <row r="396" spans="1:4" x14ac:dyDescent="0.35">
      <c r="A396" t="s">
        <v>38</v>
      </c>
      <c r="B396" t="s">
        <v>5</v>
      </c>
      <c r="C396" t="s">
        <v>12</v>
      </c>
      <c r="D396">
        <f ca="1">'2BAS Calcs'!N396</f>
        <v>4.9551556067427664E-8</v>
      </c>
    </row>
    <row r="397" spans="1:4" x14ac:dyDescent="0.35">
      <c r="A397" t="s">
        <v>39</v>
      </c>
      <c r="B397" t="s">
        <v>5</v>
      </c>
      <c r="C397" t="s">
        <v>12</v>
      </c>
      <c r="D397">
        <f ca="1">'2BAS Calcs'!N397</f>
        <v>4.9551556067427664E-8</v>
      </c>
    </row>
    <row r="398" spans="1:4" x14ac:dyDescent="0.35">
      <c r="A398" t="s">
        <v>7</v>
      </c>
      <c r="B398" t="s">
        <v>4</v>
      </c>
      <c r="C398" t="s">
        <v>13</v>
      </c>
      <c r="D398">
        <f ca="1">'2BAS Calcs'!N398</f>
        <v>9.731806697718097E-2</v>
      </c>
    </row>
    <row r="399" spans="1:4" x14ac:dyDescent="0.35">
      <c r="A399" t="s">
        <v>8</v>
      </c>
      <c r="B399" t="s">
        <v>4</v>
      </c>
      <c r="C399" t="s">
        <v>13</v>
      </c>
      <c r="D399">
        <f ca="1">'2BAS Calcs'!N399</f>
        <v>0.16976330378142448</v>
      </c>
    </row>
    <row r="400" spans="1:4" x14ac:dyDescent="0.35">
      <c r="A400" t="s">
        <v>9</v>
      </c>
      <c r="B400" t="s">
        <v>4</v>
      </c>
      <c r="C400" t="s">
        <v>13</v>
      </c>
      <c r="D400">
        <f ca="1">'2BAS Calcs'!N400</f>
        <v>0.28584556013964613</v>
      </c>
    </row>
    <row r="401" spans="1:4" x14ac:dyDescent="0.35">
      <c r="A401" t="s">
        <v>10</v>
      </c>
      <c r="B401" t="s">
        <v>4</v>
      </c>
      <c r="C401" t="s">
        <v>13</v>
      </c>
      <c r="D401">
        <f ca="1">'2BAS Calcs'!N401</f>
        <v>1.4889275124092243</v>
      </c>
    </row>
    <row r="402" spans="1:4" x14ac:dyDescent="0.35">
      <c r="A402" t="s">
        <v>11</v>
      </c>
      <c r="B402" t="s">
        <v>4</v>
      </c>
      <c r="C402" t="s">
        <v>13</v>
      </c>
      <c r="D402">
        <f ca="1">'2BAS Calcs'!N402</f>
        <v>1.0565158854187058E-2</v>
      </c>
    </row>
    <row r="403" spans="1:4" x14ac:dyDescent="0.35">
      <c r="A403" t="s">
        <v>12</v>
      </c>
      <c r="B403" t="s">
        <v>4</v>
      </c>
      <c r="C403" t="s">
        <v>13</v>
      </c>
      <c r="D403">
        <f ca="1">'2BAS Calcs'!N403</f>
        <v>6.5038252072625313E-2</v>
      </c>
    </row>
    <row r="404" spans="1:4" x14ac:dyDescent="0.35">
      <c r="A404" t="s">
        <v>13</v>
      </c>
      <c r="B404" t="s">
        <v>4</v>
      </c>
      <c r="C404" t="s">
        <v>13</v>
      </c>
      <c r="D404">
        <f ca="1">'2BAS Calcs'!N404</f>
        <v>1.3017783215995482</v>
      </c>
    </row>
    <row r="405" spans="1:4" x14ac:dyDescent="0.35">
      <c r="A405" t="s">
        <v>14</v>
      </c>
      <c r="B405" t="s">
        <v>4</v>
      </c>
      <c r="C405" t="s">
        <v>13</v>
      </c>
      <c r="D405">
        <f ca="1">'2BAS Calcs'!N405</f>
        <v>0.19836594368231963</v>
      </c>
    </row>
    <row r="406" spans="1:4" x14ac:dyDescent="0.35">
      <c r="A406" t="s">
        <v>15</v>
      </c>
      <c r="B406" t="s">
        <v>4</v>
      </c>
      <c r="C406" t="s">
        <v>13</v>
      </c>
      <c r="D406">
        <f ca="1">'2BAS Calcs'!N406</f>
        <v>1.2352645262377024</v>
      </c>
    </row>
    <row r="407" spans="1:4" x14ac:dyDescent="0.35">
      <c r="A407" t="s">
        <v>16</v>
      </c>
      <c r="B407" t="s">
        <v>4</v>
      </c>
      <c r="C407" t="s">
        <v>13</v>
      </c>
      <c r="D407">
        <f ca="1">'2BAS Calcs'!N407</f>
        <v>1.9336874199795711</v>
      </c>
    </row>
    <row r="408" spans="1:4" x14ac:dyDescent="0.35">
      <c r="A408" t="s">
        <v>17</v>
      </c>
      <c r="B408" t="s">
        <v>4</v>
      </c>
      <c r="C408" t="s">
        <v>13</v>
      </c>
      <c r="D408">
        <f ca="1">'2BAS Calcs'!N408</f>
        <v>1.7913210526962311</v>
      </c>
    </row>
    <row r="409" spans="1:4" x14ac:dyDescent="0.35">
      <c r="A409" t="s">
        <v>18</v>
      </c>
      <c r="B409" t="s">
        <v>4</v>
      </c>
      <c r="C409" t="s">
        <v>13</v>
      </c>
      <c r="D409">
        <f ca="1">'2BAS Calcs'!N409</f>
        <v>5.2393040994691509</v>
      </c>
    </row>
    <row r="410" spans="1:4" x14ac:dyDescent="0.35">
      <c r="A410" t="s">
        <v>19</v>
      </c>
      <c r="B410" t="s">
        <v>4</v>
      </c>
      <c r="C410" t="s">
        <v>13</v>
      </c>
      <c r="D410">
        <f ca="1">'2BAS Calcs'!N410</f>
        <v>7.5834796490747785</v>
      </c>
    </row>
    <row r="411" spans="1:4" x14ac:dyDescent="0.35">
      <c r="A411" t="s">
        <v>20</v>
      </c>
      <c r="B411" t="s">
        <v>4</v>
      </c>
      <c r="C411" t="s">
        <v>13</v>
      </c>
      <c r="D411">
        <f ca="1">'2BAS Calcs'!N411</f>
        <v>1.5775284185587117</v>
      </c>
    </row>
    <row r="412" spans="1:4" x14ac:dyDescent="0.35">
      <c r="A412" t="s">
        <v>21</v>
      </c>
      <c r="B412" t="s">
        <v>4</v>
      </c>
      <c r="C412" t="s">
        <v>13</v>
      </c>
      <c r="D412">
        <f ca="1">'2BAS Calcs'!N412</f>
        <v>2.2787522998741241</v>
      </c>
    </row>
    <row r="413" spans="1:4" x14ac:dyDescent="0.35">
      <c r="A413" t="s">
        <v>22</v>
      </c>
      <c r="B413" t="s">
        <v>4</v>
      </c>
      <c r="C413" t="s">
        <v>13</v>
      </c>
      <c r="D413">
        <f ca="1">'2BAS Calcs'!N413</f>
        <v>6.2048945535179527</v>
      </c>
    </row>
    <row r="414" spans="1:4" x14ac:dyDescent="0.35">
      <c r="A414" t="s">
        <v>23</v>
      </c>
      <c r="B414" t="s">
        <v>4</v>
      </c>
      <c r="C414" t="s">
        <v>13</v>
      </c>
      <c r="D414">
        <f ca="1">'2BAS Calcs'!N414</f>
        <v>1.4159157938288922E-7</v>
      </c>
    </row>
    <row r="415" spans="1:4" x14ac:dyDescent="0.35">
      <c r="A415" t="s">
        <v>24</v>
      </c>
      <c r="B415" t="s">
        <v>4</v>
      </c>
      <c r="C415" t="s">
        <v>13</v>
      </c>
      <c r="D415">
        <f ca="1">'2BAS Calcs'!N415</f>
        <v>206.11691576167971</v>
      </c>
    </row>
    <row r="416" spans="1:4" x14ac:dyDescent="0.35">
      <c r="A416" t="s">
        <v>25</v>
      </c>
      <c r="B416" t="s">
        <v>4</v>
      </c>
      <c r="C416" t="s">
        <v>13</v>
      </c>
      <c r="D416">
        <f ca="1">'2BAS Calcs'!N416</f>
        <v>32.956720636750624</v>
      </c>
    </row>
    <row r="417" spans="1:4" x14ac:dyDescent="0.35">
      <c r="A417" t="s">
        <v>26</v>
      </c>
      <c r="B417" t="s">
        <v>4</v>
      </c>
      <c r="C417" t="s">
        <v>13</v>
      </c>
      <c r="D417">
        <f ca="1">'2BAS Calcs'!N417</f>
        <v>1.4159157938288922E-7</v>
      </c>
    </row>
    <row r="418" spans="1:4" x14ac:dyDescent="0.35">
      <c r="A418" t="s">
        <v>27</v>
      </c>
      <c r="B418" t="s">
        <v>4</v>
      </c>
      <c r="C418" t="s">
        <v>13</v>
      </c>
      <c r="D418">
        <f ca="1">'2BAS Calcs'!N418</f>
        <v>1.4159157938288922E-7</v>
      </c>
    </row>
    <row r="419" spans="1:4" x14ac:dyDescent="0.35">
      <c r="A419" t="s">
        <v>28</v>
      </c>
      <c r="B419" t="s">
        <v>4</v>
      </c>
      <c r="C419" t="s">
        <v>13</v>
      </c>
      <c r="D419">
        <f ca="1">'2BAS Calcs'!N419</f>
        <v>1.4159157938288922E-7</v>
      </c>
    </row>
    <row r="420" spans="1:4" x14ac:dyDescent="0.35">
      <c r="A420" t="s">
        <v>29</v>
      </c>
      <c r="B420" t="s">
        <v>4</v>
      </c>
      <c r="C420" t="s">
        <v>13</v>
      </c>
      <c r="D420">
        <f ca="1">'2BAS Calcs'!N420</f>
        <v>1.4159157938288922E-7</v>
      </c>
    </row>
    <row r="421" spans="1:4" x14ac:dyDescent="0.35">
      <c r="A421" t="s">
        <v>30</v>
      </c>
      <c r="B421" t="s">
        <v>4</v>
      </c>
      <c r="C421" t="s">
        <v>13</v>
      </c>
      <c r="D421">
        <f ca="1">'2BAS Calcs'!N421</f>
        <v>1.4159157938288922E-7</v>
      </c>
    </row>
    <row r="422" spans="1:4" x14ac:dyDescent="0.35">
      <c r="A422" t="s">
        <v>31</v>
      </c>
      <c r="B422" t="s">
        <v>4</v>
      </c>
      <c r="C422" t="s">
        <v>13</v>
      </c>
      <c r="D422">
        <f ca="1">'2BAS Calcs'!N422</f>
        <v>1.4159157938288922E-7</v>
      </c>
    </row>
    <row r="423" spans="1:4" x14ac:dyDescent="0.35">
      <c r="A423" t="s">
        <v>32</v>
      </c>
      <c r="B423" t="s">
        <v>4</v>
      </c>
      <c r="C423" t="s">
        <v>13</v>
      </c>
      <c r="D423">
        <f ca="1">'2BAS Calcs'!N423</f>
        <v>1.4159157938288922E-7</v>
      </c>
    </row>
    <row r="424" spans="1:4" x14ac:dyDescent="0.35">
      <c r="A424" t="s">
        <v>33</v>
      </c>
      <c r="B424" t="s">
        <v>4</v>
      </c>
      <c r="C424" t="s">
        <v>13</v>
      </c>
      <c r="D424">
        <f ca="1">'2BAS Calcs'!N424</f>
        <v>1.4159157938288922E-7</v>
      </c>
    </row>
    <row r="425" spans="1:4" x14ac:dyDescent="0.35">
      <c r="A425" t="s">
        <v>34</v>
      </c>
      <c r="B425" t="s">
        <v>4</v>
      </c>
      <c r="C425" t="s">
        <v>13</v>
      </c>
      <c r="D425">
        <f ca="1">'2BAS Calcs'!N425</f>
        <v>1.4159157938288922E-7</v>
      </c>
    </row>
    <row r="426" spans="1:4" x14ac:dyDescent="0.35">
      <c r="A426" t="s">
        <v>35</v>
      </c>
      <c r="B426" t="s">
        <v>4</v>
      </c>
      <c r="C426" t="s">
        <v>13</v>
      </c>
      <c r="D426">
        <f ca="1">'2BAS Calcs'!N426</f>
        <v>1.4159157938288922E-7</v>
      </c>
    </row>
    <row r="427" spans="1:4" x14ac:dyDescent="0.35">
      <c r="A427" t="s">
        <v>36</v>
      </c>
      <c r="B427" t="s">
        <v>4</v>
      </c>
      <c r="C427" t="s">
        <v>13</v>
      </c>
      <c r="D427">
        <f ca="1">'2BAS Calcs'!N427</f>
        <v>1.4159157938288922E-7</v>
      </c>
    </row>
    <row r="428" spans="1:4" x14ac:dyDescent="0.35">
      <c r="A428" t="s">
        <v>37</v>
      </c>
      <c r="B428" t="s">
        <v>4</v>
      </c>
      <c r="C428" t="s">
        <v>13</v>
      </c>
      <c r="D428">
        <f ca="1">'2BAS Calcs'!N428</f>
        <v>1.4159157938288922E-7</v>
      </c>
    </row>
    <row r="429" spans="1:4" x14ac:dyDescent="0.35">
      <c r="A429" t="s">
        <v>38</v>
      </c>
      <c r="B429" t="s">
        <v>4</v>
      </c>
      <c r="C429" t="s">
        <v>13</v>
      </c>
      <c r="D429">
        <f ca="1">'2BAS Calcs'!N429</f>
        <v>1.4159157938288922E-7</v>
      </c>
    </row>
    <row r="430" spans="1:4" x14ac:dyDescent="0.35">
      <c r="A430" t="s">
        <v>39</v>
      </c>
      <c r="B430" t="s">
        <v>4</v>
      </c>
      <c r="C430" t="s">
        <v>13</v>
      </c>
      <c r="D430">
        <f ca="1">'2BAS Calcs'!N430</f>
        <v>1.4159157938288922E-7</v>
      </c>
    </row>
    <row r="431" spans="1:4" x14ac:dyDescent="0.35">
      <c r="A431" t="s">
        <v>7</v>
      </c>
      <c r="B431" t="s">
        <v>5</v>
      </c>
      <c r="C431" t="s">
        <v>13</v>
      </c>
      <c r="D431">
        <f ca="1">'2BAS Calcs'!N431</f>
        <v>1.3099803782454154</v>
      </c>
    </row>
    <row r="432" spans="1:4" x14ac:dyDescent="0.35">
      <c r="A432" t="s">
        <v>8</v>
      </c>
      <c r="B432" t="s">
        <v>5</v>
      </c>
      <c r="C432" t="s">
        <v>13</v>
      </c>
      <c r="D432">
        <f ca="1">'2BAS Calcs'!N432</f>
        <v>2.0666665582466388</v>
      </c>
    </row>
    <row r="433" spans="1:4" x14ac:dyDescent="0.35">
      <c r="A433" t="s">
        <v>9</v>
      </c>
      <c r="B433" t="s">
        <v>5</v>
      </c>
      <c r="C433" t="s">
        <v>13</v>
      </c>
      <c r="D433">
        <f ca="1">'2BAS Calcs'!N433</f>
        <v>0.51714336426710938</v>
      </c>
    </row>
    <row r="434" spans="1:4" x14ac:dyDescent="0.35">
      <c r="A434" t="s">
        <v>10</v>
      </c>
      <c r="B434" t="s">
        <v>5</v>
      </c>
      <c r="C434" t="s">
        <v>13</v>
      </c>
      <c r="D434">
        <f ca="1">'2BAS Calcs'!N434</f>
        <v>10.148429613442879</v>
      </c>
    </row>
    <row r="435" spans="1:4" x14ac:dyDescent="0.35">
      <c r="A435" t="s">
        <v>11</v>
      </c>
      <c r="B435" t="s">
        <v>5</v>
      </c>
      <c r="C435" t="s">
        <v>13</v>
      </c>
      <c r="D435">
        <f ca="1">'2BAS Calcs'!N435</f>
        <v>5.2890517643429709</v>
      </c>
    </row>
    <row r="436" spans="1:4" x14ac:dyDescent="0.35">
      <c r="A436" t="s">
        <v>12</v>
      </c>
      <c r="B436" t="s">
        <v>5</v>
      </c>
      <c r="C436" t="s">
        <v>13</v>
      </c>
      <c r="D436">
        <f ca="1">'2BAS Calcs'!N436</f>
        <v>9.4670156355431315E-2</v>
      </c>
    </row>
    <row r="437" spans="1:4" x14ac:dyDescent="0.35">
      <c r="A437" t="s">
        <v>13</v>
      </c>
      <c r="B437" t="s">
        <v>5</v>
      </c>
      <c r="C437" t="s">
        <v>13</v>
      </c>
      <c r="D437">
        <f ca="1">'2BAS Calcs'!N437</f>
        <v>1.3632406989707091</v>
      </c>
    </row>
    <row r="438" spans="1:4" x14ac:dyDescent="0.35">
      <c r="A438" t="s">
        <v>14</v>
      </c>
      <c r="B438" t="s">
        <v>5</v>
      </c>
      <c r="C438" t="s">
        <v>13</v>
      </c>
      <c r="D438">
        <f ca="1">'2BAS Calcs'!N438</f>
        <v>0.34328003821639352</v>
      </c>
    </row>
    <row r="439" spans="1:4" x14ac:dyDescent="0.35">
      <c r="A439" t="s">
        <v>15</v>
      </c>
      <c r="B439" t="s">
        <v>5</v>
      </c>
      <c r="C439" t="s">
        <v>13</v>
      </c>
      <c r="D439">
        <f ca="1">'2BAS Calcs'!N439</f>
        <v>4.7057961473994228</v>
      </c>
    </row>
    <row r="440" spans="1:4" x14ac:dyDescent="0.35">
      <c r="A440" t="s">
        <v>16</v>
      </c>
      <c r="B440" t="s">
        <v>5</v>
      </c>
      <c r="C440" t="s">
        <v>13</v>
      </c>
      <c r="D440">
        <f ca="1">'2BAS Calcs'!N440</f>
        <v>3.6040143835859144</v>
      </c>
    </row>
    <row r="441" spans="1:4" x14ac:dyDescent="0.35">
      <c r="A441" t="s">
        <v>17</v>
      </c>
      <c r="B441" t="s">
        <v>5</v>
      </c>
      <c r="C441" t="s">
        <v>13</v>
      </c>
      <c r="D441">
        <f ca="1">'2BAS Calcs'!N441</f>
        <v>1.3604699342158726</v>
      </c>
    </row>
    <row r="442" spans="1:4" x14ac:dyDescent="0.35">
      <c r="A442" t="s">
        <v>18</v>
      </c>
      <c r="B442" t="s">
        <v>5</v>
      </c>
      <c r="C442" t="s">
        <v>13</v>
      </c>
      <c r="D442">
        <f ca="1">'2BAS Calcs'!N442</f>
        <v>17.029189559476144</v>
      </c>
    </row>
    <row r="443" spans="1:4" x14ac:dyDescent="0.35">
      <c r="A443" t="s">
        <v>19</v>
      </c>
      <c r="B443" t="s">
        <v>5</v>
      </c>
      <c r="C443" t="s">
        <v>13</v>
      </c>
      <c r="D443">
        <f ca="1">'2BAS Calcs'!N443</f>
        <v>65.234940438727975</v>
      </c>
    </row>
    <row r="444" spans="1:4" x14ac:dyDescent="0.35">
      <c r="A444" t="s">
        <v>20</v>
      </c>
      <c r="B444" t="s">
        <v>5</v>
      </c>
      <c r="C444" t="s">
        <v>13</v>
      </c>
      <c r="D444">
        <f ca="1">'2BAS Calcs'!N444</f>
        <v>34.976985135309747</v>
      </c>
    </row>
    <row r="445" spans="1:4" x14ac:dyDescent="0.35">
      <c r="A445" t="s">
        <v>21</v>
      </c>
      <c r="B445" t="s">
        <v>5</v>
      </c>
      <c r="C445" t="s">
        <v>13</v>
      </c>
      <c r="D445">
        <f ca="1">'2BAS Calcs'!N445</f>
        <v>55.819334092434012</v>
      </c>
    </row>
    <row r="446" spans="1:4" x14ac:dyDescent="0.35">
      <c r="A446" t="s">
        <v>22</v>
      </c>
      <c r="B446" t="s">
        <v>5</v>
      </c>
      <c r="C446" t="s">
        <v>13</v>
      </c>
      <c r="D446">
        <f ca="1">'2BAS Calcs'!N446</f>
        <v>21.179790616901467</v>
      </c>
    </row>
    <row r="447" spans="1:4" x14ac:dyDescent="0.35">
      <c r="A447" t="s">
        <v>23</v>
      </c>
      <c r="B447" t="s">
        <v>5</v>
      </c>
      <c r="C447" t="s">
        <v>13</v>
      </c>
      <c r="D447">
        <f ca="1">'2BAS Calcs'!N447</f>
        <v>1.4159157938288922E-7</v>
      </c>
    </row>
    <row r="448" spans="1:4" x14ac:dyDescent="0.35">
      <c r="A448" t="s">
        <v>24</v>
      </c>
      <c r="B448" t="s">
        <v>5</v>
      </c>
      <c r="C448" t="s">
        <v>13</v>
      </c>
      <c r="D448">
        <f ca="1">'2BAS Calcs'!N448</f>
        <v>4.1460660764705519</v>
      </c>
    </row>
    <row r="449" spans="1:4" x14ac:dyDescent="0.35">
      <c r="A449" t="s">
        <v>25</v>
      </c>
      <c r="B449" t="s">
        <v>5</v>
      </c>
      <c r="C449" t="s">
        <v>13</v>
      </c>
      <c r="D449">
        <f ca="1">'2BAS Calcs'!N449</f>
        <v>0.36275277120353661</v>
      </c>
    </row>
    <row r="450" spans="1:4" x14ac:dyDescent="0.35">
      <c r="A450" t="s">
        <v>26</v>
      </c>
      <c r="B450" t="s">
        <v>5</v>
      </c>
      <c r="C450" t="s">
        <v>13</v>
      </c>
      <c r="D450">
        <f ca="1">'2BAS Calcs'!N450</f>
        <v>1.4159157938288922E-7</v>
      </c>
    </row>
    <row r="451" spans="1:4" x14ac:dyDescent="0.35">
      <c r="A451" t="s">
        <v>27</v>
      </c>
      <c r="B451" t="s">
        <v>5</v>
      </c>
      <c r="C451" t="s">
        <v>13</v>
      </c>
      <c r="D451">
        <f ca="1">'2BAS Calcs'!N451</f>
        <v>1.4159157938288922E-7</v>
      </c>
    </row>
    <row r="452" spans="1:4" x14ac:dyDescent="0.35">
      <c r="A452" t="s">
        <v>28</v>
      </c>
      <c r="B452" t="s">
        <v>5</v>
      </c>
      <c r="C452" t="s">
        <v>13</v>
      </c>
      <c r="D452">
        <f ca="1">'2BAS Calcs'!N452</f>
        <v>1.4159157938288922E-7</v>
      </c>
    </row>
    <row r="453" spans="1:4" x14ac:dyDescent="0.35">
      <c r="A453" t="s">
        <v>29</v>
      </c>
      <c r="B453" t="s">
        <v>5</v>
      </c>
      <c r="C453" t="s">
        <v>13</v>
      </c>
      <c r="D453">
        <f ca="1">'2BAS Calcs'!N453</f>
        <v>1.4159157938288922E-7</v>
      </c>
    </row>
    <row r="454" spans="1:4" x14ac:dyDescent="0.35">
      <c r="A454" t="s">
        <v>30</v>
      </c>
      <c r="B454" t="s">
        <v>5</v>
      </c>
      <c r="C454" t="s">
        <v>13</v>
      </c>
      <c r="D454">
        <f ca="1">'2BAS Calcs'!N454</f>
        <v>1.4159157938288922E-7</v>
      </c>
    </row>
    <row r="455" spans="1:4" x14ac:dyDescent="0.35">
      <c r="A455" t="s">
        <v>31</v>
      </c>
      <c r="B455" t="s">
        <v>5</v>
      </c>
      <c r="C455" t="s">
        <v>13</v>
      </c>
      <c r="D455">
        <f ca="1">'2BAS Calcs'!N455</f>
        <v>1.4159157938288922E-7</v>
      </c>
    </row>
    <row r="456" spans="1:4" x14ac:dyDescent="0.35">
      <c r="A456" t="s">
        <v>32</v>
      </c>
      <c r="B456" t="s">
        <v>5</v>
      </c>
      <c r="C456" t="s">
        <v>13</v>
      </c>
      <c r="D456">
        <f ca="1">'2BAS Calcs'!N456</f>
        <v>1.4159157938288922E-7</v>
      </c>
    </row>
    <row r="457" spans="1:4" x14ac:dyDescent="0.35">
      <c r="A457" t="s">
        <v>33</v>
      </c>
      <c r="B457" t="s">
        <v>5</v>
      </c>
      <c r="C457" t="s">
        <v>13</v>
      </c>
      <c r="D457">
        <f ca="1">'2BAS Calcs'!N457</f>
        <v>1.4159157938288922E-7</v>
      </c>
    </row>
    <row r="458" spans="1:4" x14ac:dyDescent="0.35">
      <c r="A458" t="s">
        <v>34</v>
      </c>
      <c r="B458" t="s">
        <v>5</v>
      </c>
      <c r="C458" t="s">
        <v>13</v>
      </c>
      <c r="D458">
        <f ca="1">'2BAS Calcs'!N458</f>
        <v>1.4159157938288922E-7</v>
      </c>
    </row>
    <row r="459" spans="1:4" x14ac:dyDescent="0.35">
      <c r="A459" t="s">
        <v>35</v>
      </c>
      <c r="B459" t="s">
        <v>5</v>
      </c>
      <c r="C459" t="s">
        <v>13</v>
      </c>
      <c r="D459">
        <f ca="1">'2BAS Calcs'!N459</f>
        <v>1.4159157938288922E-7</v>
      </c>
    </row>
    <row r="460" spans="1:4" x14ac:dyDescent="0.35">
      <c r="A460" t="s">
        <v>36</v>
      </c>
      <c r="B460" t="s">
        <v>5</v>
      </c>
      <c r="C460" t="s">
        <v>13</v>
      </c>
      <c r="D460">
        <f ca="1">'2BAS Calcs'!N460</f>
        <v>1.4159157938288922E-7</v>
      </c>
    </row>
    <row r="461" spans="1:4" x14ac:dyDescent="0.35">
      <c r="A461" t="s">
        <v>37</v>
      </c>
      <c r="B461" t="s">
        <v>5</v>
      </c>
      <c r="C461" t="s">
        <v>13</v>
      </c>
      <c r="D461">
        <f ca="1">'2BAS Calcs'!N461</f>
        <v>1.4159157938288922E-7</v>
      </c>
    </row>
    <row r="462" spans="1:4" x14ac:dyDescent="0.35">
      <c r="A462" t="s">
        <v>38</v>
      </c>
      <c r="B462" t="s">
        <v>5</v>
      </c>
      <c r="C462" t="s">
        <v>13</v>
      </c>
      <c r="D462">
        <f ca="1">'2BAS Calcs'!N462</f>
        <v>1.4159157938288922E-7</v>
      </c>
    </row>
    <row r="463" spans="1:4" x14ac:dyDescent="0.35">
      <c r="A463" t="s">
        <v>39</v>
      </c>
      <c r="B463" t="s">
        <v>5</v>
      </c>
      <c r="C463" t="s">
        <v>13</v>
      </c>
      <c r="D463">
        <f ca="1">'2BAS Calcs'!N463</f>
        <v>1.4159157938288922E-7</v>
      </c>
    </row>
    <row r="464" spans="1:4" x14ac:dyDescent="0.35">
      <c r="A464" t="s">
        <v>7</v>
      </c>
      <c r="B464" t="s">
        <v>4</v>
      </c>
      <c r="C464" t="s">
        <v>14</v>
      </c>
      <c r="D464">
        <f ca="1">'2BAS Calcs'!N464</f>
        <v>0.21344028423800587</v>
      </c>
    </row>
    <row r="465" spans="1:4" x14ac:dyDescent="0.35">
      <c r="A465" t="s">
        <v>8</v>
      </c>
      <c r="B465" t="s">
        <v>4</v>
      </c>
      <c r="C465" t="s">
        <v>14</v>
      </c>
      <c r="D465">
        <f ca="1">'2BAS Calcs'!N465</f>
        <v>0.37232888956565857</v>
      </c>
    </row>
    <row r="466" spans="1:4" x14ac:dyDescent="0.35">
      <c r="A466" t="s">
        <v>9</v>
      </c>
      <c r="B466" t="s">
        <v>4</v>
      </c>
      <c r="C466" t="s">
        <v>14</v>
      </c>
      <c r="D466">
        <f ca="1">'2BAS Calcs'!N466</f>
        <v>0.62692323737465772</v>
      </c>
    </row>
    <row r="467" spans="1:4" x14ac:dyDescent="0.35">
      <c r="A467" t="s">
        <v>10</v>
      </c>
      <c r="B467" t="s">
        <v>4</v>
      </c>
      <c r="C467" t="s">
        <v>14</v>
      </c>
      <c r="D467">
        <f ca="1">'2BAS Calcs'!N467</f>
        <v>3.2655510053742494</v>
      </c>
    </row>
    <row r="468" spans="1:4" x14ac:dyDescent="0.35">
      <c r="A468" t="s">
        <v>11</v>
      </c>
      <c r="B468" t="s">
        <v>4</v>
      </c>
      <c r="C468" t="s">
        <v>14</v>
      </c>
      <c r="D468">
        <f ca="1">'2BAS Calcs'!N468</f>
        <v>2.3171756066487914E-2</v>
      </c>
    </row>
    <row r="469" spans="1:4" x14ac:dyDescent="0.35">
      <c r="A469" t="s">
        <v>12</v>
      </c>
      <c r="B469" t="s">
        <v>4</v>
      </c>
      <c r="C469" t="s">
        <v>14</v>
      </c>
      <c r="D469">
        <f ca="1">'2BAS Calcs'!N469</f>
        <v>0.14264343137825791</v>
      </c>
    </row>
    <row r="470" spans="1:4" x14ac:dyDescent="0.35">
      <c r="A470" t="s">
        <v>13</v>
      </c>
      <c r="B470" t="s">
        <v>4</v>
      </c>
      <c r="C470" t="s">
        <v>14</v>
      </c>
      <c r="D470">
        <f ca="1">'2BAS Calcs'!N470</f>
        <v>2.8550909775286861</v>
      </c>
    </row>
    <row r="471" spans="1:4" x14ac:dyDescent="0.35">
      <c r="A471" t="s">
        <v>14</v>
      </c>
      <c r="B471" t="s">
        <v>4</v>
      </c>
      <c r="C471" t="s">
        <v>14</v>
      </c>
      <c r="D471">
        <f ca="1">'2BAS Calcs'!N471</f>
        <v>0.43506087531128457</v>
      </c>
    </row>
    <row r="472" spans="1:4" x14ac:dyDescent="0.35">
      <c r="A472" t="s">
        <v>15</v>
      </c>
      <c r="B472" t="s">
        <v>4</v>
      </c>
      <c r="C472" t="s">
        <v>14</v>
      </c>
      <c r="D472">
        <f ca="1">'2BAS Calcs'!N472</f>
        <v>2.7092113497396371</v>
      </c>
    </row>
    <row r="473" spans="1:4" x14ac:dyDescent="0.35">
      <c r="A473" t="s">
        <v>16</v>
      </c>
      <c r="B473" t="s">
        <v>4</v>
      </c>
      <c r="C473" t="s">
        <v>14</v>
      </c>
      <c r="D473">
        <f ca="1">'2BAS Calcs'!N473</f>
        <v>4.2410089448721946</v>
      </c>
    </row>
    <row r="474" spans="1:4" x14ac:dyDescent="0.35">
      <c r="A474" t="s">
        <v>17</v>
      </c>
      <c r="B474" t="s">
        <v>4</v>
      </c>
      <c r="C474" t="s">
        <v>14</v>
      </c>
      <c r="D474">
        <f ca="1">'2BAS Calcs'!N474</f>
        <v>3.9287676638568887</v>
      </c>
    </row>
    <row r="475" spans="1:4" x14ac:dyDescent="0.35">
      <c r="A475" t="s">
        <v>18</v>
      </c>
      <c r="B475" t="s">
        <v>4</v>
      </c>
      <c r="C475" t="s">
        <v>14</v>
      </c>
      <c r="D475">
        <f ca="1">'2BAS Calcs'!N475</f>
        <v>11.490965562049826</v>
      </c>
    </row>
    <row r="476" spans="1:4" x14ac:dyDescent="0.35">
      <c r="A476" t="s">
        <v>19</v>
      </c>
      <c r="B476" t="s">
        <v>4</v>
      </c>
      <c r="C476" t="s">
        <v>14</v>
      </c>
      <c r="D476">
        <f ca="1">'2BAS Calcs'!N476</f>
        <v>16.632266773148977</v>
      </c>
    </row>
    <row r="477" spans="1:4" x14ac:dyDescent="0.35">
      <c r="A477" t="s">
        <v>20</v>
      </c>
      <c r="B477" t="s">
        <v>4</v>
      </c>
      <c r="C477" t="s">
        <v>14</v>
      </c>
      <c r="D477">
        <f ca="1">'2BAS Calcs'!N477</f>
        <v>3.459872606487902</v>
      </c>
    </row>
    <row r="478" spans="1:4" x14ac:dyDescent="0.35">
      <c r="A478" t="s">
        <v>21</v>
      </c>
      <c r="B478" t="s">
        <v>4</v>
      </c>
      <c r="C478" t="s">
        <v>14</v>
      </c>
      <c r="D478">
        <f ca="1">'2BAS Calcs'!N478</f>
        <v>4.9978133937574807</v>
      </c>
    </row>
    <row r="479" spans="1:4" x14ac:dyDescent="0.35">
      <c r="A479" t="s">
        <v>22</v>
      </c>
      <c r="B479" t="s">
        <v>4</v>
      </c>
      <c r="C479" t="s">
        <v>14</v>
      </c>
      <c r="D479">
        <f ca="1">'2BAS Calcs'!N479</f>
        <v>13.608721363940205</v>
      </c>
    </row>
    <row r="480" spans="1:4" x14ac:dyDescent="0.35">
      <c r="A480" t="s">
        <v>23</v>
      </c>
      <c r="B480" t="s">
        <v>4</v>
      </c>
      <c r="C480" t="s">
        <v>14</v>
      </c>
      <c r="D480">
        <f ca="1">'2BAS Calcs'!N480</f>
        <v>3.1054199788286299E-7</v>
      </c>
    </row>
    <row r="481" spans="1:4" x14ac:dyDescent="0.35">
      <c r="A481" t="s">
        <v>24</v>
      </c>
      <c r="B481" t="s">
        <v>4</v>
      </c>
      <c r="C481" t="s">
        <v>14</v>
      </c>
      <c r="D481">
        <f ca="1">'2BAS Calcs'!N481</f>
        <v>452.06049044058398</v>
      </c>
    </row>
    <row r="482" spans="1:4" x14ac:dyDescent="0.35">
      <c r="A482" t="s">
        <v>25</v>
      </c>
      <c r="B482" t="s">
        <v>4</v>
      </c>
      <c r="C482" t="s">
        <v>14</v>
      </c>
      <c r="D482">
        <f ca="1">'2BAS Calcs'!N482</f>
        <v>72.281458507699298</v>
      </c>
    </row>
    <row r="483" spans="1:4" x14ac:dyDescent="0.35">
      <c r="A483" t="s">
        <v>26</v>
      </c>
      <c r="B483" t="s">
        <v>4</v>
      </c>
      <c r="C483" t="s">
        <v>14</v>
      </c>
      <c r="D483">
        <f ca="1">'2BAS Calcs'!N483</f>
        <v>3.1054199788286299E-7</v>
      </c>
    </row>
    <row r="484" spans="1:4" x14ac:dyDescent="0.35">
      <c r="A484" t="s">
        <v>27</v>
      </c>
      <c r="B484" t="s">
        <v>4</v>
      </c>
      <c r="C484" t="s">
        <v>14</v>
      </c>
      <c r="D484">
        <f ca="1">'2BAS Calcs'!N484</f>
        <v>3.1054199788286299E-7</v>
      </c>
    </row>
    <row r="485" spans="1:4" x14ac:dyDescent="0.35">
      <c r="A485" t="s">
        <v>28</v>
      </c>
      <c r="B485" t="s">
        <v>4</v>
      </c>
      <c r="C485" t="s">
        <v>14</v>
      </c>
      <c r="D485">
        <f ca="1">'2BAS Calcs'!N485</f>
        <v>3.1054199788286299E-7</v>
      </c>
    </row>
    <row r="486" spans="1:4" x14ac:dyDescent="0.35">
      <c r="A486" t="s">
        <v>29</v>
      </c>
      <c r="B486" t="s">
        <v>4</v>
      </c>
      <c r="C486" t="s">
        <v>14</v>
      </c>
      <c r="D486">
        <f ca="1">'2BAS Calcs'!N486</f>
        <v>3.1054199788286299E-7</v>
      </c>
    </row>
    <row r="487" spans="1:4" x14ac:dyDescent="0.35">
      <c r="A487" t="s">
        <v>30</v>
      </c>
      <c r="B487" t="s">
        <v>4</v>
      </c>
      <c r="C487" t="s">
        <v>14</v>
      </c>
      <c r="D487">
        <f ca="1">'2BAS Calcs'!N487</f>
        <v>3.1054199788286299E-7</v>
      </c>
    </row>
    <row r="488" spans="1:4" x14ac:dyDescent="0.35">
      <c r="A488" t="s">
        <v>31</v>
      </c>
      <c r="B488" t="s">
        <v>4</v>
      </c>
      <c r="C488" t="s">
        <v>14</v>
      </c>
      <c r="D488">
        <f ca="1">'2BAS Calcs'!N488</f>
        <v>3.1054199788286299E-7</v>
      </c>
    </row>
    <row r="489" spans="1:4" x14ac:dyDescent="0.35">
      <c r="A489" t="s">
        <v>32</v>
      </c>
      <c r="B489" t="s">
        <v>4</v>
      </c>
      <c r="C489" t="s">
        <v>14</v>
      </c>
      <c r="D489">
        <f ca="1">'2BAS Calcs'!N489</f>
        <v>3.1054199788286299E-7</v>
      </c>
    </row>
    <row r="490" spans="1:4" x14ac:dyDescent="0.35">
      <c r="A490" t="s">
        <v>33</v>
      </c>
      <c r="B490" t="s">
        <v>4</v>
      </c>
      <c r="C490" t="s">
        <v>14</v>
      </c>
      <c r="D490">
        <f ca="1">'2BAS Calcs'!N490</f>
        <v>3.1054199788286299E-7</v>
      </c>
    </row>
    <row r="491" spans="1:4" x14ac:dyDescent="0.35">
      <c r="A491" t="s">
        <v>34</v>
      </c>
      <c r="B491" t="s">
        <v>4</v>
      </c>
      <c r="C491" t="s">
        <v>14</v>
      </c>
      <c r="D491">
        <f ca="1">'2BAS Calcs'!N491</f>
        <v>3.1054199788286299E-7</v>
      </c>
    </row>
    <row r="492" spans="1:4" x14ac:dyDescent="0.35">
      <c r="A492" t="s">
        <v>35</v>
      </c>
      <c r="B492" t="s">
        <v>4</v>
      </c>
      <c r="C492" t="s">
        <v>14</v>
      </c>
      <c r="D492">
        <f ca="1">'2BAS Calcs'!N492</f>
        <v>3.1054199788286299E-7</v>
      </c>
    </row>
    <row r="493" spans="1:4" x14ac:dyDescent="0.35">
      <c r="A493" t="s">
        <v>36</v>
      </c>
      <c r="B493" t="s">
        <v>4</v>
      </c>
      <c r="C493" t="s">
        <v>14</v>
      </c>
      <c r="D493">
        <f ca="1">'2BAS Calcs'!N493</f>
        <v>3.1054199788286299E-7</v>
      </c>
    </row>
    <row r="494" spans="1:4" x14ac:dyDescent="0.35">
      <c r="A494" t="s">
        <v>37</v>
      </c>
      <c r="B494" t="s">
        <v>4</v>
      </c>
      <c r="C494" t="s">
        <v>14</v>
      </c>
      <c r="D494">
        <f ca="1">'2BAS Calcs'!N494</f>
        <v>3.1054199788286299E-7</v>
      </c>
    </row>
    <row r="495" spans="1:4" x14ac:dyDescent="0.35">
      <c r="A495" t="s">
        <v>38</v>
      </c>
      <c r="B495" t="s">
        <v>4</v>
      </c>
      <c r="C495" t="s">
        <v>14</v>
      </c>
      <c r="D495">
        <f ca="1">'2BAS Calcs'!N495</f>
        <v>3.1054199788286299E-7</v>
      </c>
    </row>
    <row r="496" spans="1:4" x14ac:dyDescent="0.35">
      <c r="A496" t="s">
        <v>39</v>
      </c>
      <c r="B496" t="s">
        <v>4</v>
      </c>
      <c r="C496" t="s">
        <v>14</v>
      </c>
      <c r="D496">
        <f ca="1">'2BAS Calcs'!N496</f>
        <v>3.1054199788286299E-7</v>
      </c>
    </row>
    <row r="497" spans="1:4" x14ac:dyDescent="0.35">
      <c r="A497" t="s">
        <v>7</v>
      </c>
      <c r="B497" t="s">
        <v>5</v>
      </c>
      <c r="C497" t="s">
        <v>14</v>
      </c>
      <c r="D497">
        <f ca="1">'2BAS Calcs'!N497</f>
        <v>2.8730799219889231</v>
      </c>
    </row>
    <row r="498" spans="1:4" x14ac:dyDescent="0.35">
      <c r="A498" t="s">
        <v>8</v>
      </c>
      <c r="B498" t="s">
        <v>5</v>
      </c>
      <c r="C498" t="s">
        <v>14</v>
      </c>
      <c r="D498">
        <f ca="1">'2BAS Calcs'!N498</f>
        <v>4.5326619333774358</v>
      </c>
    </row>
    <row r="499" spans="1:4" x14ac:dyDescent="0.35">
      <c r="A499" t="s">
        <v>9</v>
      </c>
      <c r="B499" t="s">
        <v>5</v>
      </c>
      <c r="C499" t="s">
        <v>14</v>
      </c>
      <c r="D499">
        <f ca="1">'2BAS Calcs'!N499</f>
        <v>1.1342110472339328</v>
      </c>
    </row>
    <row r="500" spans="1:4" x14ac:dyDescent="0.35">
      <c r="A500" t="s">
        <v>10</v>
      </c>
      <c r="B500" t="s">
        <v>5</v>
      </c>
      <c r="C500" t="s">
        <v>14</v>
      </c>
      <c r="D500">
        <f ca="1">'2BAS Calcs'!N500</f>
        <v>22.257775647871686</v>
      </c>
    </row>
    <row r="501" spans="1:4" x14ac:dyDescent="0.35">
      <c r="A501" t="s">
        <v>11</v>
      </c>
      <c r="B501" t="s">
        <v>5</v>
      </c>
      <c r="C501" t="s">
        <v>14</v>
      </c>
      <c r="D501">
        <f ca="1">'2BAS Calcs'!N501</f>
        <v>11.60007331624859</v>
      </c>
    </row>
    <row r="502" spans="1:4" x14ac:dyDescent="0.35">
      <c r="A502" t="s">
        <v>12</v>
      </c>
      <c r="B502" t="s">
        <v>5</v>
      </c>
      <c r="C502" t="s">
        <v>14</v>
      </c>
      <c r="D502">
        <f ca="1">'2BAS Calcs'!N502</f>
        <v>0.20763282408905323</v>
      </c>
    </row>
    <row r="503" spans="1:4" x14ac:dyDescent="0.35">
      <c r="A503" t="s">
        <v>13</v>
      </c>
      <c r="B503" t="s">
        <v>5</v>
      </c>
      <c r="C503" t="s">
        <v>14</v>
      </c>
      <c r="D503">
        <f ca="1">'2BAS Calcs'!N503</f>
        <v>2.9898917160094474</v>
      </c>
    </row>
    <row r="504" spans="1:4" x14ac:dyDescent="0.35">
      <c r="A504" t="s">
        <v>14</v>
      </c>
      <c r="B504" t="s">
        <v>5</v>
      </c>
      <c r="C504" t="s">
        <v>14</v>
      </c>
      <c r="D504">
        <f ca="1">'2BAS Calcs'!N504</f>
        <v>0.75288989193877809</v>
      </c>
    </row>
    <row r="505" spans="1:4" x14ac:dyDescent="0.35">
      <c r="A505" t="s">
        <v>15</v>
      </c>
      <c r="B505" t="s">
        <v>5</v>
      </c>
      <c r="C505" t="s">
        <v>14</v>
      </c>
      <c r="D505">
        <f ca="1">'2BAS Calcs'!N505</f>
        <v>10.320863314132183</v>
      </c>
    </row>
    <row r="506" spans="1:4" x14ac:dyDescent="0.35">
      <c r="A506" t="s">
        <v>16</v>
      </c>
      <c r="B506" t="s">
        <v>5</v>
      </c>
      <c r="C506" t="s">
        <v>14</v>
      </c>
      <c r="D506">
        <f ca="1">'2BAS Calcs'!N506</f>
        <v>7.9044095133004451</v>
      </c>
    </row>
    <row r="507" spans="1:4" x14ac:dyDescent="0.35">
      <c r="A507" t="s">
        <v>17</v>
      </c>
      <c r="B507" t="s">
        <v>5</v>
      </c>
      <c r="C507" t="s">
        <v>14</v>
      </c>
      <c r="D507">
        <f ca="1">'2BAS Calcs'!N507</f>
        <v>2.9838148092726171</v>
      </c>
    </row>
    <row r="508" spans="1:4" x14ac:dyDescent="0.35">
      <c r="A508" t="s">
        <v>18</v>
      </c>
      <c r="B508" t="s">
        <v>5</v>
      </c>
      <c r="C508" t="s">
        <v>14</v>
      </c>
      <c r="D508">
        <f ca="1">'2BAS Calcs'!N508</f>
        <v>37.348820962193322</v>
      </c>
    </row>
    <row r="509" spans="1:4" x14ac:dyDescent="0.35">
      <c r="A509" t="s">
        <v>19</v>
      </c>
      <c r="B509" t="s">
        <v>5</v>
      </c>
      <c r="C509" t="s">
        <v>14</v>
      </c>
      <c r="D509">
        <f ca="1">'2BAS Calcs'!N509</f>
        <v>143.07481295077832</v>
      </c>
    </row>
    <row r="510" spans="1:4" x14ac:dyDescent="0.35">
      <c r="A510" t="s">
        <v>20</v>
      </c>
      <c r="B510" t="s">
        <v>5</v>
      </c>
      <c r="C510" t="s">
        <v>14</v>
      </c>
      <c r="D510">
        <f ca="1">'2BAS Calcs'!N510</f>
        <v>76.712350347233269</v>
      </c>
    </row>
    <row r="511" spans="1:4" x14ac:dyDescent="0.35">
      <c r="A511" t="s">
        <v>21</v>
      </c>
      <c r="B511" t="s">
        <v>5</v>
      </c>
      <c r="C511" t="s">
        <v>14</v>
      </c>
      <c r="D511">
        <f ca="1">'2BAS Calcs'!N511</f>
        <v>122.42428260991795</v>
      </c>
    </row>
    <row r="512" spans="1:4" x14ac:dyDescent="0.35">
      <c r="A512" t="s">
        <v>22</v>
      </c>
      <c r="B512" t="s">
        <v>5</v>
      </c>
      <c r="C512" t="s">
        <v>14</v>
      </c>
      <c r="D512">
        <f ca="1">'2BAS Calcs'!N512</f>
        <v>46.452017285062688</v>
      </c>
    </row>
    <row r="513" spans="1:4" x14ac:dyDescent="0.35">
      <c r="A513" t="s">
        <v>23</v>
      </c>
      <c r="B513" t="s">
        <v>5</v>
      </c>
      <c r="C513" t="s">
        <v>14</v>
      </c>
      <c r="D513">
        <f ca="1">'2BAS Calcs'!N513</f>
        <v>3.1054199788286299E-7</v>
      </c>
    </row>
    <row r="514" spans="1:4" x14ac:dyDescent="0.35">
      <c r="A514" t="s">
        <v>24</v>
      </c>
      <c r="B514" t="s">
        <v>5</v>
      </c>
      <c r="C514" t="s">
        <v>14</v>
      </c>
      <c r="D514">
        <f ca="1">'2BAS Calcs'!N514</f>
        <v>9.0932500954722784</v>
      </c>
    </row>
    <row r="515" spans="1:4" x14ac:dyDescent="0.35">
      <c r="A515" t="s">
        <v>25</v>
      </c>
      <c r="B515" t="s">
        <v>5</v>
      </c>
      <c r="C515" t="s">
        <v>14</v>
      </c>
      <c r="D515">
        <f ca="1">'2BAS Calcs'!N515</f>
        <v>0.79559795009041778</v>
      </c>
    </row>
    <row r="516" spans="1:4" x14ac:dyDescent="0.35">
      <c r="A516" t="s">
        <v>26</v>
      </c>
      <c r="B516" t="s">
        <v>5</v>
      </c>
      <c r="C516" t="s">
        <v>14</v>
      </c>
      <c r="D516">
        <f ca="1">'2BAS Calcs'!N516</f>
        <v>3.1054199788286299E-7</v>
      </c>
    </row>
    <row r="517" spans="1:4" x14ac:dyDescent="0.35">
      <c r="A517" t="s">
        <v>27</v>
      </c>
      <c r="B517" t="s">
        <v>5</v>
      </c>
      <c r="C517" t="s">
        <v>14</v>
      </c>
      <c r="D517">
        <f ca="1">'2BAS Calcs'!N517</f>
        <v>3.1054199788286299E-7</v>
      </c>
    </row>
    <row r="518" spans="1:4" x14ac:dyDescent="0.35">
      <c r="A518" t="s">
        <v>28</v>
      </c>
      <c r="B518" t="s">
        <v>5</v>
      </c>
      <c r="C518" t="s">
        <v>14</v>
      </c>
      <c r="D518">
        <f ca="1">'2BAS Calcs'!N518</f>
        <v>3.1054199788286299E-7</v>
      </c>
    </row>
    <row r="519" spans="1:4" x14ac:dyDescent="0.35">
      <c r="A519" t="s">
        <v>29</v>
      </c>
      <c r="B519" t="s">
        <v>5</v>
      </c>
      <c r="C519" t="s">
        <v>14</v>
      </c>
      <c r="D519">
        <f ca="1">'2BAS Calcs'!N519</f>
        <v>3.1054199788286299E-7</v>
      </c>
    </row>
    <row r="520" spans="1:4" x14ac:dyDescent="0.35">
      <c r="A520" t="s">
        <v>30</v>
      </c>
      <c r="B520" t="s">
        <v>5</v>
      </c>
      <c r="C520" t="s">
        <v>14</v>
      </c>
      <c r="D520">
        <f ca="1">'2BAS Calcs'!N520</f>
        <v>3.1054199788286299E-7</v>
      </c>
    </row>
    <row r="521" spans="1:4" x14ac:dyDescent="0.35">
      <c r="A521" t="s">
        <v>31</v>
      </c>
      <c r="B521" t="s">
        <v>5</v>
      </c>
      <c r="C521" t="s">
        <v>14</v>
      </c>
      <c r="D521">
        <f ca="1">'2BAS Calcs'!N521</f>
        <v>3.1054199788286299E-7</v>
      </c>
    </row>
    <row r="522" spans="1:4" x14ac:dyDescent="0.35">
      <c r="A522" t="s">
        <v>32</v>
      </c>
      <c r="B522" t="s">
        <v>5</v>
      </c>
      <c r="C522" t="s">
        <v>14</v>
      </c>
      <c r="D522">
        <f ca="1">'2BAS Calcs'!N522</f>
        <v>3.1054199788286299E-7</v>
      </c>
    </row>
    <row r="523" spans="1:4" x14ac:dyDescent="0.35">
      <c r="A523" t="s">
        <v>33</v>
      </c>
      <c r="B523" t="s">
        <v>5</v>
      </c>
      <c r="C523" t="s">
        <v>14</v>
      </c>
      <c r="D523">
        <f ca="1">'2BAS Calcs'!N523</f>
        <v>3.1054199788286299E-7</v>
      </c>
    </row>
    <row r="524" spans="1:4" x14ac:dyDescent="0.35">
      <c r="A524" t="s">
        <v>34</v>
      </c>
      <c r="B524" t="s">
        <v>5</v>
      </c>
      <c r="C524" t="s">
        <v>14</v>
      </c>
      <c r="D524">
        <f ca="1">'2BAS Calcs'!N524</f>
        <v>3.1054199788286299E-7</v>
      </c>
    </row>
    <row r="525" spans="1:4" x14ac:dyDescent="0.35">
      <c r="A525" t="s">
        <v>35</v>
      </c>
      <c r="B525" t="s">
        <v>5</v>
      </c>
      <c r="C525" t="s">
        <v>14</v>
      </c>
      <c r="D525">
        <f ca="1">'2BAS Calcs'!N525</f>
        <v>3.1054199788286299E-7</v>
      </c>
    </row>
    <row r="526" spans="1:4" x14ac:dyDescent="0.35">
      <c r="A526" t="s">
        <v>36</v>
      </c>
      <c r="B526" t="s">
        <v>5</v>
      </c>
      <c r="C526" t="s">
        <v>14</v>
      </c>
      <c r="D526">
        <f ca="1">'2BAS Calcs'!N526</f>
        <v>3.1054199788286299E-7</v>
      </c>
    </row>
    <row r="527" spans="1:4" x14ac:dyDescent="0.35">
      <c r="A527" t="s">
        <v>37</v>
      </c>
      <c r="B527" t="s">
        <v>5</v>
      </c>
      <c r="C527" t="s">
        <v>14</v>
      </c>
      <c r="D527">
        <f ca="1">'2BAS Calcs'!N527</f>
        <v>3.1054199788286299E-7</v>
      </c>
    </row>
    <row r="528" spans="1:4" x14ac:dyDescent="0.35">
      <c r="A528" t="s">
        <v>38</v>
      </c>
      <c r="B528" t="s">
        <v>5</v>
      </c>
      <c r="C528" t="s">
        <v>14</v>
      </c>
      <c r="D528">
        <f ca="1">'2BAS Calcs'!N528</f>
        <v>3.1054199788286299E-7</v>
      </c>
    </row>
    <row r="529" spans="1:4" x14ac:dyDescent="0.35">
      <c r="A529" t="s">
        <v>39</v>
      </c>
      <c r="B529" t="s">
        <v>5</v>
      </c>
      <c r="C529" t="s">
        <v>14</v>
      </c>
      <c r="D529">
        <f ca="1">'2BAS Calcs'!N529</f>
        <v>3.1054199788286299E-7</v>
      </c>
    </row>
    <row r="530" spans="1:4" x14ac:dyDescent="0.35">
      <c r="A530" t="s">
        <v>7</v>
      </c>
      <c r="B530" t="s">
        <v>4</v>
      </c>
      <c r="C530" t="s">
        <v>15</v>
      </c>
      <c r="D530">
        <f ca="1">'2BAS Calcs'!N530</f>
        <v>0.26973491808406264</v>
      </c>
    </row>
    <row r="531" spans="1:4" x14ac:dyDescent="0.35">
      <c r="A531" t="s">
        <v>8</v>
      </c>
      <c r="B531" t="s">
        <v>4</v>
      </c>
      <c r="C531" t="s">
        <v>15</v>
      </c>
      <c r="D531">
        <f ca="1">'2BAS Calcs'!N531</f>
        <v>0.47053021357174535</v>
      </c>
    </row>
    <row r="532" spans="1:4" x14ac:dyDescent="0.35">
      <c r="A532" t="s">
        <v>9</v>
      </c>
      <c r="B532" t="s">
        <v>4</v>
      </c>
      <c r="C532" t="s">
        <v>15</v>
      </c>
      <c r="D532">
        <f ca="1">'2BAS Calcs'!N532</f>
        <v>0.79227353300224679</v>
      </c>
    </row>
    <row r="533" spans="1:4" x14ac:dyDescent="0.35">
      <c r="A533" t="s">
        <v>10</v>
      </c>
      <c r="B533" t="s">
        <v>4</v>
      </c>
      <c r="C533" t="s">
        <v>15</v>
      </c>
      <c r="D533">
        <f ca="1">'2BAS Calcs'!N533</f>
        <v>4.1268363939758457</v>
      </c>
    </row>
    <row r="534" spans="1:4" x14ac:dyDescent="0.35">
      <c r="A534" t="s">
        <v>11</v>
      </c>
      <c r="B534" t="s">
        <v>4</v>
      </c>
      <c r="C534" t="s">
        <v>15</v>
      </c>
      <c r="D534">
        <f ca="1">'2BAS Calcs'!N534</f>
        <v>2.9283280552083627E-2</v>
      </c>
    </row>
    <row r="535" spans="1:4" x14ac:dyDescent="0.35">
      <c r="A535" t="s">
        <v>12</v>
      </c>
      <c r="B535" t="s">
        <v>4</v>
      </c>
      <c r="C535" t="s">
        <v>15</v>
      </c>
      <c r="D535">
        <f ca="1">'2BAS Calcs'!N535</f>
        <v>0.18026547526117315</v>
      </c>
    </row>
    <row r="536" spans="1:4" x14ac:dyDescent="0.35">
      <c r="A536" t="s">
        <v>13</v>
      </c>
      <c r="B536" t="s">
        <v>4</v>
      </c>
      <c r="C536" t="s">
        <v>15</v>
      </c>
      <c r="D536">
        <f ca="1">'2BAS Calcs'!N536</f>
        <v>3.608117997479301</v>
      </c>
    </row>
    <row r="537" spans="1:4" x14ac:dyDescent="0.35">
      <c r="A537" t="s">
        <v>14</v>
      </c>
      <c r="B537" t="s">
        <v>4</v>
      </c>
      <c r="C537" t="s">
        <v>15</v>
      </c>
      <c r="D537">
        <f ca="1">'2BAS Calcs'!N537</f>
        <v>0.54980768968997662</v>
      </c>
    </row>
    <row r="538" spans="1:4" x14ac:dyDescent="0.35">
      <c r="A538" t="s">
        <v>15</v>
      </c>
      <c r="B538" t="s">
        <v>4</v>
      </c>
      <c r="C538" t="s">
        <v>15</v>
      </c>
      <c r="D538">
        <f ca="1">'2BAS Calcs'!N538</f>
        <v>3.4237627826598946</v>
      </c>
    </row>
    <row r="539" spans="1:4" x14ac:dyDescent="0.35">
      <c r="A539" t="s">
        <v>16</v>
      </c>
      <c r="B539" t="s">
        <v>4</v>
      </c>
      <c r="C539" t="s">
        <v>15</v>
      </c>
      <c r="D539">
        <f ca="1">'2BAS Calcs'!N539</f>
        <v>5.3595702630496378</v>
      </c>
    </row>
    <row r="540" spans="1:4" x14ac:dyDescent="0.35">
      <c r="A540" t="s">
        <v>17</v>
      </c>
      <c r="B540" t="s">
        <v>4</v>
      </c>
      <c r="C540" t="s">
        <v>15</v>
      </c>
      <c r="D540">
        <f ca="1">'2BAS Calcs'!N540</f>
        <v>4.9649756969029273</v>
      </c>
    </row>
    <row r="541" spans="1:4" x14ac:dyDescent="0.35">
      <c r="A541" t="s">
        <v>18</v>
      </c>
      <c r="B541" t="s">
        <v>4</v>
      </c>
      <c r="C541" t="s">
        <v>15</v>
      </c>
      <c r="D541">
        <f ca="1">'2BAS Calcs'!N541</f>
        <v>14.521694747792063</v>
      </c>
    </row>
    <row r="542" spans="1:4" x14ac:dyDescent="0.35">
      <c r="A542" t="s">
        <v>19</v>
      </c>
      <c r="B542" t="s">
        <v>4</v>
      </c>
      <c r="C542" t="s">
        <v>15</v>
      </c>
      <c r="D542">
        <f ca="1">'2BAS Calcs'!N542</f>
        <v>21.019008345233317</v>
      </c>
    </row>
    <row r="543" spans="1:4" x14ac:dyDescent="0.35">
      <c r="A543" t="s">
        <v>20</v>
      </c>
      <c r="B543" t="s">
        <v>4</v>
      </c>
      <c r="C543" t="s">
        <v>15</v>
      </c>
      <c r="D543">
        <f ca="1">'2BAS Calcs'!N543</f>
        <v>4.3724100978597242</v>
      </c>
    </row>
    <row r="544" spans="1:4" x14ac:dyDescent="0.35">
      <c r="A544" t="s">
        <v>21</v>
      </c>
      <c r="B544" t="s">
        <v>4</v>
      </c>
      <c r="C544" t="s">
        <v>15</v>
      </c>
      <c r="D544">
        <f ca="1">'2BAS Calcs'!N544</f>
        <v>6.315981030372714</v>
      </c>
    </row>
    <row r="545" spans="1:4" x14ac:dyDescent="0.35">
      <c r="A545" t="s">
        <v>22</v>
      </c>
      <c r="B545" t="s">
        <v>4</v>
      </c>
      <c r="C545" t="s">
        <v>15</v>
      </c>
      <c r="D545">
        <f ca="1">'2BAS Calcs'!N545</f>
        <v>17.19800625001988</v>
      </c>
    </row>
    <row r="546" spans="1:4" x14ac:dyDescent="0.35">
      <c r="A546" t="s">
        <v>23</v>
      </c>
      <c r="B546" t="s">
        <v>4</v>
      </c>
      <c r="C546" t="s">
        <v>15</v>
      </c>
      <c r="D546">
        <f ca="1">'2BAS Calcs'!N546</f>
        <v>3.92447099007751E-7</v>
      </c>
    </row>
    <row r="547" spans="1:4" x14ac:dyDescent="0.35">
      <c r="A547" t="s">
        <v>24</v>
      </c>
      <c r="B547" t="s">
        <v>4</v>
      </c>
      <c r="C547" t="s">
        <v>15</v>
      </c>
      <c r="D547">
        <f ca="1">'2BAS Calcs'!N547</f>
        <v>571.2909341053047</v>
      </c>
    </row>
    <row r="548" spans="1:4" x14ac:dyDescent="0.35">
      <c r="A548" t="s">
        <v>25</v>
      </c>
      <c r="B548" t="s">
        <v>4</v>
      </c>
      <c r="C548" t="s">
        <v>15</v>
      </c>
      <c r="D548">
        <f ca="1">'2BAS Calcs'!N548</f>
        <v>91.345611533341341</v>
      </c>
    </row>
    <row r="549" spans="1:4" x14ac:dyDescent="0.35">
      <c r="A549" t="s">
        <v>26</v>
      </c>
      <c r="B549" t="s">
        <v>4</v>
      </c>
      <c r="C549" t="s">
        <v>15</v>
      </c>
      <c r="D549">
        <f ca="1">'2BAS Calcs'!N549</f>
        <v>3.92447099007751E-7</v>
      </c>
    </row>
    <row r="550" spans="1:4" x14ac:dyDescent="0.35">
      <c r="A550" t="s">
        <v>27</v>
      </c>
      <c r="B550" t="s">
        <v>4</v>
      </c>
      <c r="C550" t="s">
        <v>15</v>
      </c>
      <c r="D550">
        <f ca="1">'2BAS Calcs'!N550</f>
        <v>3.92447099007751E-7</v>
      </c>
    </row>
    <row r="551" spans="1:4" x14ac:dyDescent="0.35">
      <c r="A551" t="s">
        <v>28</v>
      </c>
      <c r="B551" t="s">
        <v>4</v>
      </c>
      <c r="C551" t="s">
        <v>15</v>
      </c>
      <c r="D551">
        <f ca="1">'2BAS Calcs'!N551</f>
        <v>3.92447099007751E-7</v>
      </c>
    </row>
    <row r="552" spans="1:4" x14ac:dyDescent="0.35">
      <c r="A552" t="s">
        <v>29</v>
      </c>
      <c r="B552" t="s">
        <v>4</v>
      </c>
      <c r="C552" t="s">
        <v>15</v>
      </c>
      <c r="D552">
        <f ca="1">'2BAS Calcs'!N552</f>
        <v>3.92447099007751E-7</v>
      </c>
    </row>
    <row r="553" spans="1:4" x14ac:dyDescent="0.35">
      <c r="A553" t="s">
        <v>30</v>
      </c>
      <c r="B553" t="s">
        <v>4</v>
      </c>
      <c r="C553" t="s">
        <v>15</v>
      </c>
      <c r="D553">
        <f ca="1">'2BAS Calcs'!N553</f>
        <v>3.92447099007751E-7</v>
      </c>
    </row>
    <row r="554" spans="1:4" x14ac:dyDescent="0.35">
      <c r="A554" t="s">
        <v>31</v>
      </c>
      <c r="B554" t="s">
        <v>4</v>
      </c>
      <c r="C554" t="s">
        <v>15</v>
      </c>
      <c r="D554">
        <f ca="1">'2BAS Calcs'!N554</f>
        <v>3.92447099007751E-7</v>
      </c>
    </row>
    <row r="555" spans="1:4" x14ac:dyDescent="0.35">
      <c r="A555" t="s">
        <v>32</v>
      </c>
      <c r="B555" t="s">
        <v>4</v>
      </c>
      <c r="C555" t="s">
        <v>15</v>
      </c>
      <c r="D555">
        <f ca="1">'2BAS Calcs'!N555</f>
        <v>3.92447099007751E-7</v>
      </c>
    </row>
    <row r="556" spans="1:4" x14ac:dyDescent="0.35">
      <c r="A556" t="s">
        <v>33</v>
      </c>
      <c r="B556" t="s">
        <v>4</v>
      </c>
      <c r="C556" t="s">
        <v>15</v>
      </c>
      <c r="D556">
        <f ca="1">'2BAS Calcs'!N556</f>
        <v>3.92447099007751E-7</v>
      </c>
    </row>
    <row r="557" spans="1:4" x14ac:dyDescent="0.35">
      <c r="A557" t="s">
        <v>34</v>
      </c>
      <c r="B557" t="s">
        <v>4</v>
      </c>
      <c r="C557" t="s">
        <v>15</v>
      </c>
      <c r="D557">
        <f ca="1">'2BAS Calcs'!N557</f>
        <v>3.92447099007751E-7</v>
      </c>
    </row>
    <row r="558" spans="1:4" x14ac:dyDescent="0.35">
      <c r="A558" t="s">
        <v>35</v>
      </c>
      <c r="B558" t="s">
        <v>4</v>
      </c>
      <c r="C558" t="s">
        <v>15</v>
      </c>
      <c r="D558">
        <f ca="1">'2BAS Calcs'!N558</f>
        <v>3.92447099007751E-7</v>
      </c>
    </row>
    <row r="559" spans="1:4" x14ac:dyDescent="0.35">
      <c r="A559" t="s">
        <v>36</v>
      </c>
      <c r="B559" t="s">
        <v>4</v>
      </c>
      <c r="C559" t="s">
        <v>15</v>
      </c>
      <c r="D559">
        <f ca="1">'2BAS Calcs'!N559</f>
        <v>3.92447099007751E-7</v>
      </c>
    </row>
    <row r="560" spans="1:4" x14ac:dyDescent="0.35">
      <c r="A560" t="s">
        <v>37</v>
      </c>
      <c r="B560" t="s">
        <v>4</v>
      </c>
      <c r="C560" t="s">
        <v>15</v>
      </c>
      <c r="D560">
        <f ca="1">'2BAS Calcs'!N560</f>
        <v>3.92447099007751E-7</v>
      </c>
    </row>
    <row r="561" spans="1:4" x14ac:dyDescent="0.35">
      <c r="A561" t="s">
        <v>38</v>
      </c>
      <c r="B561" t="s">
        <v>4</v>
      </c>
      <c r="C561" t="s">
        <v>15</v>
      </c>
      <c r="D561">
        <f ca="1">'2BAS Calcs'!N561</f>
        <v>3.92447099007751E-7</v>
      </c>
    </row>
    <row r="562" spans="1:4" x14ac:dyDescent="0.35">
      <c r="A562" t="s">
        <v>39</v>
      </c>
      <c r="B562" t="s">
        <v>4</v>
      </c>
      <c r="C562" t="s">
        <v>15</v>
      </c>
      <c r="D562">
        <f ca="1">'2BAS Calcs'!N562</f>
        <v>3.92447099007751E-7</v>
      </c>
    </row>
    <row r="563" spans="1:4" x14ac:dyDescent="0.35">
      <c r="A563" t="s">
        <v>7</v>
      </c>
      <c r="B563" t="s">
        <v>5</v>
      </c>
      <c r="C563" t="s">
        <v>15</v>
      </c>
      <c r="D563">
        <f ca="1">'2BAS Calcs'!N563</f>
        <v>3.6308515057189643</v>
      </c>
    </row>
    <row r="564" spans="1:4" x14ac:dyDescent="0.35">
      <c r="A564" t="s">
        <v>8</v>
      </c>
      <c r="B564" t="s">
        <v>5</v>
      </c>
      <c r="C564" t="s">
        <v>15</v>
      </c>
      <c r="D564">
        <f ca="1">'2BAS Calcs'!N564</f>
        <v>5.7281463977951761</v>
      </c>
    </row>
    <row r="565" spans="1:4" x14ac:dyDescent="0.35">
      <c r="A565" t="s">
        <v>9</v>
      </c>
      <c r="B565" t="s">
        <v>5</v>
      </c>
      <c r="C565" t="s">
        <v>15</v>
      </c>
      <c r="D565">
        <f ca="1">'2BAS Calcs'!N565</f>
        <v>1.4333579296330781</v>
      </c>
    </row>
    <row r="566" spans="1:4" x14ac:dyDescent="0.35">
      <c r="A566" t="s">
        <v>10</v>
      </c>
      <c r="B566" t="s">
        <v>5</v>
      </c>
      <c r="C566" t="s">
        <v>15</v>
      </c>
      <c r="D566">
        <f ca="1">'2BAS Calcs'!N566</f>
        <v>28.128238830573462</v>
      </c>
    </row>
    <row r="567" spans="1:4" x14ac:dyDescent="0.35">
      <c r="A567" t="s">
        <v>11</v>
      </c>
      <c r="B567" t="s">
        <v>5</v>
      </c>
      <c r="C567" t="s">
        <v>15</v>
      </c>
      <c r="D567">
        <f ca="1">'2BAS Calcs'!N567</f>
        <v>14.659579548902627</v>
      </c>
    </row>
    <row r="568" spans="1:4" x14ac:dyDescent="0.35">
      <c r="A568" t="s">
        <v>12</v>
      </c>
      <c r="B568" t="s">
        <v>5</v>
      </c>
      <c r="C568" t="s">
        <v>15</v>
      </c>
      <c r="D568">
        <f ca="1">'2BAS Calcs'!N568</f>
        <v>0.26239574688146328</v>
      </c>
    </row>
    <row r="569" spans="1:4" x14ac:dyDescent="0.35">
      <c r="A569" t="s">
        <v>13</v>
      </c>
      <c r="B569" t="s">
        <v>5</v>
      </c>
      <c r="C569" t="s">
        <v>15</v>
      </c>
      <c r="D569">
        <f ca="1">'2BAS Calcs'!N569</f>
        <v>3.7784722784510878</v>
      </c>
    </row>
    <row r="570" spans="1:4" x14ac:dyDescent="0.35">
      <c r="A570" t="s">
        <v>14</v>
      </c>
      <c r="B570" t="s">
        <v>5</v>
      </c>
      <c r="C570" t="s">
        <v>15</v>
      </c>
      <c r="D570">
        <f ca="1">'2BAS Calcs'!N570</f>
        <v>0.95146375040416997</v>
      </c>
    </row>
    <row r="571" spans="1:4" x14ac:dyDescent="0.35">
      <c r="A571" t="s">
        <v>15</v>
      </c>
      <c r="B571" t="s">
        <v>5</v>
      </c>
      <c r="C571" t="s">
        <v>15</v>
      </c>
      <c r="D571">
        <f ca="1">'2BAS Calcs'!N571</f>
        <v>13.042979353840938</v>
      </c>
    </row>
    <row r="572" spans="1:4" x14ac:dyDescent="0.35">
      <c r="A572" t="s">
        <v>16</v>
      </c>
      <c r="B572" t="s">
        <v>5</v>
      </c>
      <c r="C572" t="s">
        <v>15</v>
      </c>
      <c r="D572">
        <f ca="1">'2BAS Calcs'!N572</f>
        <v>9.9891885928876274</v>
      </c>
    </row>
    <row r="573" spans="1:4" x14ac:dyDescent="0.35">
      <c r="A573" t="s">
        <v>17</v>
      </c>
      <c r="B573" t="s">
        <v>5</v>
      </c>
      <c r="C573" t="s">
        <v>15</v>
      </c>
      <c r="D573">
        <f ca="1">'2BAS Calcs'!N573</f>
        <v>3.7707925944274492</v>
      </c>
    </row>
    <row r="574" spans="1:4" x14ac:dyDescent="0.35">
      <c r="A574" t="s">
        <v>18</v>
      </c>
      <c r="B574" t="s">
        <v>5</v>
      </c>
      <c r="C574" t="s">
        <v>15</v>
      </c>
      <c r="D574">
        <f ca="1">'2BAS Calcs'!N574</f>
        <v>47.199530298318813</v>
      </c>
    </row>
    <row r="575" spans="1:4" x14ac:dyDescent="0.35">
      <c r="A575" t="s">
        <v>19</v>
      </c>
      <c r="B575" t="s">
        <v>5</v>
      </c>
      <c r="C575" t="s">
        <v>15</v>
      </c>
      <c r="D575">
        <f ca="1">'2BAS Calcs'!N575</f>
        <v>180.81063323611764</v>
      </c>
    </row>
    <row r="576" spans="1:4" x14ac:dyDescent="0.35">
      <c r="A576" t="s">
        <v>20</v>
      </c>
      <c r="B576" t="s">
        <v>5</v>
      </c>
      <c r="C576" t="s">
        <v>15</v>
      </c>
      <c r="D576">
        <f ca="1">'2BAS Calcs'!N576</f>
        <v>96.945146090010667</v>
      </c>
    </row>
    <row r="577" spans="1:4" x14ac:dyDescent="0.35">
      <c r="A577" t="s">
        <v>21</v>
      </c>
      <c r="B577" t="s">
        <v>5</v>
      </c>
      <c r="C577" t="s">
        <v>15</v>
      </c>
      <c r="D577">
        <f ca="1">'2BAS Calcs'!N577</f>
        <v>154.71354884658805</v>
      </c>
    </row>
    <row r="578" spans="1:4" x14ac:dyDescent="0.35">
      <c r="A578" t="s">
        <v>22</v>
      </c>
      <c r="B578" t="s">
        <v>5</v>
      </c>
      <c r="C578" t="s">
        <v>15</v>
      </c>
      <c r="D578">
        <f ca="1">'2BAS Calcs'!N578</f>
        <v>58.703684367539658</v>
      </c>
    </row>
    <row r="579" spans="1:4" x14ac:dyDescent="0.35">
      <c r="A579" t="s">
        <v>23</v>
      </c>
      <c r="B579" t="s">
        <v>5</v>
      </c>
      <c r="C579" t="s">
        <v>15</v>
      </c>
      <c r="D579">
        <f ca="1">'2BAS Calcs'!N579</f>
        <v>3.92447099007751E-7</v>
      </c>
    </row>
    <row r="580" spans="1:4" x14ac:dyDescent="0.35">
      <c r="A580" t="s">
        <v>24</v>
      </c>
      <c r="B580" t="s">
        <v>5</v>
      </c>
      <c r="C580" t="s">
        <v>15</v>
      </c>
      <c r="D580">
        <f ca="1">'2BAS Calcs'!N580</f>
        <v>11.491584535583945</v>
      </c>
    </row>
    <row r="581" spans="1:4" x14ac:dyDescent="0.35">
      <c r="A581" t="s">
        <v>25</v>
      </c>
      <c r="B581" t="s">
        <v>5</v>
      </c>
      <c r="C581" t="s">
        <v>15</v>
      </c>
      <c r="D581">
        <f ca="1">'2BAS Calcs'!N581</f>
        <v>1.0054360106463658</v>
      </c>
    </row>
    <row r="582" spans="1:4" x14ac:dyDescent="0.35">
      <c r="A582" t="s">
        <v>26</v>
      </c>
      <c r="B582" t="s">
        <v>5</v>
      </c>
      <c r="C582" t="s">
        <v>15</v>
      </c>
      <c r="D582">
        <f ca="1">'2BAS Calcs'!N582</f>
        <v>3.92447099007751E-7</v>
      </c>
    </row>
    <row r="583" spans="1:4" x14ac:dyDescent="0.35">
      <c r="A583" t="s">
        <v>27</v>
      </c>
      <c r="B583" t="s">
        <v>5</v>
      </c>
      <c r="C583" t="s">
        <v>15</v>
      </c>
      <c r="D583">
        <f ca="1">'2BAS Calcs'!N583</f>
        <v>3.92447099007751E-7</v>
      </c>
    </row>
    <row r="584" spans="1:4" x14ac:dyDescent="0.35">
      <c r="A584" t="s">
        <v>28</v>
      </c>
      <c r="B584" t="s">
        <v>5</v>
      </c>
      <c r="C584" t="s">
        <v>15</v>
      </c>
      <c r="D584">
        <f ca="1">'2BAS Calcs'!N584</f>
        <v>3.92447099007751E-7</v>
      </c>
    </row>
    <row r="585" spans="1:4" x14ac:dyDescent="0.35">
      <c r="A585" t="s">
        <v>29</v>
      </c>
      <c r="B585" t="s">
        <v>5</v>
      </c>
      <c r="C585" t="s">
        <v>15</v>
      </c>
      <c r="D585">
        <f ca="1">'2BAS Calcs'!N585</f>
        <v>3.92447099007751E-7</v>
      </c>
    </row>
    <row r="586" spans="1:4" x14ac:dyDescent="0.35">
      <c r="A586" t="s">
        <v>30</v>
      </c>
      <c r="B586" t="s">
        <v>5</v>
      </c>
      <c r="C586" t="s">
        <v>15</v>
      </c>
      <c r="D586">
        <f ca="1">'2BAS Calcs'!N586</f>
        <v>3.92447099007751E-7</v>
      </c>
    </row>
    <row r="587" spans="1:4" x14ac:dyDescent="0.35">
      <c r="A587" t="s">
        <v>31</v>
      </c>
      <c r="B587" t="s">
        <v>5</v>
      </c>
      <c r="C587" t="s">
        <v>15</v>
      </c>
      <c r="D587">
        <f ca="1">'2BAS Calcs'!N587</f>
        <v>3.92447099007751E-7</v>
      </c>
    </row>
    <row r="588" spans="1:4" x14ac:dyDescent="0.35">
      <c r="A588" t="s">
        <v>32</v>
      </c>
      <c r="B588" t="s">
        <v>5</v>
      </c>
      <c r="C588" t="s">
        <v>15</v>
      </c>
      <c r="D588">
        <f ca="1">'2BAS Calcs'!N588</f>
        <v>3.92447099007751E-7</v>
      </c>
    </row>
    <row r="589" spans="1:4" x14ac:dyDescent="0.35">
      <c r="A589" t="s">
        <v>33</v>
      </c>
      <c r="B589" t="s">
        <v>5</v>
      </c>
      <c r="C589" t="s">
        <v>15</v>
      </c>
      <c r="D589">
        <f ca="1">'2BAS Calcs'!N589</f>
        <v>3.92447099007751E-7</v>
      </c>
    </row>
    <row r="590" spans="1:4" x14ac:dyDescent="0.35">
      <c r="A590" t="s">
        <v>34</v>
      </c>
      <c r="B590" t="s">
        <v>5</v>
      </c>
      <c r="C590" t="s">
        <v>15</v>
      </c>
      <c r="D590">
        <f ca="1">'2BAS Calcs'!N590</f>
        <v>3.92447099007751E-7</v>
      </c>
    </row>
    <row r="591" spans="1:4" x14ac:dyDescent="0.35">
      <c r="A591" t="s">
        <v>35</v>
      </c>
      <c r="B591" t="s">
        <v>5</v>
      </c>
      <c r="C591" t="s">
        <v>15</v>
      </c>
      <c r="D591">
        <f ca="1">'2BAS Calcs'!N591</f>
        <v>3.92447099007751E-7</v>
      </c>
    </row>
    <row r="592" spans="1:4" x14ac:dyDescent="0.35">
      <c r="A592" t="s">
        <v>36</v>
      </c>
      <c r="B592" t="s">
        <v>5</v>
      </c>
      <c r="C592" t="s">
        <v>15</v>
      </c>
      <c r="D592">
        <f ca="1">'2BAS Calcs'!N592</f>
        <v>3.92447099007751E-7</v>
      </c>
    </row>
    <row r="593" spans="1:4" x14ac:dyDescent="0.35">
      <c r="A593" t="s">
        <v>37</v>
      </c>
      <c r="B593" t="s">
        <v>5</v>
      </c>
      <c r="C593" t="s">
        <v>15</v>
      </c>
      <c r="D593">
        <f ca="1">'2BAS Calcs'!N593</f>
        <v>3.92447099007751E-7</v>
      </c>
    </row>
    <row r="594" spans="1:4" x14ac:dyDescent="0.35">
      <c r="A594" t="s">
        <v>38</v>
      </c>
      <c r="B594" t="s">
        <v>5</v>
      </c>
      <c r="C594" t="s">
        <v>15</v>
      </c>
      <c r="D594">
        <f ca="1">'2BAS Calcs'!N594</f>
        <v>3.92447099007751E-7</v>
      </c>
    </row>
    <row r="595" spans="1:4" x14ac:dyDescent="0.35">
      <c r="A595" t="s">
        <v>39</v>
      </c>
      <c r="B595" t="s">
        <v>5</v>
      </c>
      <c r="C595" t="s">
        <v>15</v>
      </c>
      <c r="D595">
        <f ca="1">'2BAS Calcs'!N595</f>
        <v>3.92447099007751E-7</v>
      </c>
    </row>
    <row r="596" spans="1:4" x14ac:dyDescent="0.35">
      <c r="A596" t="s">
        <v>7</v>
      </c>
      <c r="B596" t="s">
        <v>4</v>
      </c>
      <c r="C596" t="s">
        <v>16</v>
      </c>
      <c r="D596">
        <f ca="1">'2BAS Calcs'!N596</f>
        <v>0.13309184703630766</v>
      </c>
    </row>
    <row r="597" spans="1:4" x14ac:dyDescent="0.35">
      <c r="A597" t="s">
        <v>8</v>
      </c>
      <c r="B597" t="s">
        <v>4</v>
      </c>
      <c r="C597" t="s">
        <v>16</v>
      </c>
      <c r="D597">
        <f ca="1">'2BAS Calcs'!N597</f>
        <v>0.23216769877430279</v>
      </c>
    </row>
    <row r="598" spans="1:4" x14ac:dyDescent="0.35">
      <c r="A598" t="s">
        <v>9</v>
      </c>
      <c r="B598" t="s">
        <v>4</v>
      </c>
      <c r="C598" t="s">
        <v>16</v>
      </c>
      <c r="D598">
        <f ca="1">'2BAS Calcs'!N598</f>
        <v>0.39092138538914784</v>
      </c>
    </row>
    <row r="599" spans="1:4" x14ac:dyDescent="0.35">
      <c r="A599" t="s">
        <v>10</v>
      </c>
      <c r="B599" t="s">
        <v>4</v>
      </c>
      <c r="C599" t="s">
        <v>16</v>
      </c>
      <c r="D599">
        <f ca="1">'2BAS Calcs'!N599</f>
        <v>2.0362520432735667</v>
      </c>
    </row>
    <row r="600" spans="1:4" x14ac:dyDescent="0.35">
      <c r="A600" t="s">
        <v>11</v>
      </c>
      <c r="B600" t="s">
        <v>4</v>
      </c>
      <c r="C600" t="s">
        <v>16</v>
      </c>
      <c r="D600">
        <f ca="1">'2BAS Calcs'!N600</f>
        <v>1.4448874189676051E-2</v>
      </c>
    </row>
    <row r="601" spans="1:4" x14ac:dyDescent="0.35">
      <c r="A601" t="s">
        <v>12</v>
      </c>
      <c r="B601" t="s">
        <v>4</v>
      </c>
      <c r="C601" t="s">
        <v>16</v>
      </c>
      <c r="D601">
        <f ca="1">'2BAS Calcs'!N601</f>
        <v>8.8946085400446059E-2</v>
      </c>
    </row>
    <row r="602" spans="1:4" x14ac:dyDescent="0.35">
      <c r="A602" t="s">
        <v>13</v>
      </c>
      <c r="B602" t="s">
        <v>4</v>
      </c>
      <c r="C602" t="s">
        <v>16</v>
      </c>
      <c r="D602">
        <f ca="1">'2BAS Calcs'!N602</f>
        <v>1.7803074663837422</v>
      </c>
    </row>
    <row r="603" spans="1:4" x14ac:dyDescent="0.35">
      <c r="A603" t="s">
        <v>14</v>
      </c>
      <c r="B603" t="s">
        <v>4</v>
      </c>
      <c r="C603" t="s">
        <v>16</v>
      </c>
      <c r="D603">
        <f ca="1">'2BAS Calcs'!N603</f>
        <v>0.27128456877355112</v>
      </c>
    </row>
    <row r="604" spans="1:4" x14ac:dyDescent="0.35">
      <c r="A604" t="s">
        <v>15</v>
      </c>
      <c r="B604" t="s">
        <v>4</v>
      </c>
      <c r="C604" t="s">
        <v>16</v>
      </c>
      <c r="D604">
        <f ca="1">'2BAS Calcs'!N604</f>
        <v>1.6893434331567079</v>
      </c>
    </row>
    <row r="605" spans="1:4" x14ac:dyDescent="0.35">
      <c r="A605" t="s">
        <v>16</v>
      </c>
      <c r="B605" t="s">
        <v>4</v>
      </c>
      <c r="C605" t="s">
        <v>16</v>
      </c>
      <c r="D605">
        <f ca="1">'2BAS Calcs'!N605</f>
        <v>2.6445041327865511</v>
      </c>
    </row>
    <row r="606" spans="1:4" x14ac:dyDescent="0.35">
      <c r="A606" t="s">
        <v>17</v>
      </c>
      <c r="B606" t="s">
        <v>4</v>
      </c>
      <c r="C606" t="s">
        <v>16</v>
      </c>
      <c r="D606">
        <f ca="1">'2BAS Calcs'!N606</f>
        <v>2.4498043882670477</v>
      </c>
    </row>
    <row r="607" spans="1:4" x14ac:dyDescent="0.35">
      <c r="A607" t="s">
        <v>18</v>
      </c>
      <c r="B607" t="s">
        <v>4</v>
      </c>
      <c r="C607" t="s">
        <v>16</v>
      </c>
      <c r="D607">
        <f ca="1">'2BAS Calcs'!N607</f>
        <v>7.1652539085753935</v>
      </c>
    </row>
    <row r="608" spans="1:4" x14ac:dyDescent="0.35">
      <c r="A608" t="s">
        <v>19</v>
      </c>
      <c r="B608" t="s">
        <v>4</v>
      </c>
      <c r="C608" t="s">
        <v>16</v>
      </c>
      <c r="D608">
        <f ca="1">'2BAS Calcs'!N608</f>
        <v>10.371140167573119</v>
      </c>
    </row>
    <row r="609" spans="1:4" x14ac:dyDescent="0.35">
      <c r="A609" t="s">
        <v>20</v>
      </c>
      <c r="B609" t="s">
        <v>4</v>
      </c>
      <c r="C609" t="s">
        <v>16</v>
      </c>
      <c r="D609">
        <f ca="1">'2BAS Calcs'!N609</f>
        <v>2.1574223317390251</v>
      </c>
    </row>
    <row r="610" spans="1:4" x14ac:dyDescent="0.35">
      <c r="A610" t="s">
        <v>21</v>
      </c>
      <c r="B610" t="s">
        <v>4</v>
      </c>
      <c r="C610" t="s">
        <v>16</v>
      </c>
      <c r="D610">
        <f ca="1">'2BAS Calcs'!N610</f>
        <v>3.1164136521494483</v>
      </c>
    </row>
    <row r="611" spans="1:4" x14ac:dyDescent="0.35">
      <c r="A611" t="s">
        <v>22</v>
      </c>
      <c r="B611" t="s">
        <v>4</v>
      </c>
      <c r="C611" t="s">
        <v>16</v>
      </c>
      <c r="D611">
        <f ca="1">'2BAS Calcs'!N611</f>
        <v>8.4857920265398139</v>
      </c>
    </row>
    <row r="612" spans="1:4" x14ac:dyDescent="0.35">
      <c r="A612" t="s">
        <v>23</v>
      </c>
      <c r="B612" t="s">
        <v>4</v>
      </c>
      <c r="C612" t="s">
        <v>16</v>
      </c>
      <c r="D612">
        <f ca="1">'2BAS Calcs'!N612</f>
        <v>1.9364014730456357E-7</v>
      </c>
    </row>
    <row r="613" spans="1:4" x14ac:dyDescent="0.35">
      <c r="A613" t="s">
        <v>24</v>
      </c>
      <c r="B613" t="s">
        <v>4</v>
      </c>
      <c r="C613" t="s">
        <v>16</v>
      </c>
      <c r="D613">
        <f ca="1">'2BAS Calcs'!N613</f>
        <v>281.88477100127074</v>
      </c>
    </row>
    <row r="614" spans="1:4" x14ac:dyDescent="0.35">
      <c r="A614" t="s">
        <v>25</v>
      </c>
      <c r="B614" t="s">
        <v>4</v>
      </c>
      <c r="C614" t="s">
        <v>16</v>
      </c>
      <c r="D614">
        <f ca="1">'2BAS Calcs'!N614</f>
        <v>45.07149554083545</v>
      </c>
    </row>
    <row r="615" spans="1:4" x14ac:dyDescent="0.35">
      <c r="A615" t="s">
        <v>26</v>
      </c>
      <c r="B615" t="s">
        <v>4</v>
      </c>
      <c r="C615" t="s">
        <v>16</v>
      </c>
      <c r="D615">
        <f ca="1">'2BAS Calcs'!N615</f>
        <v>1.9364014730456357E-7</v>
      </c>
    </row>
    <row r="616" spans="1:4" x14ac:dyDescent="0.35">
      <c r="A616" t="s">
        <v>27</v>
      </c>
      <c r="B616" t="s">
        <v>4</v>
      </c>
      <c r="C616" t="s">
        <v>16</v>
      </c>
      <c r="D616">
        <f ca="1">'2BAS Calcs'!N616</f>
        <v>1.9364014730456357E-7</v>
      </c>
    </row>
    <row r="617" spans="1:4" x14ac:dyDescent="0.35">
      <c r="A617" t="s">
        <v>28</v>
      </c>
      <c r="B617" t="s">
        <v>4</v>
      </c>
      <c r="C617" t="s">
        <v>16</v>
      </c>
      <c r="D617">
        <f ca="1">'2BAS Calcs'!N617</f>
        <v>1.9364014730456357E-7</v>
      </c>
    </row>
    <row r="618" spans="1:4" x14ac:dyDescent="0.35">
      <c r="A618" t="s">
        <v>29</v>
      </c>
      <c r="B618" t="s">
        <v>4</v>
      </c>
      <c r="C618" t="s">
        <v>16</v>
      </c>
      <c r="D618">
        <f ca="1">'2BAS Calcs'!N618</f>
        <v>1.9364014730456357E-7</v>
      </c>
    </row>
    <row r="619" spans="1:4" x14ac:dyDescent="0.35">
      <c r="A619" t="s">
        <v>30</v>
      </c>
      <c r="B619" t="s">
        <v>4</v>
      </c>
      <c r="C619" t="s">
        <v>16</v>
      </c>
      <c r="D619">
        <f ca="1">'2BAS Calcs'!N619</f>
        <v>1.9364014730456357E-7</v>
      </c>
    </row>
    <row r="620" spans="1:4" x14ac:dyDescent="0.35">
      <c r="A620" t="s">
        <v>31</v>
      </c>
      <c r="B620" t="s">
        <v>4</v>
      </c>
      <c r="C620" t="s">
        <v>16</v>
      </c>
      <c r="D620">
        <f ca="1">'2BAS Calcs'!N620</f>
        <v>1.9364014730456357E-7</v>
      </c>
    </row>
    <row r="621" spans="1:4" x14ac:dyDescent="0.35">
      <c r="A621" t="s">
        <v>32</v>
      </c>
      <c r="B621" t="s">
        <v>4</v>
      </c>
      <c r="C621" t="s">
        <v>16</v>
      </c>
      <c r="D621">
        <f ca="1">'2BAS Calcs'!N621</f>
        <v>1.9364014730456357E-7</v>
      </c>
    </row>
    <row r="622" spans="1:4" x14ac:dyDescent="0.35">
      <c r="A622" t="s">
        <v>33</v>
      </c>
      <c r="B622" t="s">
        <v>4</v>
      </c>
      <c r="C622" t="s">
        <v>16</v>
      </c>
      <c r="D622">
        <f ca="1">'2BAS Calcs'!N622</f>
        <v>1.9364014730456357E-7</v>
      </c>
    </row>
    <row r="623" spans="1:4" x14ac:dyDescent="0.35">
      <c r="A623" t="s">
        <v>34</v>
      </c>
      <c r="B623" t="s">
        <v>4</v>
      </c>
      <c r="C623" t="s">
        <v>16</v>
      </c>
      <c r="D623">
        <f ca="1">'2BAS Calcs'!N623</f>
        <v>1.9364014730456357E-7</v>
      </c>
    </row>
    <row r="624" spans="1:4" x14ac:dyDescent="0.35">
      <c r="A624" t="s">
        <v>35</v>
      </c>
      <c r="B624" t="s">
        <v>4</v>
      </c>
      <c r="C624" t="s">
        <v>16</v>
      </c>
      <c r="D624">
        <f ca="1">'2BAS Calcs'!N624</f>
        <v>1.9364014730456357E-7</v>
      </c>
    </row>
    <row r="625" spans="1:4" x14ac:dyDescent="0.35">
      <c r="A625" t="s">
        <v>36</v>
      </c>
      <c r="B625" t="s">
        <v>4</v>
      </c>
      <c r="C625" t="s">
        <v>16</v>
      </c>
      <c r="D625">
        <f ca="1">'2BAS Calcs'!N625</f>
        <v>1.9364014730456357E-7</v>
      </c>
    </row>
    <row r="626" spans="1:4" x14ac:dyDescent="0.35">
      <c r="A626" t="s">
        <v>37</v>
      </c>
      <c r="B626" t="s">
        <v>4</v>
      </c>
      <c r="C626" t="s">
        <v>16</v>
      </c>
      <c r="D626">
        <f ca="1">'2BAS Calcs'!N626</f>
        <v>1.9364014730456357E-7</v>
      </c>
    </row>
    <row r="627" spans="1:4" x14ac:dyDescent="0.35">
      <c r="A627" t="s">
        <v>38</v>
      </c>
      <c r="B627" t="s">
        <v>4</v>
      </c>
      <c r="C627" t="s">
        <v>16</v>
      </c>
      <c r="D627">
        <f ca="1">'2BAS Calcs'!N627</f>
        <v>1.9364014730456357E-7</v>
      </c>
    </row>
    <row r="628" spans="1:4" x14ac:dyDescent="0.35">
      <c r="A628" t="s">
        <v>39</v>
      </c>
      <c r="B628" t="s">
        <v>4</v>
      </c>
      <c r="C628" t="s">
        <v>16</v>
      </c>
      <c r="D628">
        <f ca="1">'2BAS Calcs'!N628</f>
        <v>1.9364014730456357E-7</v>
      </c>
    </row>
    <row r="629" spans="1:4" x14ac:dyDescent="0.35">
      <c r="A629" t="s">
        <v>7</v>
      </c>
      <c r="B629" t="s">
        <v>5</v>
      </c>
      <c r="C629" t="s">
        <v>16</v>
      </c>
      <c r="D629">
        <f ca="1">'2BAS Calcs'!N629</f>
        <v>1.7915245702823519</v>
      </c>
    </row>
    <row r="630" spans="1:4" x14ac:dyDescent="0.35">
      <c r="A630" t="s">
        <v>8</v>
      </c>
      <c r="B630" t="s">
        <v>5</v>
      </c>
      <c r="C630" t="s">
        <v>16</v>
      </c>
      <c r="D630">
        <f ca="1">'2BAS Calcs'!N630</f>
        <v>2.8263659358308977</v>
      </c>
    </row>
    <row r="631" spans="1:4" x14ac:dyDescent="0.35">
      <c r="A631" t="s">
        <v>9</v>
      </c>
      <c r="B631" t="s">
        <v>5</v>
      </c>
      <c r="C631" t="s">
        <v>16</v>
      </c>
      <c r="D631">
        <f ca="1">'2BAS Calcs'!N631</f>
        <v>0.70724345099269459</v>
      </c>
    </row>
    <row r="632" spans="1:4" x14ac:dyDescent="0.35">
      <c r="A632" t="s">
        <v>10</v>
      </c>
      <c r="B632" t="s">
        <v>5</v>
      </c>
      <c r="C632" t="s">
        <v>16</v>
      </c>
      <c r="D632">
        <f ca="1">'2BAS Calcs'!N632</f>
        <v>13.878956741791622</v>
      </c>
    </row>
    <row r="633" spans="1:4" x14ac:dyDescent="0.35">
      <c r="A633" t="s">
        <v>11</v>
      </c>
      <c r="B633" t="s">
        <v>5</v>
      </c>
      <c r="C633" t="s">
        <v>16</v>
      </c>
      <c r="D633">
        <f ca="1">'2BAS Calcs'!N633</f>
        <v>7.2332886405574044</v>
      </c>
    </row>
    <row r="634" spans="1:4" x14ac:dyDescent="0.35">
      <c r="A634" t="s">
        <v>12</v>
      </c>
      <c r="B634" t="s">
        <v>5</v>
      </c>
      <c r="C634" t="s">
        <v>16</v>
      </c>
      <c r="D634">
        <f ca="1">'2BAS Calcs'!N634</f>
        <v>0.12947057375805446</v>
      </c>
    </row>
    <row r="635" spans="1:4" x14ac:dyDescent="0.35">
      <c r="A635" t="s">
        <v>13</v>
      </c>
      <c r="B635" t="s">
        <v>5</v>
      </c>
      <c r="C635" t="s">
        <v>16</v>
      </c>
      <c r="D635">
        <f ca="1">'2BAS Calcs'!N635</f>
        <v>1.8643631980855282</v>
      </c>
    </row>
    <row r="636" spans="1:4" x14ac:dyDescent="0.35">
      <c r="A636" t="s">
        <v>14</v>
      </c>
      <c r="B636" t="s">
        <v>5</v>
      </c>
      <c r="C636" t="s">
        <v>16</v>
      </c>
      <c r="D636">
        <f ca="1">'2BAS Calcs'!N636</f>
        <v>0.46946857614451909</v>
      </c>
    </row>
    <row r="637" spans="1:4" x14ac:dyDescent="0.35">
      <c r="A637" t="s">
        <v>15</v>
      </c>
      <c r="B637" t="s">
        <v>5</v>
      </c>
      <c r="C637" t="s">
        <v>16</v>
      </c>
      <c r="D637">
        <f ca="1">'2BAS Calcs'!N637</f>
        <v>6.435630304705751</v>
      </c>
    </row>
    <row r="638" spans="1:4" x14ac:dyDescent="0.35">
      <c r="A638" t="s">
        <v>16</v>
      </c>
      <c r="B638" t="s">
        <v>5</v>
      </c>
      <c r="C638" t="s">
        <v>16</v>
      </c>
      <c r="D638">
        <f ca="1">'2BAS Calcs'!N638</f>
        <v>4.9288374292241182</v>
      </c>
    </row>
    <row r="639" spans="1:4" x14ac:dyDescent="0.35">
      <c r="A639" t="s">
        <v>17</v>
      </c>
      <c r="B639" t="s">
        <v>5</v>
      </c>
      <c r="C639" t="s">
        <v>16</v>
      </c>
      <c r="D639">
        <f ca="1">'2BAS Calcs'!N639</f>
        <v>1.8605739099257999</v>
      </c>
    </row>
    <row r="640" spans="1:4" x14ac:dyDescent="0.35">
      <c r="A640" t="s">
        <v>18</v>
      </c>
      <c r="B640" t="s">
        <v>5</v>
      </c>
      <c r="C640" t="s">
        <v>16</v>
      </c>
      <c r="D640">
        <f ca="1">'2BAS Calcs'!N640</f>
        <v>23.289059908408582</v>
      </c>
    </row>
    <row r="641" spans="1:4" x14ac:dyDescent="0.35">
      <c r="A641" t="s">
        <v>19</v>
      </c>
      <c r="B641" t="s">
        <v>5</v>
      </c>
      <c r="C641" t="s">
        <v>16</v>
      </c>
      <c r="D641">
        <f ca="1">'2BAS Calcs'!N641</f>
        <v>89.215075720006098</v>
      </c>
    </row>
    <row r="642" spans="1:4" x14ac:dyDescent="0.35">
      <c r="A642" t="s">
        <v>20</v>
      </c>
      <c r="B642" t="s">
        <v>5</v>
      </c>
      <c r="C642" t="s">
        <v>16</v>
      </c>
      <c r="D642">
        <f ca="1">'2BAS Calcs'!N642</f>
        <v>47.834402182601778</v>
      </c>
    </row>
    <row r="643" spans="1:4" x14ac:dyDescent="0.35">
      <c r="A643" t="s">
        <v>21</v>
      </c>
      <c r="B643" t="s">
        <v>5</v>
      </c>
      <c r="C643" t="s">
        <v>16</v>
      </c>
      <c r="D643">
        <f ca="1">'2BAS Calcs'!N643</f>
        <v>76.338325507849916</v>
      </c>
    </row>
    <row r="644" spans="1:4" x14ac:dyDescent="0.35">
      <c r="A644" t="s">
        <v>22</v>
      </c>
      <c r="B644" t="s">
        <v>5</v>
      </c>
      <c r="C644" t="s">
        <v>16</v>
      </c>
      <c r="D644">
        <f ca="1">'2BAS Calcs'!N644</f>
        <v>28.965407355518444</v>
      </c>
    </row>
    <row r="645" spans="1:4" x14ac:dyDescent="0.35">
      <c r="A645" t="s">
        <v>23</v>
      </c>
      <c r="B645" t="s">
        <v>5</v>
      </c>
      <c r="C645" t="s">
        <v>16</v>
      </c>
      <c r="D645">
        <f ca="1">'2BAS Calcs'!N645</f>
        <v>1.9364014730456357E-7</v>
      </c>
    </row>
    <row r="646" spans="1:4" x14ac:dyDescent="0.35">
      <c r="A646" t="s">
        <v>24</v>
      </c>
      <c r="B646" t="s">
        <v>5</v>
      </c>
      <c r="C646" t="s">
        <v>16</v>
      </c>
      <c r="D646">
        <f ca="1">'2BAS Calcs'!N646</f>
        <v>5.6701454230634294</v>
      </c>
    </row>
    <row r="647" spans="1:4" x14ac:dyDescent="0.35">
      <c r="A647" t="s">
        <v>25</v>
      </c>
      <c r="B647" t="s">
        <v>5</v>
      </c>
      <c r="C647" t="s">
        <v>16</v>
      </c>
      <c r="D647">
        <f ca="1">'2BAS Calcs'!N647</f>
        <v>0.49609941747341024</v>
      </c>
    </row>
    <row r="648" spans="1:4" x14ac:dyDescent="0.35">
      <c r="A648" t="s">
        <v>26</v>
      </c>
      <c r="B648" t="s">
        <v>5</v>
      </c>
      <c r="C648" t="s">
        <v>16</v>
      </c>
      <c r="D648">
        <f ca="1">'2BAS Calcs'!N648</f>
        <v>1.9364014730456357E-7</v>
      </c>
    </row>
    <row r="649" spans="1:4" x14ac:dyDescent="0.35">
      <c r="A649" t="s">
        <v>27</v>
      </c>
      <c r="B649" t="s">
        <v>5</v>
      </c>
      <c r="C649" t="s">
        <v>16</v>
      </c>
      <c r="D649">
        <f ca="1">'2BAS Calcs'!N649</f>
        <v>1.9364014730456357E-7</v>
      </c>
    </row>
    <row r="650" spans="1:4" x14ac:dyDescent="0.35">
      <c r="A650" t="s">
        <v>28</v>
      </c>
      <c r="B650" t="s">
        <v>5</v>
      </c>
      <c r="C650" t="s">
        <v>16</v>
      </c>
      <c r="D650">
        <f ca="1">'2BAS Calcs'!N650</f>
        <v>1.9364014730456357E-7</v>
      </c>
    </row>
    <row r="651" spans="1:4" x14ac:dyDescent="0.35">
      <c r="A651" t="s">
        <v>29</v>
      </c>
      <c r="B651" t="s">
        <v>5</v>
      </c>
      <c r="C651" t="s">
        <v>16</v>
      </c>
      <c r="D651">
        <f ca="1">'2BAS Calcs'!N651</f>
        <v>1.9364014730456357E-7</v>
      </c>
    </row>
    <row r="652" spans="1:4" x14ac:dyDescent="0.35">
      <c r="A652" t="s">
        <v>30</v>
      </c>
      <c r="B652" t="s">
        <v>5</v>
      </c>
      <c r="C652" t="s">
        <v>16</v>
      </c>
      <c r="D652">
        <f ca="1">'2BAS Calcs'!N652</f>
        <v>1.9364014730456357E-7</v>
      </c>
    </row>
    <row r="653" spans="1:4" x14ac:dyDescent="0.35">
      <c r="A653" t="s">
        <v>31</v>
      </c>
      <c r="B653" t="s">
        <v>5</v>
      </c>
      <c r="C653" t="s">
        <v>16</v>
      </c>
      <c r="D653">
        <f ca="1">'2BAS Calcs'!N653</f>
        <v>1.9364014730456357E-7</v>
      </c>
    </row>
    <row r="654" spans="1:4" x14ac:dyDescent="0.35">
      <c r="A654" t="s">
        <v>32</v>
      </c>
      <c r="B654" t="s">
        <v>5</v>
      </c>
      <c r="C654" t="s">
        <v>16</v>
      </c>
      <c r="D654">
        <f ca="1">'2BAS Calcs'!N654</f>
        <v>1.9364014730456357E-7</v>
      </c>
    </row>
    <row r="655" spans="1:4" x14ac:dyDescent="0.35">
      <c r="A655" t="s">
        <v>33</v>
      </c>
      <c r="B655" t="s">
        <v>5</v>
      </c>
      <c r="C655" t="s">
        <v>16</v>
      </c>
      <c r="D655">
        <f ca="1">'2BAS Calcs'!N655</f>
        <v>1.9364014730456357E-7</v>
      </c>
    </row>
    <row r="656" spans="1:4" x14ac:dyDescent="0.35">
      <c r="A656" t="s">
        <v>34</v>
      </c>
      <c r="B656" t="s">
        <v>5</v>
      </c>
      <c r="C656" t="s">
        <v>16</v>
      </c>
      <c r="D656">
        <f ca="1">'2BAS Calcs'!N656</f>
        <v>1.9364014730456357E-7</v>
      </c>
    </row>
    <row r="657" spans="1:4" x14ac:dyDescent="0.35">
      <c r="A657" t="s">
        <v>35</v>
      </c>
      <c r="B657" t="s">
        <v>5</v>
      </c>
      <c r="C657" t="s">
        <v>16</v>
      </c>
      <c r="D657">
        <f ca="1">'2BAS Calcs'!N657</f>
        <v>1.9364014730456357E-7</v>
      </c>
    </row>
    <row r="658" spans="1:4" x14ac:dyDescent="0.35">
      <c r="A658" t="s">
        <v>36</v>
      </c>
      <c r="B658" t="s">
        <v>5</v>
      </c>
      <c r="C658" t="s">
        <v>16</v>
      </c>
      <c r="D658">
        <f ca="1">'2BAS Calcs'!N658</f>
        <v>1.9364014730456357E-7</v>
      </c>
    </row>
    <row r="659" spans="1:4" x14ac:dyDescent="0.35">
      <c r="A659" t="s">
        <v>37</v>
      </c>
      <c r="B659" t="s">
        <v>5</v>
      </c>
      <c r="C659" t="s">
        <v>16</v>
      </c>
      <c r="D659">
        <f ca="1">'2BAS Calcs'!N659</f>
        <v>1.9364014730456357E-7</v>
      </c>
    </row>
    <row r="660" spans="1:4" x14ac:dyDescent="0.35">
      <c r="A660" t="s">
        <v>38</v>
      </c>
      <c r="B660" t="s">
        <v>5</v>
      </c>
      <c r="C660" t="s">
        <v>16</v>
      </c>
      <c r="D660">
        <f ca="1">'2BAS Calcs'!N660</f>
        <v>1.9364014730456357E-7</v>
      </c>
    </row>
    <row r="661" spans="1:4" x14ac:dyDescent="0.35">
      <c r="A661" t="s">
        <v>39</v>
      </c>
      <c r="B661" t="s">
        <v>5</v>
      </c>
      <c r="C661" t="s">
        <v>16</v>
      </c>
      <c r="D661">
        <f ca="1">'2BAS Calcs'!N661</f>
        <v>1.9364014730456357E-7</v>
      </c>
    </row>
    <row r="662" spans="1:4" x14ac:dyDescent="0.35">
      <c r="A662" t="s">
        <v>7</v>
      </c>
      <c r="B662" t="s">
        <v>4</v>
      </c>
      <c r="C662" t="s">
        <v>17</v>
      </c>
      <c r="D662">
        <f ca="1">'2BAS Calcs'!N662</f>
        <v>9.3706323290441262E-2</v>
      </c>
    </row>
    <row r="663" spans="1:4" x14ac:dyDescent="0.35">
      <c r="A663" t="s">
        <v>8</v>
      </c>
      <c r="B663" t="s">
        <v>4</v>
      </c>
      <c r="C663" t="s">
        <v>17</v>
      </c>
      <c r="D663">
        <f ca="1">'2BAS Calcs'!N663</f>
        <v>0.16346291619957493</v>
      </c>
    </row>
    <row r="664" spans="1:4" x14ac:dyDescent="0.35">
      <c r="A664" t="s">
        <v>9</v>
      </c>
      <c r="B664" t="s">
        <v>4</v>
      </c>
      <c r="C664" t="s">
        <v>17</v>
      </c>
      <c r="D664">
        <f ca="1">'2BAS Calcs'!N664</f>
        <v>0.27523703770096042</v>
      </c>
    </row>
    <row r="665" spans="1:4" x14ac:dyDescent="0.35">
      <c r="A665" t="s">
        <v>10</v>
      </c>
      <c r="B665" t="s">
        <v>4</v>
      </c>
      <c r="C665" t="s">
        <v>17</v>
      </c>
      <c r="D665">
        <f ca="1">'2BAS Calcs'!N665</f>
        <v>1.4336692781471525</v>
      </c>
    </row>
    <row r="666" spans="1:4" x14ac:dyDescent="0.35">
      <c r="A666" t="s">
        <v>11</v>
      </c>
      <c r="B666" t="s">
        <v>4</v>
      </c>
      <c r="C666" t="s">
        <v>17</v>
      </c>
      <c r="D666">
        <f ca="1">'2BAS Calcs'!N666</f>
        <v>1.017305647303352E-2</v>
      </c>
    </row>
    <row r="667" spans="1:4" x14ac:dyDescent="0.35">
      <c r="A667" t="s">
        <v>12</v>
      </c>
      <c r="B667" t="s">
        <v>4</v>
      </c>
      <c r="C667" t="s">
        <v>17</v>
      </c>
      <c r="D667">
        <f ca="1">'2BAS Calcs'!N667</f>
        <v>6.2624501947738748E-2</v>
      </c>
    </row>
    <row r="668" spans="1:4" x14ac:dyDescent="0.35">
      <c r="A668" t="s">
        <v>13</v>
      </c>
      <c r="B668" t="s">
        <v>4</v>
      </c>
      <c r="C668" t="s">
        <v>17</v>
      </c>
      <c r="D668">
        <f ca="1">'2BAS Calcs'!N668</f>
        <v>1.2534657134620044</v>
      </c>
    </row>
    <row r="669" spans="1:4" x14ac:dyDescent="0.35">
      <c r="A669" t="s">
        <v>14</v>
      </c>
      <c r="B669" t="s">
        <v>4</v>
      </c>
      <c r="C669" t="s">
        <v>17</v>
      </c>
      <c r="D669">
        <f ca="1">'2BAS Calcs'!N669</f>
        <v>0.19100403271334435</v>
      </c>
    </row>
    <row r="670" spans="1:4" x14ac:dyDescent="0.35">
      <c r="A670" t="s">
        <v>15</v>
      </c>
      <c r="B670" t="s">
        <v>4</v>
      </c>
      <c r="C670" t="s">
        <v>17</v>
      </c>
      <c r="D670">
        <f ca="1">'2BAS Calcs'!N670</f>
        <v>1.1894204297336211</v>
      </c>
    </row>
    <row r="671" spans="1:4" x14ac:dyDescent="0.35">
      <c r="A671" t="s">
        <v>16</v>
      </c>
      <c r="B671" t="s">
        <v>4</v>
      </c>
      <c r="C671" t="s">
        <v>17</v>
      </c>
      <c r="D671">
        <f ca="1">'2BAS Calcs'!N671</f>
        <v>1.8619229105912289</v>
      </c>
    </row>
    <row r="672" spans="1:4" x14ac:dyDescent="0.35">
      <c r="A672" t="s">
        <v>17</v>
      </c>
      <c r="B672" t="s">
        <v>4</v>
      </c>
      <c r="C672" t="s">
        <v>17</v>
      </c>
      <c r="D672">
        <f ca="1">'2BAS Calcs'!N672</f>
        <v>1.7248401545037448</v>
      </c>
    </row>
    <row r="673" spans="1:4" x14ac:dyDescent="0.35">
      <c r="A673" t="s">
        <v>18</v>
      </c>
      <c r="B673" t="s">
        <v>4</v>
      </c>
      <c r="C673" t="s">
        <v>17</v>
      </c>
      <c r="D673">
        <f ca="1">'2BAS Calcs'!N673</f>
        <v>5.0448589764622982</v>
      </c>
    </row>
    <row r="674" spans="1:4" x14ac:dyDescent="0.35">
      <c r="A674" t="s">
        <v>19</v>
      </c>
      <c r="B674" t="s">
        <v>4</v>
      </c>
      <c r="C674" t="s">
        <v>17</v>
      </c>
      <c r="D674">
        <f ca="1">'2BAS Calcs'!N674</f>
        <v>7.3020356623946174</v>
      </c>
    </row>
    <row r="675" spans="1:4" x14ac:dyDescent="0.35">
      <c r="A675" t="s">
        <v>20</v>
      </c>
      <c r="B675" t="s">
        <v>4</v>
      </c>
      <c r="C675" t="s">
        <v>17</v>
      </c>
      <c r="D675">
        <f ca="1">'2BAS Calcs'!N675</f>
        <v>1.5189819586529898</v>
      </c>
    </row>
    <row r="676" spans="1:4" x14ac:dyDescent="0.35">
      <c r="A676" t="s">
        <v>21</v>
      </c>
      <c r="B676" t="s">
        <v>4</v>
      </c>
      <c r="C676" t="s">
        <v>17</v>
      </c>
      <c r="D676">
        <f ca="1">'2BAS Calcs'!N676</f>
        <v>2.1941814746578383</v>
      </c>
    </row>
    <row r="677" spans="1:4" x14ac:dyDescent="0.35">
      <c r="A677" t="s">
        <v>22</v>
      </c>
      <c r="B677" t="s">
        <v>4</v>
      </c>
      <c r="C677" t="s">
        <v>17</v>
      </c>
      <c r="D677">
        <f ca="1">'2BAS Calcs'!N677</f>
        <v>5.9746136876247906</v>
      </c>
    </row>
    <row r="678" spans="1:4" x14ac:dyDescent="0.35">
      <c r="A678" t="s">
        <v>23</v>
      </c>
      <c r="B678" t="s">
        <v>4</v>
      </c>
      <c r="C678" t="s">
        <v>17</v>
      </c>
      <c r="D678">
        <f ca="1">'2BAS Calcs'!N678</f>
        <v>1.3633672271735801E-7</v>
      </c>
    </row>
    <row r="679" spans="1:4" x14ac:dyDescent="0.35">
      <c r="A679" t="s">
        <v>24</v>
      </c>
      <c r="B679" t="s">
        <v>4</v>
      </c>
      <c r="C679" t="s">
        <v>17</v>
      </c>
      <c r="D679">
        <f ca="1">'2BAS Calcs'!N679</f>
        <v>198.46734469686334</v>
      </c>
    </row>
    <row r="680" spans="1:4" x14ac:dyDescent="0.35">
      <c r="A680" t="s">
        <v>25</v>
      </c>
      <c r="B680" t="s">
        <v>4</v>
      </c>
      <c r="C680" t="s">
        <v>17</v>
      </c>
      <c r="D680">
        <f ca="1">'2BAS Calcs'!N680</f>
        <v>31.733605223624526</v>
      </c>
    </row>
    <row r="681" spans="1:4" x14ac:dyDescent="0.35">
      <c r="A681" t="s">
        <v>26</v>
      </c>
      <c r="B681" t="s">
        <v>4</v>
      </c>
      <c r="C681" t="s">
        <v>17</v>
      </c>
      <c r="D681">
        <f ca="1">'2BAS Calcs'!N681</f>
        <v>1.3633672271735801E-7</v>
      </c>
    </row>
    <row r="682" spans="1:4" x14ac:dyDescent="0.35">
      <c r="A682" t="s">
        <v>27</v>
      </c>
      <c r="B682" t="s">
        <v>4</v>
      </c>
      <c r="C682" t="s">
        <v>17</v>
      </c>
      <c r="D682">
        <f ca="1">'2BAS Calcs'!N682</f>
        <v>1.3633672271735801E-7</v>
      </c>
    </row>
    <row r="683" spans="1:4" x14ac:dyDescent="0.35">
      <c r="A683" t="s">
        <v>28</v>
      </c>
      <c r="B683" t="s">
        <v>4</v>
      </c>
      <c r="C683" t="s">
        <v>17</v>
      </c>
      <c r="D683">
        <f ca="1">'2BAS Calcs'!N683</f>
        <v>1.3633672271735801E-7</v>
      </c>
    </row>
    <row r="684" spans="1:4" x14ac:dyDescent="0.35">
      <c r="A684" t="s">
        <v>29</v>
      </c>
      <c r="B684" t="s">
        <v>4</v>
      </c>
      <c r="C684" t="s">
        <v>17</v>
      </c>
      <c r="D684">
        <f ca="1">'2BAS Calcs'!N684</f>
        <v>1.3633672271735801E-7</v>
      </c>
    </row>
    <row r="685" spans="1:4" x14ac:dyDescent="0.35">
      <c r="A685" t="s">
        <v>30</v>
      </c>
      <c r="B685" t="s">
        <v>4</v>
      </c>
      <c r="C685" t="s">
        <v>17</v>
      </c>
      <c r="D685">
        <f ca="1">'2BAS Calcs'!N685</f>
        <v>1.3633672271735801E-7</v>
      </c>
    </row>
    <row r="686" spans="1:4" x14ac:dyDescent="0.35">
      <c r="A686" t="s">
        <v>31</v>
      </c>
      <c r="B686" t="s">
        <v>4</v>
      </c>
      <c r="C686" t="s">
        <v>17</v>
      </c>
      <c r="D686">
        <f ca="1">'2BAS Calcs'!N686</f>
        <v>1.3633672271735801E-7</v>
      </c>
    </row>
    <row r="687" spans="1:4" x14ac:dyDescent="0.35">
      <c r="A687" t="s">
        <v>32</v>
      </c>
      <c r="B687" t="s">
        <v>4</v>
      </c>
      <c r="C687" t="s">
        <v>17</v>
      </c>
      <c r="D687">
        <f ca="1">'2BAS Calcs'!N687</f>
        <v>1.3633672271735801E-7</v>
      </c>
    </row>
    <row r="688" spans="1:4" x14ac:dyDescent="0.35">
      <c r="A688" t="s">
        <v>33</v>
      </c>
      <c r="B688" t="s">
        <v>4</v>
      </c>
      <c r="C688" t="s">
        <v>17</v>
      </c>
      <c r="D688">
        <f ca="1">'2BAS Calcs'!N688</f>
        <v>1.3633672271735801E-7</v>
      </c>
    </row>
    <row r="689" spans="1:4" x14ac:dyDescent="0.35">
      <c r="A689" t="s">
        <v>34</v>
      </c>
      <c r="B689" t="s">
        <v>4</v>
      </c>
      <c r="C689" t="s">
        <v>17</v>
      </c>
      <c r="D689">
        <f ca="1">'2BAS Calcs'!N689</f>
        <v>1.3633672271735801E-7</v>
      </c>
    </row>
    <row r="690" spans="1:4" x14ac:dyDescent="0.35">
      <c r="A690" t="s">
        <v>35</v>
      </c>
      <c r="B690" t="s">
        <v>4</v>
      </c>
      <c r="C690" t="s">
        <v>17</v>
      </c>
      <c r="D690">
        <f ca="1">'2BAS Calcs'!N690</f>
        <v>1.3633672271735801E-7</v>
      </c>
    </row>
    <row r="691" spans="1:4" x14ac:dyDescent="0.35">
      <c r="A691" t="s">
        <v>36</v>
      </c>
      <c r="B691" t="s">
        <v>4</v>
      </c>
      <c r="C691" t="s">
        <v>17</v>
      </c>
      <c r="D691">
        <f ca="1">'2BAS Calcs'!N691</f>
        <v>1.3633672271735801E-7</v>
      </c>
    </row>
    <row r="692" spans="1:4" x14ac:dyDescent="0.35">
      <c r="A692" t="s">
        <v>37</v>
      </c>
      <c r="B692" t="s">
        <v>4</v>
      </c>
      <c r="C692" t="s">
        <v>17</v>
      </c>
      <c r="D692">
        <f ca="1">'2BAS Calcs'!N692</f>
        <v>1.3633672271735801E-7</v>
      </c>
    </row>
    <row r="693" spans="1:4" x14ac:dyDescent="0.35">
      <c r="A693" t="s">
        <v>38</v>
      </c>
      <c r="B693" t="s">
        <v>4</v>
      </c>
      <c r="C693" t="s">
        <v>17</v>
      </c>
      <c r="D693">
        <f ca="1">'2BAS Calcs'!N693</f>
        <v>1.3633672271735801E-7</v>
      </c>
    </row>
    <row r="694" spans="1:4" x14ac:dyDescent="0.35">
      <c r="A694" t="s">
        <v>39</v>
      </c>
      <c r="B694" t="s">
        <v>4</v>
      </c>
      <c r="C694" t="s">
        <v>17</v>
      </c>
      <c r="D694">
        <f ca="1">'2BAS Calcs'!N694</f>
        <v>1.3633672271735801E-7</v>
      </c>
    </row>
    <row r="695" spans="1:4" x14ac:dyDescent="0.35">
      <c r="A695" t="s">
        <v>7</v>
      </c>
      <c r="B695" t="s">
        <v>5</v>
      </c>
      <c r="C695" t="s">
        <v>17</v>
      </c>
      <c r="D695">
        <f ca="1">'2BAS Calcs'!N695</f>
        <v>1.2613633690112498</v>
      </c>
    </row>
    <row r="696" spans="1:4" x14ac:dyDescent="0.35">
      <c r="A696" t="s">
        <v>8</v>
      </c>
      <c r="B696" t="s">
        <v>5</v>
      </c>
      <c r="C696" t="s">
        <v>17</v>
      </c>
      <c r="D696">
        <f ca="1">'2BAS Calcs'!N696</f>
        <v>1.9899668237965744</v>
      </c>
    </row>
    <row r="697" spans="1:4" x14ac:dyDescent="0.35">
      <c r="A697" t="s">
        <v>9</v>
      </c>
      <c r="B697" t="s">
        <v>5</v>
      </c>
      <c r="C697" t="s">
        <v>17</v>
      </c>
      <c r="D697">
        <f ca="1">'2BAS Calcs'!N697</f>
        <v>0.49795073807706169</v>
      </c>
    </row>
    <row r="698" spans="1:4" x14ac:dyDescent="0.35">
      <c r="A698" t="s">
        <v>10</v>
      </c>
      <c r="B698" t="s">
        <v>5</v>
      </c>
      <c r="C698" t="s">
        <v>17</v>
      </c>
      <c r="D698">
        <f ca="1">'2BAS Calcs'!N698</f>
        <v>9.7717932115374744</v>
      </c>
    </row>
    <row r="699" spans="1:4" x14ac:dyDescent="0.35">
      <c r="A699" t="s">
        <v>11</v>
      </c>
      <c r="B699" t="s">
        <v>5</v>
      </c>
      <c r="C699" t="s">
        <v>17</v>
      </c>
      <c r="D699">
        <f ca="1">'2BAS Calcs'!N699</f>
        <v>5.0927603673592596</v>
      </c>
    </row>
    <row r="700" spans="1:4" x14ac:dyDescent="0.35">
      <c r="A700" t="s">
        <v>12</v>
      </c>
      <c r="B700" t="s">
        <v>5</v>
      </c>
      <c r="C700" t="s">
        <v>17</v>
      </c>
      <c r="D700">
        <f ca="1">'2BAS Calcs'!N700</f>
        <v>9.1156683984267559E-2</v>
      </c>
    </row>
    <row r="701" spans="1:4" x14ac:dyDescent="0.35">
      <c r="A701" t="s">
        <v>13</v>
      </c>
      <c r="B701" t="s">
        <v>5</v>
      </c>
      <c r="C701" t="s">
        <v>17</v>
      </c>
      <c r="D701">
        <f ca="1">'2BAS Calcs'!N701</f>
        <v>1.3126470513475132</v>
      </c>
    </row>
    <row r="702" spans="1:4" x14ac:dyDescent="0.35">
      <c r="A702" t="s">
        <v>14</v>
      </c>
      <c r="B702" t="s">
        <v>5</v>
      </c>
      <c r="C702" t="s">
        <v>17</v>
      </c>
      <c r="D702">
        <f ca="1">'2BAS Calcs'!N702</f>
        <v>0.33053996281906223</v>
      </c>
    </row>
    <row r="703" spans="1:4" x14ac:dyDescent="0.35">
      <c r="A703" t="s">
        <v>15</v>
      </c>
      <c r="B703" t="s">
        <v>5</v>
      </c>
      <c r="C703" t="s">
        <v>17</v>
      </c>
      <c r="D703">
        <f ca="1">'2BAS Calcs'!N703</f>
        <v>4.531150985875211</v>
      </c>
    </row>
    <row r="704" spans="1:4" x14ac:dyDescent="0.35">
      <c r="A704" t="s">
        <v>16</v>
      </c>
      <c r="B704" t="s">
        <v>5</v>
      </c>
      <c r="C704" t="s">
        <v>17</v>
      </c>
      <c r="D704">
        <f ca="1">'2BAS Calcs'!N704</f>
        <v>3.4702594026131868</v>
      </c>
    </row>
    <row r="705" spans="1:4" x14ac:dyDescent="0.35">
      <c r="A705" t="s">
        <v>17</v>
      </c>
      <c r="B705" t="s">
        <v>5</v>
      </c>
      <c r="C705" t="s">
        <v>17</v>
      </c>
      <c r="D705">
        <f ca="1">'2BAS Calcs'!N705</f>
        <v>1.3099791173662583</v>
      </c>
    </row>
    <row r="706" spans="1:4" x14ac:dyDescent="0.35">
      <c r="A706" t="s">
        <v>18</v>
      </c>
      <c r="B706" t="s">
        <v>5</v>
      </c>
      <c r="C706" t="s">
        <v>17</v>
      </c>
      <c r="D706">
        <f ca="1">'2BAS Calcs'!N706</f>
        <v>16.397189050298817</v>
      </c>
    </row>
    <row r="707" spans="1:4" x14ac:dyDescent="0.35">
      <c r="A707" t="s">
        <v>19</v>
      </c>
      <c r="B707" t="s">
        <v>5</v>
      </c>
      <c r="C707" t="s">
        <v>17</v>
      </c>
      <c r="D707">
        <f ca="1">'2BAS Calcs'!N707</f>
        <v>62.813890662434517</v>
      </c>
    </row>
    <row r="708" spans="1:4" x14ac:dyDescent="0.35">
      <c r="A708" t="s">
        <v>20</v>
      </c>
      <c r="B708" t="s">
        <v>5</v>
      </c>
      <c r="C708" t="s">
        <v>17</v>
      </c>
      <c r="D708">
        <f ca="1">'2BAS Calcs'!N708</f>
        <v>33.678892097012302</v>
      </c>
    </row>
    <row r="709" spans="1:4" x14ac:dyDescent="0.35">
      <c r="A709" t="s">
        <v>21</v>
      </c>
      <c r="B709" t="s">
        <v>5</v>
      </c>
      <c r="C709" t="s">
        <v>17</v>
      </c>
      <c r="D709">
        <f ca="1">'2BAS Calcs'!N709</f>
        <v>53.747723611785702</v>
      </c>
    </row>
    <row r="710" spans="1:4" x14ac:dyDescent="0.35">
      <c r="A710" t="s">
        <v>22</v>
      </c>
      <c r="B710" t="s">
        <v>5</v>
      </c>
      <c r="C710" t="s">
        <v>17</v>
      </c>
      <c r="D710">
        <f ca="1">'2BAS Calcs'!N710</f>
        <v>20.393749777588461</v>
      </c>
    </row>
    <row r="711" spans="1:4" x14ac:dyDescent="0.35">
      <c r="A711" t="s">
        <v>23</v>
      </c>
      <c r="B711" t="s">
        <v>5</v>
      </c>
      <c r="C711" t="s">
        <v>17</v>
      </c>
      <c r="D711">
        <f ca="1">'2BAS Calcs'!N711</f>
        <v>1.3633672271735801E-7</v>
      </c>
    </row>
    <row r="712" spans="1:4" x14ac:dyDescent="0.35">
      <c r="A712" t="s">
        <v>24</v>
      </c>
      <c r="B712" t="s">
        <v>5</v>
      </c>
      <c r="C712" t="s">
        <v>17</v>
      </c>
      <c r="D712">
        <f ca="1">'2BAS Calcs'!N712</f>
        <v>3.9921940520703001</v>
      </c>
    </row>
    <row r="713" spans="1:4" x14ac:dyDescent="0.35">
      <c r="A713" t="s">
        <v>25</v>
      </c>
      <c r="B713" t="s">
        <v>5</v>
      </c>
      <c r="C713" t="s">
        <v>17</v>
      </c>
      <c r="D713">
        <f ca="1">'2BAS Calcs'!N713</f>
        <v>0.34929000861548692</v>
      </c>
    </row>
    <row r="714" spans="1:4" x14ac:dyDescent="0.35">
      <c r="A714" t="s">
        <v>26</v>
      </c>
      <c r="B714" t="s">
        <v>5</v>
      </c>
      <c r="C714" t="s">
        <v>17</v>
      </c>
      <c r="D714">
        <f ca="1">'2BAS Calcs'!N714</f>
        <v>1.3633672271735801E-7</v>
      </c>
    </row>
    <row r="715" spans="1:4" x14ac:dyDescent="0.35">
      <c r="A715" t="s">
        <v>27</v>
      </c>
      <c r="B715" t="s">
        <v>5</v>
      </c>
      <c r="C715" t="s">
        <v>17</v>
      </c>
      <c r="D715">
        <f ca="1">'2BAS Calcs'!N715</f>
        <v>1.3633672271735801E-7</v>
      </c>
    </row>
    <row r="716" spans="1:4" x14ac:dyDescent="0.35">
      <c r="A716" t="s">
        <v>28</v>
      </c>
      <c r="B716" t="s">
        <v>5</v>
      </c>
      <c r="C716" t="s">
        <v>17</v>
      </c>
      <c r="D716">
        <f ca="1">'2BAS Calcs'!N716</f>
        <v>1.3633672271735801E-7</v>
      </c>
    </row>
    <row r="717" spans="1:4" x14ac:dyDescent="0.35">
      <c r="A717" t="s">
        <v>29</v>
      </c>
      <c r="B717" t="s">
        <v>5</v>
      </c>
      <c r="C717" t="s">
        <v>17</v>
      </c>
      <c r="D717">
        <f ca="1">'2BAS Calcs'!N717</f>
        <v>1.3633672271735801E-7</v>
      </c>
    </row>
    <row r="718" spans="1:4" x14ac:dyDescent="0.35">
      <c r="A718" t="s">
        <v>30</v>
      </c>
      <c r="B718" t="s">
        <v>5</v>
      </c>
      <c r="C718" t="s">
        <v>17</v>
      </c>
      <c r="D718">
        <f ca="1">'2BAS Calcs'!N718</f>
        <v>1.3633672271735801E-7</v>
      </c>
    </row>
    <row r="719" spans="1:4" x14ac:dyDescent="0.35">
      <c r="A719" t="s">
        <v>31</v>
      </c>
      <c r="B719" t="s">
        <v>5</v>
      </c>
      <c r="C719" t="s">
        <v>17</v>
      </c>
      <c r="D719">
        <f ca="1">'2BAS Calcs'!N719</f>
        <v>1.3633672271735801E-7</v>
      </c>
    </row>
    <row r="720" spans="1:4" x14ac:dyDescent="0.35">
      <c r="A720" t="s">
        <v>32</v>
      </c>
      <c r="B720" t="s">
        <v>5</v>
      </c>
      <c r="C720" t="s">
        <v>17</v>
      </c>
      <c r="D720">
        <f ca="1">'2BAS Calcs'!N720</f>
        <v>1.3633672271735801E-7</v>
      </c>
    </row>
    <row r="721" spans="1:4" x14ac:dyDescent="0.35">
      <c r="A721" t="s">
        <v>33</v>
      </c>
      <c r="B721" t="s">
        <v>5</v>
      </c>
      <c r="C721" t="s">
        <v>17</v>
      </c>
      <c r="D721">
        <f ca="1">'2BAS Calcs'!N721</f>
        <v>1.3633672271735801E-7</v>
      </c>
    </row>
    <row r="722" spans="1:4" x14ac:dyDescent="0.35">
      <c r="A722" t="s">
        <v>34</v>
      </c>
      <c r="B722" t="s">
        <v>5</v>
      </c>
      <c r="C722" t="s">
        <v>17</v>
      </c>
      <c r="D722">
        <f ca="1">'2BAS Calcs'!N722</f>
        <v>1.3633672271735801E-7</v>
      </c>
    </row>
    <row r="723" spans="1:4" x14ac:dyDescent="0.35">
      <c r="A723" t="s">
        <v>35</v>
      </c>
      <c r="B723" t="s">
        <v>5</v>
      </c>
      <c r="C723" t="s">
        <v>17</v>
      </c>
      <c r="D723">
        <f ca="1">'2BAS Calcs'!N723</f>
        <v>1.3633672271735801E-7</v>
      </c>
    </row>
    <row r="724" spans="1:4" x14ac:dyDescent="0.35">
      <c r="A724" t="s">
        <v>36</v>
      </c>
      <c r="B724" t="s">
        <v>5</v>
      </c>
      <c r="C724" t="s">
        <v>17</v>
      </c>
      <c r="D724">
        <f ca="1">'2BAS Calcs'!N724</f>
        <v>1.3633672271735801E-7</v>
      </c>
    </row>
    <row r="725" spans="1:4" x14ac:dyDescent="0.35">
      <c r="A725" t="s">
        <v>37</v>
      </c>
      <c r="B725" t="s">
        <v>5</v>
      </c>
      <c r="C725" t="s">
        <v>17</v>
      </c>
      <c r="D725">
        <f ca="1">'2BAS Calcs'!N725</f>
        <v>1.3633672271735801E-7</v>
      </c>
    </row>
    <row r="726" spans="1:4" x14ac:dyDescent="0.35">
      <c r="A726" t="s">
        <v>38</v>
      </c>
      <c r="B726" t="s">
        <v>5</v>
      </c>
      <c r="C726" t="s">
        <v>17</v>
      </c>
      <c r="D726">
        <f ca="1">'2BAS Calcs'!N726</f>
        <v>1.3633672271735801E-7</v>
      </c>
    </row>
    <row r="727" spans="1:4" x14ac:dyDescent="0.35">
      <c r="A727" t="s">
        <v>39</v>
      </c>
      <c r="B727" t="s">
        <v>5</v>
      </c>
      <c r="C727" t="s">
        <v>17</v>
      </c>
      <c r="D727">
        <f ca="1">'2BAS Calcs'!N727</f>
        <v>1.3633672271735801E-7</v>
      </c>
    </row>
    <row r="728" spans="1:4" x14ac:dyDescent="0.35">
      <c r="A728" t="s">
        <v>7</v>
      </c>
      <c r="B728" t="s">
        <v>4</v>
      </c>
      <c r="C728" t="s">
        <v>18</v>
      </c>
      <c r="D728">
        <f ca="1">'2BAS Calcs'!N728</f>
        <v>0.81051700931305137</v>
      </c>
    </row>
    <row r="729" spans="1:4" x14ac:dyDescent="0.35">
      <c r="A729" t="s">
        <v>8</v>
      </c>
      <c r="B729" t="s">
        <v>4</v>
      </c>
      <c r="C729" t="s">
        <v>18</v>
      </c>
      <c r="D729">
        <f ca="1">'2BAS Calcs'!N729</f>
        <v>1.4138797609316116</v>
      </c>
    </row>
    <row r="730" spans="1:4" x14ac:dyDescent="0.35">
      <c r="A730" t="s">
        <v>9</v>
      </c>
      <c r="B730" t="s">
        <v>4</v>
      </c>
      <c r="C730" t="s">
        <v>18</v>
      </c>
      <c r="D730">
        <f ca="1">'2BAS Calcs'!N730</f>
        <v>2.3806749941316099</v>
      </c>
    </row>
    <row r="731" spans="1:4" x14ac:dyDescent="0.35">
      <c r="A731" t="s">
        <v>10</v>
      </c>
      <c r="B731" t="s">
        <v>4</v>
      </c>
      <c r="C731" t="s">
        <v>18</v>
      </c>
      <c r="D731">
        <f ca="1">'2BAS Calcs'!N731</f>
        <v>12.400586159657436</v>
      </c>
    </row>
    <row r="732" spans="1:4" x14ac:dyDescent="0.35">
      <c r="A732" t="s">
        <v>11</v>
      </c>
      <c r="B732" t="s">
        <v>4</v>
      </c>
      <c r="C732" t="s">
        <v>18</v>
      </c>
      <c r="D732">
        <f ca="1">'2BAS Calcs'!N732</f>
        <v>8.7992304239056643E-2</v>
      </c>
    </row>
    <row r="733" spans="1:4" x14ac:dyDescent="0.35">
      <c r="A733" t="s">
        <v>12</v>
      </c>
      <c r="B733" t="s">
        <v>4</v>
      </c>
      <c r="C733" t="s">
        <v>18</v>
      </c>
      <c r="D733">
        <f ca="1">'2BAS Calcs'!N733</f>
        <v>0.5416734137682071</v>
      </c>
    </row>
    <row r="734" spans="1:4" x14ac:dyDescent="0.35">
      <c r="A734" t="s">
        <v>13</v>
      </c>
      <c r="B734" t="s">
        <v>4</v>
      </c>
      <c r="C734" t="s">
        <v>18</v>
      </c>
      <c r="D734">
        <f ca="1">'2BAS Calcs'!N734</f>
        <v>10.841907415391134</v>
      </c>
    </row>
    <row r="735" spans="1:4" x14ac:dyDescent="0.35">
      <c r="A735" t="s">
        <v>14</v>
      </c>
      <c r="B735" t="s">
        <v>4</v>
      </c>
      <c r="C735" t="s">
        <v>18</v>
      </c>
      <c r="D735">
        <f ca="1">'2BAS Calcs'!N735</f>
        <v>1.6520978726453144</v>
      </c>
    </row>
    <row r="736" spans="1:4" x14ac:dyDescent="0.35">
      <c r="A736" t="s">
        <v>15</v>
      </c>
      <c r="B736" t="s">
        <v>4</v>
      </c>
      <c r="C736" t="s">
        <v>18</v>
      </c>
      <c r="D736">
        <f ca="1">'2BAS Calcs'!N736</f>
        <v>10.287944886445873</v>
      </c>
    </row>
    <row r="737" spans="1:4" x14ac:dyDescent="0.35">
      <c r="A737" t="s">
        <v>16</v>
      </c>
      <c r="B737" t="s">
        <v>4</v>
      </c>
      <c r="C737" t="s">
        <v>18</v>
      </c>
      <c r="D737">
        <f ca="1">'2BAS Calcs'!N737</f>
        <v>16.104784992858601</v>
      </c>
    </row>
    <row r="738" spans="1:4" x14ac:dyDescent="0.35">
      <c r="A738" t="s">
        <v>17</v>
      </c>
      <c r="B738" t="s">
        <v>4</v>
      </c>
      <c r="C738" t="s">
        <v>18</v>
      </c>
      <c r="D738">
        <f ca="1">'2BAS Calcs'!N738</f>
        <v>14.919081599630367</v>
      </c>
    </row>
    <row r="739" spans="1:4" x14ac:dyDescent="0.35">
      <c r="A739" t="s">
        <v>18</v>
      </c>
      <c r="B739" t="s">
        <v>4</v>
      </c>
      <c r="C739" t="s">
        <v>18</v>
      </c>
      <c r="D739">
        <f ca="1">'2BAS Calcs'!N739</f>
        <v>43.635732002147876</v>
      </c>
    </row>
    <row r="740" spans="1:4" x14ac:dyDescent="0.35">
      <c r="A740" t="s">
        <v>19</v>
      </c>
      <c r="B740" t="s">
        <v>4</v>
      </c>
      <c r="C740" t="s">
        <v>18</v>
      </c>
      <c r="D740">
        <f ca="1">'2BAS Calcs'!N740</f>
        <v>63.159282097081849</v>
      </c>
    </row>
    <row r="741" spans="1:4" x14ac:dyDescent="0.35">
      <c r="A741" t="s">
        <v>20</v>
      </c>
      <c r="B741" t="s">
        <v>4</v>
      </c>
      <c r="C741" t="s">
        <v>18</v>
      </c>
      <c r="D741">
        <f ca="1">'2BAS Calcs'!N741</f>
        <v>13.138501982538992</v>
      </c>
    </row>
    <row r="742" spans="1:4" x14ac:dyDescent="0.35">
      <c r="A742" t="s">
        <v>21</v>
      </c>
      <c r="B742" t="s">
        <v>4</v>
      </c>
      <c r="C742" t="s">
        <v>18</v>
      </c>
      <c r="D742">
        <f ca="1">'2BAS Calcs'!N742</f>
        <v>18.978670214363049</v>
      </c>
    </row>
    <row r="743" spans="1:4" x14ac:dyDescent="0.35">
      <c r="A743" t="s">
        <v>22</v>
      </c>
      <c r="B743" t="s">
        <v>4</v>
      </c>
      <c r="C743" t="s">
        <v>18</v>
      </c>
      <c r="D743">
        <f ca="1">'2BAS Calcs'!N743</f>
        <v>51.677686711548091</v>
      </c>
    </row>
    <row r="744" spans="1:4" x14ac:dyDescent="0.35">
      <c r="A744" t="s">
        <v>23</v>
      </c>
      <c r="B744" t="s">
        <v>4</v>
      </c>
      <c r="C744" t="s">
        <v>18</v>
      </c>
      <c r="D744">
        <f ca="1">'2BAS Calcs'!N744</f>
        <v>1.1792505444260443E-6</v>
      </c>
    </row>
    <row r="745" spans="1:4" x14ac:dyDescent="0.35">
      <c r="A745" t="s">
        <v>24</v>
      </c>
      <c r="B745" t="s">
        <v>4</v>
      </c>
      <c r="C745" t="s">
        <v>18</v>
      </c>
      <c r="D745">
        <f ca="1">'2BAS Calcs'!N745</f>
        <v>1716.6521214520128</v>
      </c>
    </row>
    <row r="746" spans="1:4" x14ac:dyDescent="0.35">
      <c r="A746" t="s">
        <v>25</v>
      </c>
      <c r="B746" t="s">
        <v>4</v>
      </c>
      <c r="C746" t="s">
        <v>18</v>
      </c>
      <c r="D746">
        <f ca="1">'2BAS Calcs'!N746</f>
        <v>274.48122920000287</v>
      </c>
    </row>
    <row r="747" spans="1:4" x14ac:dyDescent="0.35">
      <c r="A747" t="s">
        <v>26</v>
      </c>
      <c r="B747" t="s">
        <v>4</v>
      </c>
      <c r="C747" t="s">
        <v>18</v>
      </c>
      <c r="D747">
        <f ca="1">'2BAS Calcs'!N747</f>
        <v>1.1792505444260443E-6</v>
      </c>
    </row>
    <row r="748" spans="1:4" x14ac:dyDescent="0.35">
      <c r="A748" t="s">
        <v>27</v>
      </c>
      <c r="B748" t="s">
        <v>4</v>
      </c>
      <c r="C748" t="s">
        <v>18</v>
      </c>
      <c r="D748">
        <f ca="1">'2BAS Calcs'!N748</f>
        <v>1.1792505444260443E-6</v>
      </c>
    </row>
    <row r="749" spans="1:4" x14ac:dyDescent="0.35">
      <c r="A749" t="s">
        <v>28</v>
      </c>
      <c r="B749" t="s">
        <v>4</v>
      </c>
      <c r="C749" t="s">
        <v>18</v>
      </c>
      <c r="D749">
        <f ca="1">'2BAS Calcs'!N749</f>
        <v>1.1792505444260443E-6</v>
      </c>
    </row>
    <row r="750" spans="1:4" x14ac:dyDescent="0.35">
      <c r="A750" t="s">
        <v>29</v>
      </c>
      <c r="B750" t="s">
        <v>4</v>
      </c>
      <c r="C750" t="s">
        <v>18</v>
      </c>
      <c r="D750">
        <f ca="1">'2BAS Calcs'!N750</f>
        <v>1.1792505444260443E-6</v>
      </c>
    </row>
    <row r="751" spans="1:4" x14ac:dyDescent="0.35">
      <c r="A751" t="s">
        <v>30</v>
      </c>
      <c r="B751" t="s">
        <v>4</v>
      </c>
      <c r="C751" t="s">
        <v>18</v>
      </c>
      <c r="D751">
        <f ca="1">'2BAS Calcs'!N751</f>
        <v>1.1792505444260443E-6</v>
      </c>
    </row>
    <row r="752" spans="1:4" x14ac:dyDescent="0.35">
      <c r="A752" t="s">
        <v>31</v>
      </c>
      <c r="B752" t="s">
        <v>4</v>
      </c>
      <c r="C752" t="s">
        <v>18</v>
      </c>
      <c r="D752">
        <f ca="1">'2BAS Calcs'!N752</f>
        <v>1.1792505444260443E-6</v>
      </c>
    </row>
    <row r="753" spans="1:4" x14ac:dyDescent="0.35">
      <c r="A753" t="s">
        <v>32</v>
      </c>
      <c r="B753" t="s">
        <v>4</v>
      </c>
      <c r="C753" t="s">
        <v>18</v>
      </c>
      <c r="D753">
        <f ca="1">'2BAS Calcs'!N753</f>
        <v>1.1792505444260443E-6</v>
      </c>
    </row>
    <row r="754" spans="1:4" x14ac:dyDescent="0.35">
      <c r="A754" t="s">
        <v>33</v>
      </c>
      <c r="B754" t="s">
        <v>4</v>
      </c>
      <c r="C754" t="s">
        <v>18</v>
      </c>
      <c r="D754">
        <f ca="1">'2BAS Calcs'!N754</f>
        <v>1.1792505444260443E-6</v>
      </c>
    </row>
    <row r="755" spans="1:4" x14ac:dyDescent="0.35">
      <c r="A755" t="s">
        <v>34</v>
      </c>
      <c r="B755" t="s">
        <v>4</v>
      </c>
      <c r="C755" t="s">
        <v>18</v>
      </c>
      <c r="D755">
        <f ca="1">'2BAS Calcs'!N755</f>
        <v>1.1792505444260443E-6</v>
      </c>
    </row>
    <row r="756" spans="1:4" x14ac:dyDescent="0.35">
      <c r="A756" t="s">
        <v>35</v>
      </c>
      <c r="B756" t="s">
        <v>4</v>
      </c>
      <c r="C756" t="s">
        <v>18</v>
      </c>
      <c r="D756">
        <f ca="1">'2BAS Calcs'!N756</f>
        <v>1.1792505444260443E-6</v>
      </c>
    </row>
    <row r="757" spans="1:4" x14ac:dyDescent="0.35">
      <c r="A757" t="s">
        <v>36</v>
      </c>
      <c r="B757" t="s">
        <v>4</v>
      </c>
      <c r="C757" t="s">
        <v>18</v>
      </c>
      <c r="D757">
        <f ca="1">'2BAS Calcs'!N757</f>
        <v>1.1792505444260443E-6</v>
      </c>
    </row>
    <row r="758" spans="1:4" x14ac:dyDescent="0.35">
      <c r="A758" t="s">
        <v>37</v>
      </c>
      <c r="B758" t="s">
        <v>4</v>
      </c>
      <c r="C758" t="s">
        <v>18</v>
      </c>
      <c r="D758">
        <f ca="1">'2BAS Calcs'!N758</f>
        <v>1.1792505444260443E-6</v>
      </c>
    </row>
    <row r="759" spans="1:4" x14ac:dyDescent="0.35">
      <c r="A759" t="s">
        <v>38</v>
      </c>
      <c r="B759" t="s">
        <v>4</v>
      </c>
      <c r="C759" t="s">
        <v>18</v>
      </c>
      <c r="D759">
        <f ca="1">'2BAS Calcs'!N759</f>
        <v>1.1792505444260443E-6</v>
      </c>
    </row>
    <row r="760" spans="1:4" x14ac:dyDescent="0.35">
      <c r="A760" t="s">
        <v>39</v>
      </c>
      <c r="B760" t="s">
        <v>4</v>
      </c>
      <c r="C760" t="s">
        <v>18</v>
      </c>
      <c r="D760">
        <f ca="1">'2BAS Calcs'!N760</f>
        <v>1.1792505444260443E-6</v>
      </c>
    </row>
    <row r="761" spans="1:4" x14ac:dyDescent="0.35">
      <c r="A761" t="s">
        <v>7</v>
      </c>
      <c r="B761" t="s">
        <v>5</v>
      </c>
      <c r="C761" t="s">
        <v>18</v>
      </c>
      <c r="D761">
        <f ca="1">'2BAS Calcs'!N761</f>
        <v>10.910218538179706</v>
      </c>
    </row>
    <row r="762" spans="1:4" x14ac:dyDescent="0.35">
      <c r="A762" t="s">
        <v>8</v>
      </c>
      <c r="B762" t="s">
        <v>5</v>
      </c>
      <c r="C762" t="s">
        <v>18</v>
      </c>
      <c r="D762">
        <f ca="1">'2BAS Calcs'!N762</f>
        <v>17.212306512727292</v>
      </c>
    </row>
    <row r="763" spans="1:4" x14ac:dyDescent="0.35">
      <c r="A763" t="s">
        <v>9</v>
      </c>
      <c r="B763" t="s">
        <v>5</v>
      </c>
      <c r="C763" t="s">
        <v>18</v>
      </c>
      <c r="D763">
        <f ca="1">'2BAS Calcs'!N763</f>
        <v>4.3070470469799824</v>
      </c>
    </row>
    <row r="764" spans="1:4" x14ac:dyDescent="0.35">
      <c r="A764" t="s">
        <v>10</v>
      </c>
      <c r="B764" t="s">
        <v>5</v>
      </c>
      <c r="C764" t="s">
        <v>18</v>
      </c>
      <c r="D764">
        <f ca="1">'2BAS Calcs'!N764</f>
        <v>84.521559819313183</v>
      </c>
    </row>
    <row r="765" spans="1:4" x14ac:dyDescent="0.35">
      <c r="A765" t="s">
        <v>11</v>
      </c>
      <c r="B765" t="s">
        <v>5</v>
      </c>
      <c r="C765" t="s">
        <v>18</v>
      </c>
      <c r="D765">
        <f ca="1">'2BAS Calcs'!N765</f>
        <v>44.0500572123197</v>
      </c>
    </row>
    <row r="766" spans="1:4" x14ac:dyDescent="0.35">
      <c r="A766" t="s">
        <v>12</v>
      </c>
      <c r="B766" t="s">
        <v>5</v>
      </c>
      <c r="C766" t="s">
        <v>18</v>
      </c>
      <c r="D766">
        <f ca="1">'2BAS Calcs'!N766</f>
        <v>0.78846379078198436</v>
      </c>
    </row>
    <row r="767" spans="1:4" x14ac:dyDescent="0.35">
      <c r="A767" t="s">
        <v>13</v>
      </c>
      <c r="B767" t="s">
        <v>5</v>
      </c>
      <c r="C767" t="s">
        <v>18</v>
      </c>
      <c r="D767">
        <f ca="1">'2BAS Calcs'!N767</f>
        <v>11.353799028526282</v>
      </c>
    </row>
    <row r="768" spans="1:4" x14ac:dyDescent="0.35">
      <c r="A768" t="s">
        <v>14</v>
      </c>
      <c r="B768" t="s">
        <v>5</v>
      </c>
      <c r="C768" t="s">
        <v>18</v>
      </c>
      <c r="D768">
        <f ca="1">'2BAS Calcs'!N768</f>
        <v>2.8590201036079081</v>
      </c>
    </row>
    <row r="769" spans="1:4" x14ac:dyDescent="0.35">
      <c r="A769" t="s">
        <v>15</v>
      </c>
      <c r="B769" t="s">
        <v>5</v>
      </c>
      <c r="C769" t="s">
        <v>18</v>
      </c>
      <c r="D769">
        <f ca="1">'2BAS Calcs'!N769</f>
        <v>39.192391899043699</v>
      </c>
    </row>
    <row r="770" spans="1:4" x14ac:dyDescent="0.35">
      <c r="A770" t="s">
        <v>16</v>
      </c>
      <c r="B770" t="s">
        <v>5</v>
      </c>
      <c r="C770" t="s">
        <v>18</v>
      </c>
      <c r="D770">
        <f ca="1">'2BAS Calcs'!N770</f>
        <v>30.01616298431221</v>
      </c>
    </row>
    <row r="771" spans="1:4" x14ac:dyDescent="0.35">
      <c r="A771" t="s">
        <v>17</v>
      </c>
      <c r="B771" t="s">
        <v>5</v>
      </c>
      <c r="C771" t="s">
        <v>18</v>
      </c>
      <c r="D771">
        <f ca="1">'2BAS Calcs'!N771</f>
        <v>11.330722614943934</v>
      </c>
    </row>
    <row r="772" spans="1:4" x14ac:dyDescent="0.35">
      <c r="A772" t="s">
        <v>18</v>
      </c>
      <c r="B772" t="s">
        <v>5</v>
      </c>
      <c r="C772" t="s">
        <v>18</v>
      </c>
      <c r="D772">
        <f ca="1">'2BAS Calcs'!N772</f>
        <v>141.82821567970547</v>
      </c>
    </row>
    <row r="773" spans="1:4" x14ac:dyDescent="0.35">
      <c r="A773" t="s">
        <v>19</v>
      </c>
      <c r="B773" t="s">
        <v>5</v>
      </c>
      <c r="C773" t="s">
        <v>18</v>
      </c>
      <c r="D773">
        <f ca="1">'2BAS Calcs'!N773</f>
        <v>543.31153987584526</v>
      </c>
    </row>
    <row r="774" spans="1:4" x14ac:dyDescent="0.35">
      <c r="A774" t="s">
        <v>20</v>
      </c>
      <c r="B774" t="s">
        <v>5</v>
      </c>
      <c r="C774" t="s">
        <v>18</v>
      </c>
      <c r="D774">
        <f ca="1">'2BAS Calcs'!N774</f>
        <v>291.30707449528006</v>
      </c>
    </row>
    <row r="775" spans="1:4" x14ac:dyDescent="0.35">
      <c r="A775" t="s">
        <v>21</v>
      </c>
      <c r="B775" t="s">
        <v>5</v>
      </c>
      <c r="C775" t="s">
        <v>18</v>
      </c>
      <c r="D775">
        <f ca="1">'2BAS Calcs'!N775</f>
        <v>464.89332490599185</v>
      </c>
    </row>
    <row r="776" spans="1:4" x14ac:dyDescent="0.35">
      <c r="A776" t="s">
        <v>22</v>
      </c>
      <c r="B776" t="s">
        <v>5</v>
      </c>
      <c r="C776" t="s">
        <v>18</v>
      </c>
      <c r="D776">
        <f ca="1">'2BAS Calcs'!N776</f>
        <v>176.39664537020454</v>
      </c>
    </row>
    <row r="777" spans="1:4" x14ac:dyDescent="0.35">
      <c r="A777" t="s">
        <v>23</v>
      </c>
      <c r="B777" t="s">
        <v>5</v>
      </c>
      <c r="C777" t="s">
        <v>18</v>
      </c>
      <c r="D777">
        <f ca="1">'2BAS Calcs'!N777</f>
        <v>1.1792505444260443E-6</v>
      </c>
    </row>
    <row r="778" spans="1:4" x14ac:dyDescent="0.35">
      <c r="A778" t="s">
        <v>24</v>
      </c>
      <c r="B778" t="s">
        <v>5</v>
      </c>
      <c r="C778" t="s">
        <v>18</v>
      </c>
      <c r="D778">
        <f ca="1">'2BAS Calcs'!N778</f>
        <v>34.530659939054949</v>
      </c>
    </row>
    <row r="779" spans="1:4" x14ac:dyDescent="0.35">
      <c r="A779" t="s">
        <v>25</v>
      </c>
      <c r="B779" t="s">
        <v>5</v>
      </c>
      <c r="C779" t="s">
        <v>18</v>
      </c>
      <c r="D779">
        <f ca="1">'2BAS Calcs'!N779</f>
        <v>3.0211994583169526</v>
      </c>
    </row>
    <row r="780" spans="1:4" x14ac:dyDescent="0.35">
      <c r="A780" t="s">
        <v>26</v>
      </c>
      <c r="B780" t="s">
        <v>5</v>
      </c>
      <c r="C780" t="s">
        <v>18</v>
      </c>
      <c r="D780">
        <f ca="1">'2BAS Calcs'!N780</f>
        <v>1.1792505444260443E-6</v>
      </c>
    </row>
    <row r="781" spans="1:4" x14ac:dyDescent="0.35">
      <c r="A781" t="s">
        <v>27</v>
      </c>
      <c r="B781" t="s">
        <v>5</v>
      </c>
      <c r="C781" t="s">
        <v>18</v>
      </c>
      <c r="D781">
        <f ca="1">'2BAS Calcs'!N781</f>
        <v>1.1792505444260443E-6</v>
      </c>
    </row>
    <row r="782" spans="1:4" x14ac:dyDescent="0.35">
      <c r="A782" t="s">
        <v>28</v>
      </c>
      <c r="B782" t="s">
        <v>5</v>
      </c>
      <c r="C782" t="s">
        <v>18</v>
      </c>
      <c r="D782">
        <f ca="1">'2BAS Calcs'!N782</f>
        <v>1.1792505444260443E-6</v>
      </c>
    </row>
    <row r="783" spans="1:4" x14ac:dyDescent="0.35">
      <c r="A783" t="s">
        <v>29</v>
      </c>
      <c r="B783" t="s">
        <v>5</v>
      </c>
      <c r="C783" t="s">
        <v>18</v>
      </c>
      <c r="D783">
        <f ca="1">'2BAS Calcs'!N783</f>
        <v>1.1792505444260443E-6</v>
      </c>
    </row>
    <row r="784" spans="1:4" x14ac:dyDescent="0.35">
      <c r="A784" t="s">
        <v>30</v>
      </c>
      <c r="B784" t="s">
        <v>5</v>
      </c>
      <c r="C784" t="s">
        <v>18</v>
      </c>
      <c r="D784">
        <f ca="1">'2BAS Calcs'!N784</f>
        <v>1.1792505444260443E-6</v>
      </c>
    </row>
    <row r="785" spans="1:4" x14ac:dyDescent="0.35">
      <c r="A785" t="s">
        <v>31</v>
      </c>
      <c r="B785" t="s">
        <v>5</v>
      </c>
      <c r="C785" t="s">
        <v>18</v>
      </c>
      <c r="D785">
        <f ca="1">'2BAS Calcs'!N785</f>
        <v>1.1792505444260443E-6</v>
      </c>
    </row>
    <row r="786" spans="1:4" x14ac:dyDescent="0.35">
      <c r="A786" t="s">
        <v>32</v>
      </c>
      <c r="B786" t="s">
        <v>5</v>
      </c>
      <c r="C786" t="s">
        <v>18</v>
      </c>
      <c r="D786">
        <f ca="1">'2BAS Calcs'!N786</f>
        <v>1.1792505444260443E-6</v>
      </c>
    </row>
    <row r="787" spans="1:4" x14ac:dyDescent="0.35">
      <c r="A787" t="s">
        <v>33</v>
      </c>
      <c r="B787" t="s">
        <v>5</v>
      </c>
      <c r="C787" t="s">
        <v>18</v>
      </c>
      <c r="D787">
        <f ca="1">'2BAS Calcs'!N787</f>
        <v>1.1792505444260443E-6</v>
      </c>
    </row>
    <row r="788" spans="1:4" x14ac:dyDescent="0.35">
      <c r="A788" t="s">
        <v>34</v>
      </c>
      <c r="B788" t="s">
        <v>5</v>
      </c>
      <c r="C788" t="s">
        <v>18</v>
      </c>
      <c r="D788">
        <f ca="1">'2BAS Calcs'!N788</f>
        <v>1.1792505444260443E-6</v>
      </c>
    </row>
    <row r="789" spans="1:4" x14ac:dyDescent="0.35">
      <c r="A789" t="s">
        <v>35</v>
      </c>
      <c r="B789" t="s">
        <v>5</v>
      </c>
      <c r="C789" t="s">
        <v>18</v>
      </c>
      <c r="D789">
        <f ca="1">'2BAS Calcs'!N789</f>
        <v>1.1792505444260443E-6</v>
      </c>
    </row>
    <row r="790" spans="1:4" x14ac:dyDescent="0.35">
      <c r="A790" t="s">
        <v>36</v>
      </c>
      <c r="B790" t="s">
        <v>5</v>
      </c>
      <c r="C790" t="s">
        <v>18</v>
      </c>
      <c r="D790">
        <f ca="1">'2BAS Calcs'!N790</f>
        <v>1.1792505444260443E-6</v>
      </c>
    </row>
    <row r="791" spans="1:4" x14ac:dyDescent="0.35">
      <c r="A791" t="s">
        <v>37</v>
      </c>
      <c r="B791" t="s">
        <v>5</v>
      </c>
      <c r="C791" t="s">
        <v>18</v>
      </c>
      <c r="D791">
        <f ca="1">'2BAS Calcs'!N791</f>
        <v>1.1792505444260443E-6</v>
      </c>
    </row>
    <row r="792" spans="1:4" x14ac:dyDescent="0.35">
      <c r="A792" t="s">
        <v>38</v>
      </c>
      <c r="B792" t="s">
        <v>5</v>
      </c>
      <c r="C792" t="s">
        <v>18</v>
      </c>
      <c r="D792">
        <f ca="1">'2BAS Calcs'!N792</f>
        <v>1.1792505444260443E-6</v>
      </c>
    </row>
    <row r="793" spans="1:4" x14ac:dyDescent="0.35">
      <c r="A793" t="s">
        <v>39</v>
      </c>
      <c r="B793" t="s">
        <v>5</v>
      </c>
      <c r="C793" t="s">
        <v>18</v>
      </c>
      <c r="D793">
        <f ca="1">'2BAS Calcs'!N793</f>
        <v>1.1792505444260443E-6</v>
      </c>
    </row>
    <row r="794" spans="1:4" x14ac:dyDescent="0.35">
      <c r="A794" t="s">
        <v>7</v>
      </c>
      <c r="B794" t="s">
        <v>4</v>
      </c>
      <c r="C794" t="s">
        <v>19</v>
      </c>
      <c r="D794">
        <f ca="1">'2BAS Calcs'!N794</f>
        <v>0.10868270804356116</v>
      </c>
    </row>
    <row r="795" spans="1:4" x14ac:dyDescent="0.35">
      <c r="A795" t="s">
        <v>8</v>
      </c>
      <c r="B795" t="s">
        <v>4</v>
      </c>
      <c r="C795" t="s">
        <v>19</v>
      </c>
      <c r="D795">
        <f ca="1">'2BAS Calcs'!N795</f>
        <v>0.18958797841425634</v>
      </c>
    </row>
    <row r="796" spans="1:4" x14ac:dyDescent="0.35">
      <c r="A796" t="s">
        <v>9</v>
      </c>
      <c r="B796" t="s">
        <v>4</v>
      </c>
      <c r="C796" t="s">
        <v>19</v>
      </c>
      <c r="D796">
        <f ca="1">'2BAS Calcs'!N796</f>
        <v>0.31922612648574072</v>
      </c>
    </row>
    <row r="797" spans="1:4" x14ac:dyDescent="0.35">
      <c r="A797" t="s">
        <v>10</v>
      </c>
      <c r="B797" t="s">
        <v>4</v>
      </c>
      <c r="C797" t="s">
        <v>19</v>
      </c>
      <c r="D797">
        <f ca="1">'2BAS Calcs'!N797</f>
        <v>1.6628019766066771</v>
      </c>
    </row>
    <row r="798" spans="1:4" x14ac:dyDescent="0.35">
      <c r="A798" t="s">
        <v>11</v>
      </c>
      <c r="B798" t="s">
        <v>4</v>
      </c>
      <c r="C798" t="s">
        <v>19</v>
      </c>
      <c r="D798">
        <f ca="1">'2BAS Calcs'!N798</f>
        <v>1.1798940431612741E-2</v>
      </c>
    </row>
    <row r="799" spans="1:4" x14ac:dyDescent="0.35">
      <c r="A799" t="s">
        <v>12</v>
      </c>
      <c r="B799" t="s">
        <v>4</v>
      </c>
      <c r="C799" t="s">
        <v>19</v>
      </c>
      <c r="D799">
        <f ca="1">'2BAS Calcs'!N799</f>
        <v>7.263331035264084E-2</v>
      </c>
    </row>
    <row r="800" spans="1:4" x14ac:dyDescent="0.35">
      <c r="A800" t="s">
        <v>13</v>
      </c>
      <c r="B800" t="s">
        <v>4</v>
      </c>
      <c r="C800" t="s">
        <v>19</v>
      </c>
      <c r="D800">
        <f ca="1">'2BAS Calcs'!N800</f>
        <v>1.4537978163603991</v>
      </c>
    </row>
    <row r="801" spans="1:4" x14ac:dyDescent="0.35">
      <c r="A801" t="s">
        <v>14</v>
      </c>
      <c r="B801" t="s">
        <v>4</v>
      </c>
      <c r="C801" t="s">
        <v>19</v>
      </c>
      <c r="D801">
        <f ca="1">'2BAS Calcs'!N801</f>
        <v>0.22153078675582571</v>
      </c>
    </row>
    <row r="802" spans="1:4" x14ac:dyDescent="0.35">
      <c r="A802" t="s">
        <v>15</v>
      </c>
      <c r="B802" t="s">
        <v>4</v>
      </c>
      <c r="C802" t="s">
        <v>19</v>
      </c>
      <c r="D802">
        <f ca="1">'2BAS Calcs'!N802</f>
        <v>1.3795166512415349</v>
      </c>
    </row>
    <row r="803" spans="1:4" x14ac:dyDescent="0.35">
      <c r="A803" t="s">
        <v>16</v>
      </c>
      <c r="B803" t="s">
        <v>4</v>
      </c>
      <c r="C803" t="s">
        <v>19</v>
      </c>
      <c r="D803">
        <f ca="1">'2BAS Calcs'!N803</f>
        <v>2.1595002021816199</v>
      </c>
    </row>
    <row r="804" spans="1:4" x14ac:dyDescent="0.35">
      <c r="A804" t="s">
        <v>17</v>
      </c>
      <c r="B804" t="s">
        <v>4</v>
      </c>
      <c r="C804" t="s">
        <v>19</v>
      </c>
      <c r="D804">
        <f ca="1">'2BAS Calcs'!N804</f>
        <v>2.0005085286796622</v>
      </c>
    </row>
    <row r="805" spans="1:4" x14ac:dyDescent="0.35">
      <c r="A805" t="s">
        <v>18</v>
      </c>
      <c r="B805" t="s">
        <v>4</v>
      </c>
      <c r="C805" t="s">
        <v>19</v>
      </c>
      <c r="D805">
        <f ca="1">'2BAS Calcs'!N805</f>
        <v>5.8511412678136754</v>
      </c>
    </row>
    <row r="806" spans="1:4" x14ac:dyDescent="0.35">
      <c r="A806" t="s">
        <v>19</v>
      </c>
      <c r="B806" t="s">
        <v>4</v>
      </c>
      <c r="C806" t="s">
        <v>19</v>
      </c>
      <c r="D806">
        <f ca="1">'2BAS Calcs'!N806</f>
        <v>8.4690657167279912</v>
      </c>
    </row>
    <row r="807" spans="1:4" x14ac:dyDescent="0.35">
      <c r="A807" t="s">
        <v>20</v>
      </c>
      <c r="B807" t="s">
        <v>4</v>
      </c>
      <c r="C807" t="s">
        <v>19</v>
      </c>
      <c r="D807">
        <f ca="1">'2BAS Calcs'!N807</f>
        <v>1.7617495483632926</v>
      </c>
    </row>
    <row r="808" spans="1:4" x14ac:dyDescent="0.35">
      <c r="A808" t="s">
        <v>21</v>
      </c>
      <c r="B808" t="s">
        <v>4</v>
      </c>
      <c r="C808" t="s">
        <v>19</v>
      </c>
      <c r="D808">
        <f ca="1">'2BAS Calcs'!N808</f>
        <v>2.5448611815202229</v>
      </c>
    </row>
    <row r="809" spans="1:4" x14ac:dyDescent="0.35">
      <c r="A809" t="s">
        <v>22</v>
      </c>
      <c r="B809" t="s">
        <v>4</v>
      </c>
      <c r="C809" t="s">
        <v>19</v>
      </c>
      <c r="D809">
        <f ca="1">'2BAS Calcs'!N809</f>
        <v>6.9294917598311807</v>
      </c>
    </row>
    <row r="810" spans="1:4" x14ac:dyDescent="0.35">
      <c r="A810" t="s">
        <v>23</v>
      </c>
      <c r="B810" t="s">
        <v>4</v>
      </c>
      <c r="C810" t="s">
        <v>19</v>
      </c>
      <c r="D810">
        <f ca="1">'2BAS Calcs'!N810</f>
        <v>1.5812640716657016E-7</v>
      </c>
    </row>
    <row r="811" spans="1:4" x14ac:dyDescent="0.35">
      <c r="A811" t="s">
        <v>24</v>
      </c>
      <c r="B811" t="s">
        <v>4</v>
      </c>
      <c r="C811" t="s">
        <v>19</v>
      </c>
      <c r="D811">
        <f ca="1">'2BAS Calcs'!N811</f>
        <v>230.18690438866369</v>
      </c>
    </row>
    <row r="812" spans="1:4" x14ac:dyDescent="0.35">
      <c r="A812" t="s">
        <v>25</v>
      </c>
      <c r="B812" t="s">
        <v>4</v>
      </c>
      <c r="C812" t="s">
        <v>19</v>
      </c>
      <c r="D812">
        <f ca="1">'2BAS Calcs'!N812</f>
        <v>36.805351342182306</v>
      </c>
    </row>
    <row r="813" spans="1:4" x14ac:dyDescent="0.35">
      <c r="A813" t="s">
        <v>26</v>
      </c>
      <c r="B813" t="s">
        <v>4</v>
      </c>
      <c r="C813" t="s">
        <v>19</v>
      </c>
      <c r="D813">
        <f ca="1">'2BAS Calcs'!N813</f>
        <v>1.5812640716657016E-7</v>
      </c>
    </row>
    <row r="814" spans="1:4" x14ac:dyDescent="0.35">
      <c r="A814" t="s">
        <v>27</v>
      </c>
      <c r="B814" t="s">
        <v>4</v>
      </c>
      <c r="C814" t="s">
        <v>19</v>
      </c>
      <c r="D814">
        <f ca="1">'2BAS Calcs'!N814</f>
        <v>1.5812640716657016E-7</v>
      </c>
    </row>
    <row r="815" spans="1:4" x14ac:dyDescent="0.35">
      <c r="A815" t="s">
        <v>28</v>
      </c>
      <c r="B815" t="s">
        <v>4</v>
      </c>
      <c r="C815" t="s">
        <v>19</v>
      </c>
      <c r="D815">
        <f ca="1">'2BAS Calcs'!N815</f>
        <v>1.5812640716657016E-7</v>
      </c>
    </row>
    <row r="816" spans="1:4" x14ac:dyDescent="0.35">
      <c r="A816" t="s">
        <v>29</v>
      </c>
      <c r="B816" t="s">
        <v>4</v>
      </c>
      <c r="C816" t="s">
        <v>19</v>
      </c>
      <c r="D816">
        <f ca="1">'2BAS Calcs'!N816</f>
        <v>1.5812640716657016E-7</v>
      </c>
    </row>
    <row r="817" spans="1:4" x14ac:dyDescent="0.35">
      <c r="A817" t="s">
        <v>30</v>
      </c>
      <c r="B817" t="s">
        <v>4</v>
      </c>
      <c r="C817" t="s">
        <v>19</v>
      </c>
      <c r="D817">
        <f ca="1">'2BAS Calcs'!N817</f>
        <v>1.5812640716657016E-7</v>
      </c>
    </row>
    <row r="818" spans="1:4" x14ac:dyDescent="0.35">
      <c r="A818" t="s">
        <v>31</v>
      </c>
      <c r="B818" t="s">
        <v>4</v>
      </c>
      <c r="C818" t="s">
        <v>19</v>
      </c>
      <c r="D818">
        <f ca="1">'2BAS Calcs'!N818</f>
        <v>1.5812640716657016E-7</v>
      </c>
    </row>
    <row r="819" spans="1:4" x14ac:dyDescent="0.35">
      <c r="A819" t="s">
        <v>32</v>
      </c>
      <c r="B819" t="s">
        <v>4</v>
      </c>
      <c r="C819" t="s">
        <v>19</v>
      </c>
      <c r="D819">
        <f ca="1">'2BAS Calcs'!N819</f>
        <v>1.5812640716657016E-7</v>
      </c>
    </row>
    <row r="820" spans="1:4" x14ac:dyDescent="0.35">
      <c r="A820" t="s">
        <v>33</v>
      </c>
      <c r="B820" t="s">
        <v>4</v>
      </c>
      <c r="C820" t="s">
        <v>19</v>
      </c>
      <c r="D820">
        <f ca="1">'2BAS Calcs'!N820</f>
        <v>1.5812640716657016E-7</v>
      </c>
    </row>
    <row r="821" spans="1:4" x14ac:dyDescent="0.35">
      <c r="A821" t="s">
        <v>34</v>
      </c>
      <c r="B821" t="s">
        <v>4</v>
      </c>
      <c r="C821" t="s">
        <v>19</v>
      </c>
      <c r="D821">
        <f ca="1">'2BAS Calcs'!N821</f>
        <v>1.5812640716657016E-7</v>
      </c>
    </row>
    <row r="822" spans="1:4" x14ac:dyDescent="0.35">
      <c r="A822" t="s">
        <v>35</v>
      </c>
      <c r="B822" t="s">
        <v>4</v>
      </c>
      <c r="C822" t="s">
        <v>19</v>
      </c>
      <c r="D822">
        <f ca="1">'2BAS Calcs'!N822</f>
        <v>1.5812640716657016E-7</v>
      </c>
    </row>
    <row r="823" spans="1:4" x14ac:dyDescent="0.35">
      <c r="A823" t="s">
        <v>36</v>
      </c>
      <c r="B823" t="s">
        <v>4</v>
      </c>
      <c r="C823" t="s">
        <v>19</v>
      </c>
      <c r="D823">
        <f ca="1">'2BAS Calcs'!N823</f>
        <v>1.5812640716657016E-7</v>
      </c>
    </row>
    <row r="824" spans="1:4" x14ac:dyDescent="0.35">
      <c r="A824" t="s">
        <v>37</v>
      </c>
      <c r="B824" t="s">
        <v>4</v>
      </c>
      <c r="C824" t="s">
        <v>19</v>
      </c>
      <c r="D824">
        <f ca="1">'2BAS Calcs'!N824</f>
        <v>1.5812640716657016E-7</v>
      </c>
    </row>
    <row r="825" spans="1:4" x14ac:dyDescent="0.35">
      <c r="A825" t="s">
        <v>38</v>
      </c>
      <c r="B825" t="s">
        <v>4</v>
      </c>
      <c r="C825" t="s">
        <v>19</v>
      </c>
      <c r="D825">
        <f ca="1">'2BAS Calcs'!N825</f>
        <v>1.5812640716657016E-7</v>
      </c>
    </row>
    <row r="826" spans="1:4" x14ac:dyDescent="0.35">
      <c r="A826" t="s">
        <v>39</v>
      </c>
      <c r="B826" t="s">
        <v>4</v>
      </c>
      <c r="C826" t="s">
        <v>19</v>
      </c>
      <c r="D826">
        <f ca="1">'2BAS Calcs'!N826</f>
        <v>1.5812640716657016E-7</v>
      </c>
    </row>
    <row r="827" spans="1:4" x14ac:dyDescent="0.35">
      <c r="A827" t="s">
        <v>7</v>
      </c>
      <c r="B827" t="s">
        <v>5</v>
      </c>
      <c r="C827" t="s">
        <v>19</v>
      </c>
      <c r="D827">
        <f ca="1">'2BAS Calcs'!N827</f>
        <v>1.4629576954608396</v>
      </c>
    </row>
    <row r="828" spans="1:4" x14ac:dyDescent="0.35">
      <c r="A828" t="s">
        <v>8</v>
      </c>
      <c r="B828" t="s">
        <v>5</v>
      </c>
      <c r="C828" t="s">
        <v>19</v>
      </c>
      <c r="D828">
        <f ca="1">'2BAS Calcs'!N828</f>
        <v>2.308008421765892</v>
      </c>
    </row>
    <row r="829" spans="1:4" x14ac:dyDescent="0.35">
      <c r="A829" t="s">
        <v>9</v>
      </c>
      <c r="B829" t="s">
        <v>5</v>
      </c>
      <c r="C829" t="s">
        <v>19</v>
      </c>
      <c r="D829">
        <f ca="1">'2BAS Calcs'!N829</f>
        <v>0.5775345012605525</v>
      </c>
    </row>
    <row r="830" spans="1:4" x14ac:dyDescent="0.35">
      <c r="A830" t="s">
        <v>10</v>
      </c>
      <c r="B830" t="s">
        <v>5</v>
      </c>
      <c r="C830" t="s">
        <v>19</v>
      </c>
      <c r="D830">
        <f ca="1">'2BAS Calcs'!N830</f>
        <v>11.333546247245778</v>
      </c>
    </row>
    <row r="831" spans="1:4" x14ac:dyDescent="0.35">
      <c r="A831" t="s">
        <v>11</v>
      </c>
      <c r="B831" t="s">
        <v>5</v>
      </c>
      <c r="C831" t="s">
        <v>19</v>
      </c>
      <c r="D831">
        <f ca="1">'2BAS Calcs'!N831</f>
        <v>5.906698381772773</v>
      </c>
    </row>
    <row r="832" spans="1:4" x14ac:dyDescent="0.35">
      <c r="A832" t="s">
        <v>12</v>
      </c>
      <c r="B832" t="s">
        <v>5</v>
      </c>
      <c r="C832" t="s">
        <v>19</v>
      </c>
      <c r="D832">
        <f ca="1">'2BAS Calcs'!N832</f>
        <v>0.10572557884887071</v>
      </c>
    </row>
    <row r="833" spans="1:4" x14ac:dyDescent="0.35">
      <c r="A833" t="s">
        <v>13</v>
      </c>
      <c r="B833" t="s">
        <v>5</v>
      </c>
      <c r="C833" t="s">
        <v>19</v>
      </c>
      <c r="D833">
        <f ca="1">'2BAS Calcs'!N833</f>
        <v>1.5224376673457187</v>
      </c>
    </row>
    <row r="834" spans="1:4" x14ac:dyDescent="0.35">
      <c r="A834" t="s">
        <v>14</v>
      </c>
      <c r="B834" t="s">
        <v>5</v>
      </c>
      <c r="C834" t="s">
        <v>19</v>
      </c>
      <c r="D834">
        <f ca="1">'2BAS Calcs'!N834</f>
        <v>0.3833677068349795</v>
      </c>
    </row>
    <row r="835" spans="1:4" x14ac:dyDescent="0.35">
      <c r="A835" t="s">
        <v>15</v>
      </c>
      <c r="B835" t="s">
        <v>5</v>
      </c>
      <c r="C835" t="s">
        <v>19</v>
      </c>
      <c r="D835">
        <f ca="1">'2BAS Calcs'!N835</f>
        <v>5.255331149561858</v>
      </c>
    </row>
    <row r="836" spans="1:4" x14ac:dyDescent="0.35">
      <c r="A836" t="s">
        <v>16</v>
      </c>
      <c r="B836" t="s">
        <v>5</v>
      </c>
      <c r="C836" t="s">
        <v>19</v>
      </c>
      <c r="D836">
        <f ca="1">'2BAS Calcs'!N836</f>
        <v>4.0248851544483202</v>
      </c>
    </row>
    <row r="837" spans="1:4" x14ac:dyDescent="0.35">
      <c r="A837" t="s">
        <v>17</v>
      </c>
      <c r="B837" t="s">
        <v>5</v>
      </c>
      <c r="C837" t="s">
        <v>19</v>
      </c>
      <c r="D837">
        <f ca="1">'2BAS Calcs'!N837</f>
        <v>1.519343337317792</v>
      </c>
    </row>
    <row r="838" spans="1:4" x14ac:dyDescent="0.35">
      <c r="A838" t="s">
        <v>18</v>
      </c>
      <c r="B838" t="s">
        <v>5</v>
      </c>
      <c r="C838" t="s">
        <v>19</v>
      </c>
      <c r="D838">
        <f ca="1">'2BAS Calcs'!N838</f>
        <v>19.017829829531799</v>
      </c>
    </row>
    <row r="839" spans="1:4" x14ac:dyDescent="0.35">
      <c r="A839" t="s">
        <v>19</v>
      </c>
      <c r="B839" t="s">
        <v>5</v>
      </c>
      <c r="C839" t="s">
        <v>19</v>
      </c>
      <c r="D839">
        <f ca="1">'2BAS Calcs'!N839</f>
        <v>72.852967657113538</v>
      </c>
    </row>
    <row r="840" spans="1:4" x14ac:dyDescent="0.35">
      <c r="A840" t="s">
        <v>20</v>
      </c>
      <c r="B840" t="s">
        <v>5</v>
      </c>
      <c r="C840" t="s">
        <v>19</v>
      </c>
      <c r="D840">
        <f ca="1">'2BAS Calcs'!N840</f>
        <v>39.061538949352482</v>
      </c>
    </row>
    <row r="841" spans="1:4" x14ac:dyDescent="0.35">
      <c r="A841" t="s">
        <v>21</v>
      </c>
      <c r="B841" t="s">
        <v>5</v>
      </c>
      <c r="C841" t="s">
        <v>19</v>
      </c>
      <c r="D841">
        <f ca="1">'2BAS Calcs'!N841</f>
        <v>62.337822552275874</v>
      </c>
    </row>
    <row r="842" spans="1:4" x14ac:dyDescent="0.35">
      <c r="A842" t="s">
        <v>22</v>
      </c>
      <c r="B842" t="s">
        <v>5</v>
      </c>
      <c r="C842" t="s">
        <v>19</v>
      </c>
      <c r="D842">
        <f ca="1">'2BAS Calcs'!N842</f>
        <v>23.653131135251584</v>
      </c>
    </row>
    <row r="843" spans="1:4" x14ac:dyDescent="0.35">
      <c r="A843" t="s">
        <v>23</v>
      </c>
      <c r="B843" t="s">
        <v>5</v>
      </c>
      <c r="C843" t="s">
        <v>19</v>
      </c>
      <c r="D843">
        <f ca="1">'2BAS Calcs'!N843</f>
        <v>1.5812640716657016E-7</v>
      </c>
    </row>
    <row r="844" spans="1:4" x14ac:dyDescent="0.35">
      <c r="A844" t="s">
        <v>24</v>
      </c>
      <c r="B844" t="s">
        <v>5</v>
      </c>
      <c r="C844" t="s">
        <v>19</v>
      </c>
      <c r="D844">
        <f ca="1">'2BAS Calcs'!N844</f>
        <v>4.6302367372753066</v>
      </c>
    </row>
    <row r="845" spans="1:4" x14ac:dyDescent="0.35">
      <c r="A845" t="s">
        <v>25</v>
      </c>
      <c r="B845" t="s">
        <v>5</v>
      </c>
      <c r="C845" t="s">
        <v>19</v>
      </c>
      <c r="D845">
        <f ca="1">'2BAS Calcs'!N845</f>
        <v>0.40511443300606276</v>
      </c>
    </row>
    <row r="846" spans="1:4" x14ac:dyDescent="0.35">
      <c r="A846" t="s">
        <v>26</v>
      </c>
      <c r="B846" t="s">
        <v>5</v>
      </c>
      <c r="C846" t="s">
        <v>19</v>
      </c>
      <c r="D846">
        <f ca="1">'2BAS Calcs'!N846</f>
        <v>1.5812640716657016E-7</v>
      </c>
    </row>
    <row r="847" spans="1:4" x14ac:dyDescent="0.35">
      <c r="A847" t="s">
        <v>27</v>
      </c>
      <c r="B847" t="s">
        <v>5</v>
      </c>
      <c r="C847" t="s">
        <v>19</v>
      </c>
      <c r="D847">
        <f ca="1">'2BAS Calcs'!N847</f>
        <v>1.5812640716657016E-7</v>
      </c>
    </row>
    <row r="848" spans="1:4" x14ac:dyDescent="0.35">
      <c r="A848" t="s">
        <v>28</v>
      </c>
      <c r="B848" t="s">
        <v>5</v>
      </c>
      <c r="C848" t="s">
        <v>19</v>
      </c>
      <c r="D848">
        <f ca="1">'2BAS Calcs'!N848</f>
        <v>1.5812640716657016E-7</v>
      </c>
    </row>
    <row r="849" spans="1:4" x14ac:dyDescent="0.35">
      <c r="A849" t="s">
        <v>29</v>
      </c>
      <c r="B849" t="s">
        <v>5</v>
      </c>
      <c r="C849" t="s">
        <v>19</v>
      </c>
      <c r="D849">
        <f ca="1">'2BAS Calcs'!N849</f>
        <v>1.5812640716657016E-7</v>
      </c>
    </row>
    <row r="850" spans="1:4" x14ac:dyDescent="0.35">
      <c r="A850" t="s">
        <v>30</v>
      </c>
      <c r="B850" t="s">
        <v>5</v>
      </c>
      <c r="C850" t="s">
        <v>19</v>
      </c>
      <c r="D850">
        <f ca="1">'2BAS Calcs'!N850</f>
        <v>1.5812640716657016E-7</v>
      </c>
    </row>
    <row r="851" spans="1:4" x14ac:dyDescent="0.35">
      <c r="A851" t="s">
        <v>31</v>
      </c>
      <c r="B851" t="s">
        <v>5</v>
      </c>
      <c r="C851" t="s">
        <v>19</v>
      </c>
      <c r="D851">
        <f ca="1">'2BAS Calcs'!N851</f>
        <v>1.5812640716657016E-7</v>
      </c>
    </row>
    <row r="852" spans="1:4" x14ac:dyDescent="0.35">
      <c r="A852" t="s">
        <v>32</v>
      </c>
      <c r="B852" t="s">
        <v>5</v>
      </c>
      <c r="C852" t="s">
        <v>19</v>
      </c>
      <c r="D852">
        <f ca="1">'2BAS Calcs'!N852</f>
        <v>1.5812640716657016E-7</v>
      </c>
    </row>
    <row r="853" spans="1:4" x14ac:dyDescent="0.35">
      <c r="A853" t="s">
        <v>33</v>
      </c>
      <c r="B853" t="s">
        <v>5</v>
      </c>
      <c r="C853" t="s">
        <v>19</v>
      </c>
      <c r="D853">
        <f ca="1">'2BAS Calcs'!N853</f>
        <v>1.5812640716657016E-7</v>
      </c>
    </row>
    <row r="854" spans="1:4" x14ac:dyDescent="0.35">
      <c r="A854" t="s">
        <v>34</v>
      </c>
      <c r="B854" t="s">
        <v>5</v>
      </c>
      <c r="C854" t="s">
        <v>19</v>
      </c>
      <c r="D854">
        <f ca="1">'2BAS Calcs'!N854</f>
        <v>1.5812640716657016E-7</v>
      </c>
    </row>
    <row r="855" spans="1:4" x14ac:dyDescent="0.35">
      <c r="A855" t="s">
        <v>35</v>
      </c>
      <c r="B855" t="s">
        <v>5</v>
      </c>
      <c r="C855" t="s">
        <v>19</v>
      </c>
      <c r="D855">
        <f ca="1">'2BAS Calcs'!N855</f>
        <v>1.5812640716657016E-7</v>
      </c>
    </row>
    <row r="856" spans="1:4" x14ac:dyDescent="0.35">
      <c r="A856" t="s">
        <v>36</v>
      </c>
      <c r="B856" t="s">
        <v>5</v>
      </c>
      <c r="C856" t="s">
        <v>19</v>
      </c>
      <c r="D856">
        <f ca="1">'2BAS Calcs'!N856</f>
        <v>1.5812640716657016E-7</v>
      </c>
    </row>
    <row r="857" spans="1:4" x14ac:dyDescent="0.35">
      <c r="A857" t="s">
        <v>37</v>
      </c>
      <c r="B857" t="s">
        <v>5</v>
      </c>
      <c r="C857" t="s">
        <v>19</v>
      </c>
      <c r="D857">
        <f ca="1">'2BAS Calcs'!N857</f>
        <v>1.5812640716657016E-7</v>
      </c>
    </row>
    <row r="858" spans="1:4" x14ac:dyDescent="0.35">
      <c r="A858" t="s">
        <v>38</v>
      </c>
      <c r="B858" t="s">
        <v>5</v>
      </c>
      <c r="C858" t="s">
        <v>19</v>
      </c>
      <c r="D858">
        <f ca="1">'2BAS Calcs'!N858</f>
        <v>1.5812640716657016E-7</v>
      </c>
    </row>
    <row r="859" spans="1:4" x14ac:dyDescent="0.35">
      <c r="A859" t="s">
        <v>39</v>
      </c>
      <c r="B859" t="s">
        <v>5</v>
      </c>
      <c r="C859" t="s">
        <v>19</v>
      </c>
      <c r="D859">
        <f ca="1">'2BAS Calcs'!N859</f>
        <v>1.5812640716657016E-7</v>
      </c>
    </row>
    <row r="860" spans="1:4" x14ac:dyDescent="0.35">
      <c r="A860" t="s">
        <v>7</v>
      </c>
      <c r="B860" t="s">
        <v>4</v>
      </c>
      <c r="C860" t="s">
        <v>20</v>
      </c>
      <c r="D860">
        <f ca="1">'2BAS Calcs'!N860</f>
        <v>7.5837052427370807E-2</v>
      </c>
    </row>
    <row r="861" spans="1:4" x14ac:dyDescent="0.35">
      <c r="A861" t="s">
        <v>8</v>
      </c>
      <c r="B861" t="s">
        <v>4</v>
      </c>
      <c r="C861" t="s">
        <v>20</v>
      </c>
      <c r="D861">
        <f ca="1">'2BAS Calcs'!N861</f>
        <v>0.13229145387910682</v>
      </c>
    </row>
    <row r="862" spans="1:4" x14ac:dyDescent="0.35">
      <c r="A862" t="s">
        <v>9</v>
      </c>
      <c r="B862" t="s">
        <v>4</v>
      </c>
      <c r="C862" t="s">
        <v>20</v>
      </c>
      <c r="D862">
        <f ca="1">'2BAS Calcs'!N862</f>
        <v>0.22275087662319143</v>
      </c>
    </row>
    <row r="863" spans="1:4" x14ac:dyDescent="0.35">
      <c r="A863" t="s">
        <v>10</v>
      </c>
      <c r="B863" t="s">
        <v>4</v>
      </c>
      <c r="C863" t="s">
        <v>20</v>
      </c>
      <c r="D863">
        <f ca="1">'2BAS Calcs'!N863</f>
        <v>1.1602765789173508</v>
      </c>
    </row>
    <row r="864" spans="1:4" x14ac:dyDescent="0.35">
      <c r="A864" t="s">
        <v>11</v>
      </c>
      <c r="B864" t="s">
        <v>4</v>
      </c>
      <c r="C864" t="s">
        <v>20</v>
      </c>
      <c r="D864">
        <f ca="1">'2BAS Calcs'!N864</f>
        <v>8.2331115980381776E-3</v>
      </c>
    </row>
    <row r="865" spans="1:4" x14ac:dyDescent="0.35">
      <c r="A865" t="s">
        <v>12</v>
      </c>
      <c r="B865" t="s">
        <v>4</v>
      </c>
      <c r="C865" t="s">
        <v>20</v>
      </c>
      <c r="D865">
        <f ca="1">'2BAS Calcs'!N865</f>
        <v>5.0682360279235374E-2</v>
      </c>
    </row>
    <row r="866" spans="1:4" x14ac:dyDescent="0.35">
      <c r="A866" t="s">
        <v>13</v>
      </c>
      <c r="B866" t="s">
        <v>4</v>
      </c>
      <c r="C866" t="s">
        <v>20</v>
      </c>
      <c r="D866">
        <f ca="1">'2BAS Calcs'!N866</f>
        <v>1.0144368244296116</v>
      </c>
    </row>
    <row r="867" spans="1:4" x14ac:dyDescent="0.35">
      <c r="A867" t="s">
        <v>14</v>
      </c>
      <c r="B867" t="s">
        <v>4</v>
      </c>
      <c r="C867" t="s">
        <v>20</v>
      </c>
      <c r="D867">
        <f ca="1">'2BAS Calcs'!N867</f>
        <v>0.1545806337724355</v>
      </c>
    </row>
    <row r="868" spans="1:4" x14ac:dyDescent="0.35">
      <c r="A868" t="s">
        <v>15</v>
      </c>
      <c r="B868" t="s">
        <v>4</v>
      </c>
      <c r="C868" t="s">
        <v>20</v>
      </c>
      <c r="D868">
        <f ca="1">'2BAS Calcs'!N868</f>
        <v>0.96260461749538972</v>
      </c>
    </row>
    <row r="869" spans="1:4" x14ac:dyDescent="0.35">
      <c r="A869" t="s">
        <v>16</v>
      </c>
      <c r="B869" t="s">
        <v>4</v>
      </c>
      <c r="C869" t="s">
        <v>20</v>
      </c>
      <c r="D869">
        <f ca="1">'2BAS Calcs'!N869</f>
        <v>1.5068646429395613</v>
      </c>
    </row>
    <row r="870" spans="1:4" x14ac:dyDescent="0.35">
      <c r="A870" t="s">
        <v>17</v>
      </c>
      <c r="B870" t="s">
        <v>4</v>
      </c>
      <c r="C870" t="s">
        <v>20</v>
      </c>
      <c r="D870">
        <f ca="1">'2BAS Calcs'!N870</f>
        <v>1.3959228004336621</v>
      </c>
    </row>
    <row r="871" spans="1:4" x14ac:dyDescent="0.35">
      <c r="A871" t="s">
        <v>18</v>
      </c>
      <c r="B871" t="s">
        <v>4</v>
      </c>
      <c r="C871" t="s">
        <v>20</v>
      </c>
      <c r="D871">
        <f ca="1">'2BAS Calcs'!N871</f>
        <v>4.0828326334055429</v>
      </c>
    </row>
    <row r="872" spans="1:4" x14ac:dyDescent="0.35">
      <c r="A872" t="s">
        <v>19</v>
      </c>
      <c r="B872" t="s">
        <v>4</v>
      </c>
      <c r="C872" t="s">
        <v>20</v>
      </c>
      <c r="D872">
        <f ca="1">'2BAS Calcs'!N872</f>
        <v>5.9095783711326124</v>
      </c>
    </row>
    <row r="873" spans="1:4" x14ac:dyDescent="0.35">
      <c r="A873" t="s">
        <v>20</v>
      </c>
      <c r="B873" t="s">
        <v>4</v>
      </c>
      <c r="C873" t="s">
        <v>20</v>
      </c>
      <c r="D873">
        <f ca="1">'2BAS Calcs'!N873</f>
        <v>1.2293206092138709</v>
      </c>
    </row>
    <row r="874" spans="1:4" x14ac:dyDescent="0.35">
      <c r="A874" t="s">
        <v>21</v>
      </c>
      <c r="B874" t="s">
        <v>4</v>
      </c>
      <c r="C874" t="s">
        <v>20</v>
      </c>
      <c r="D874">
        <f ca="1">'2BAS Calcs'!N874</f>
        <v>1.7757633603128076</v>
      </c>
    </row>
    <row r="875" spans="1:4" x14ac:dyDescent="0.35">
      <c r="A875" t="s">
        <v>22</v>
      </c>
      <c r="B875" t="s">
        <v>4</v>
      </c>
      <c r="C875" t="s">
        <v>20</v>
      </c>
      <c r="D875">
        <f ca="1">'2BAS Calcs'!N875</f>
        <v>4.8352883300876206</v>
      </c>
    </row>
    <row r="876" spans="1:4" x14ac:dyDescent="0.35">
      <c r="A876" t="s">
        <v>23</v>
      </c>
      <c r="B876" t="s">
        <v>4</v>
      </c>
      <c r="C876" t="s">
        <v>20</v>
      </c>
      <c r="D876">
        <f ca="1">'2BAS Calcs'!N876</f>
        <v>1.103380735198143E-7</v>
      </c>
    </row>
    <row r="877" spans="1:4" x14ac:dyDescent="0.35">
      <c r="A877" t="s">
        <v>24</v>
      </c>
      <c r="B877" t="s">
        <v>4</v>
      </c>
      <c r="C877" t="s">
        <v>20</v>
      </c>
      <c r="D877">
        <f ca="1">'2BAS Calcs'!N877</f>
        <v>160.62073397380249</v>
      </c>
    </row>
    <row r="878" spans="1:4" x14ac:dyDescent="0.35">
      <c r="A878" t="s">
        <v>25</v>
      </c>
      <c r="B878" t="s">
        <v>4</v>
      </c>
      <c r="C878" t="s">
        <v>20</v>
      </c>
      <c r="D878">
        <f ca="1">'2BAS Calcs'!N878</f>
        <v>25.682184494576049</v>
      </c>
    </row>
    <row r="879" spans="1:4" x14ac:dyDescent="0.35">
      <c r="A879" t="s">
        <v>26</v>
      </c>
      <c r="B879" t="s">
        <v>4</v>
      </c>
      <c r="C879" t="s">
        <v>20</v>
      </c>
      <c r="D879">
        <f ca="1">'2BAS Calcs'!N879</f>
        <v>1.103380735198143E-7</v>
      </c>
    </row>
    <row r="880" spans="1:4" x14ac:dyDescent="0.35">
      <c r="A880" t="s">
        <v>27</v>
      </c>
      <c r="B880" t="s">
        <v>4</v>
      </c>
      <c r="C880" t="s">
        <v>20</v>
      </c>
      <c r="D880">
        <f ca="1">'2BAS Calcs'!N880</f>
        <v>1.103380735198143E-7</v>
      </c>
    </row>
    <row r="881" spans="1:4" x14ac:dyDescent="0.35">
      <c r="A881" t="s">
        <v>28</v>
      </c>
      <c r="B881" t="s">
        <v>4</v>
      </c>
      <c r="C881" t="s">
        <v>20</v>
      </c>
      <c r="D881">
        <f ca="1">'2BAS Calcs'!N881</f>
        <v>1.103380735198143E-7</v>
      </c>
    </row>
    <row r="882" spans="1:4" x14ac:dyDescent="0.35">
      <c r="A882" t="s">
        <v>29</v>
      </c>
      <c r="B882" t="s">
        <v>4</v>
      </c>
      <c r="C882" t="s">
        <v>20</v>
      </c>
      <c r="D882">
        <f ca="1">'2BAS Calcs'!N882</f>
        <v>1.103380735198143E-7</v>
      </c>
    </row>
    <row r="883" spans="1:4" x14ac:dyDescent="0.35">
      <c r="A883" t="s">
        <v>30</v>
      </c>
      <c r="B883" t="s">
        <v>4</v>
      </c>
      <c r="C883" t="s">
        <v>20</v>
      </c>
      <c r="D883">
        <f ca="1">'2BAS Calcs'!N883</f>
        <v>1.103380735198143E-7</v>
      </c>
    </row>
    <row r="884" spans="1:4" x14ac:dyDescent="0.35">
      <c r="A884" t="s">
        <v>31</v>
      </c>
      <c r="B884" t="s">
        <v>4</v>
      </c>
      <c r="C884" t="s">
        <v>20</v>
      </c>
      <c r="D884">
        <f ca="1">'2BAS Calcs'!N884</f>
        <v>1.103380735198143E-7</v>
      </c>
    </row>
    <row r="885" spans="1:4" x14ac:dyDescent="0.35">
      <c r="A885" t="s">
        <v>32</v>
      </c>
      <c r="B885" t="s">
        <v>4</v>
      </c>
      <c r="C885" t="s">
        <v>20</v>
      </c>
      <c r="D885">
        <f ca="1">'2BAS Calcs'!N885</f>
        <v>1.103380735198143E-7</v>
      </c>
    </row>
    <row r="886" spans="1:4" x14ac:dyDescent="0.35">
      <c r="A886" t="s">
        <v>33</v>
      </c>
      <c r="B886" t="s">
        <v>4</v>
      </c>
      <c r="C886" t="s">
        <v>20</v>
      </c>
      <c r="D886">
        <f ca="1">'2BAS Calcs'!N886</f>
        <v>1.103380735198143E-7</v>
      </c>
    </row>
    <row r="887" spans="1:4" x14ac:dyDescent="0.35">
      <c r="A887" t="s">
        <v>34</v>
      </c>
      <c r="B887" t="s">
        <v>4</v>
      </c>
      <c r="C887" t="s">
        <v>20</v>
      </c>
      <c r="D887">
        <f ca="1">'2BAS Calcs'!N887</f>
        <v>1.103380735198143E-7</v>
      </c>
    </row>
    <row r="888" spans="1:4" x14ac:dyDescent="0.35">
      <c r="A888" t="s">
        <v>35</v>
      </c>
      <c r="B888" t="s">
        <v>4</v>
      </c>
      <c r="C888" t="s">
        <v>20</v>
      </c>
      <c r="D888">
        <f ca="1">'2BAS Calcs'!N888</f>
        <v>1.103380735198143E-7</v>
      </c>
    </row>
    <row r="889" spans="1:4" x14ac:dyDescent="0.35">
      <c r="A889" t="s">
        <v>36</v>
      </c>
      <c r="B889" t="s">
        <v>4</v>
      </c>
      <c r="C889" t="s">
        <v>20</v>
      </c>
      <c r="D889">
        <f ca="1">'2BAS Calcs'!N889</f>
        <v>1.103380735198143E-7</v>
      </c>
    </row>
    <row r="890" spans="1:4" x14ac:dyDescent="0.35">
      <c r="A890" t="s">
        <v>37</v>
      </c>
      <c r="B890" t="s">
        <v>4</v>
      </c>
      <c r="C890" t="s">
        <v>20</v>
      </c>
      <c r="D890">
        <f ca="1">'2BAS Calcs'!N890</f>
        <v>1.103380735198143E-7</v>
      </c>
    </row>
    <row r="891" spans="1:4" x14ac:dyDescent="0.35">
      <c r="A891" t="s">
        <v>38</v>
      </c>
      <c r="B891" t="s">
        <v>4</v>
      </c>
      <c r="C891" t="s">
        <v>20</v>
      </c>
      <c r="D891">
        <f ca="1">'2BAS Calcs'!N891</f>
        <v>1.103380735198143E-7</v>
      </c>
    </row>
    <row r="892" spans="1:4" x14ac:dyDescent="0.35">
      <c r="A892" t="s">
        <v>39</v>
      </c>
      <c r="B892" t="s">
        <v>4</v>
      </c>
      <c r="C892" t="s">
        <v>20</v>
      </c>
      <c r="D892">
        <f ca="1">'2BAS Calcs'!N892</f>
        <v>1.103380735198143E-7</v>
      </c>
    </row>
    <row r="893" spans="1:4" x14ac:dyDescent="0.35">
      <c r="A893" t="s">
        <v>7</v>
      </c>
      <c r="B893" t="s">
        <v>5</v>
      </c>
      <c r="C893" t="s">
        <v>20</v>
      </c>
      <c r="D893">
        <f ca="1">'2BAS Calcs'!N893</f>
        <v>1.0208284413121249</v>
      </c>
    </row>
    <row r="894" spans="1:4" x14ac:dyDescent="0.35">
      <c r="A894" t="s">
        <v>8</v>
      </c>
      <c r="B894" t="s">
        <v>5</v>
      </c>
      <c r="C894" t="s">
        <v>20</v>
      </c>
      <c r="D894">
        <f ca="1">'2BAS Calcs'!N894</f>
        <v>1.6104912992609501</v>
      </c>
    </row>
    <row r="895" spans="1:4" x14ac:dyDescent="0.35">
      <c r="A895" t="s">
        <v>9</v>
      </c>
      <c r="B895" t="s">
        <v>5</v>
      </c>
      <c r="C895" t="s">
        <v>20</v>
      </c>
      <c r="D895">
        <f ca="1">'2BAS Calcs'!N895</f>
        <v>0.40299432208808295</v>
      </c>
    </row>
    <row r="896" spans="1:4" x14ac:dyDescent="0.35">
      <c r="A896" t="s">
        <v>10</v>
      </c>
      <c r="B896" t="s">
        <v>5</v>
      </c>
      <c r="C896" t="s">
        <v>20</v>
      </c>
      <c r="D896">
        <f ca="1">'2BAS Calcs'!N896</f>
        <v>7.9083669924373998</v>
      </c>
    </row>
    <row r="897" spans="1:4" x14ac:dyDescent="0.35">
      <c r="A897" t="s">
        <v>11</v>
      </c>
      <c r="B897" t="s">
        <v>5</v>
      </c>
      <c r="C897" t="s">
        <v>20</v>
      </c>
      <c r="D897">
        <f ca="1">'2BAS Calcs'!N897</f>
        <v>4.1215994974253531</v>
      </c>
    </row>
    <row r="898" spans="1:4" x14ac:dyDescent="0.35">
      <c r="A898" t="s">
        <v>12</v>
      </c>
      <c r="B898" t="s">
        <v>5</v>
      </c>
      <c r="C898" t="s">
        <v>20</v>
      </c>
      <c r="D898">
        <f ca="1">'2BAS Calcs'!N898</f>
        <v>7.3773615052564481E-2</v>
      </c>
    </row>
    <row r="899" spans="1:4" x14ac:dyDescent="0.35">
      <c r="A899" t="s">
        <v>13</v>
      </c>
      <c r="B899" t="s">
        <v>5</v>
      </c>
      <c r="C899" t="s">
        <v>20</v>
      </c>
      <c r="D899">
        <f ca="1">'2BAS Calcs'!N899</f>
        <v>1.0623326127430037</v>
      </c>
    </row>
    <row r="900" spans="1:4" x14ac:dyDescent="0.35">
      <c r="A900" t="s">
        <v>14</v>
      </c>
      <c r="B900" t="s">
        <v>5</v>
      </c>
      <c r="C900" t="s">
        <v>20</v>
      </c>
      <c r="D900">
        <f ca="1">'2BAS Calcs'!N900</f>
        <v>0.26750784375516584</v>
      </c>
    </row>
    <row r="901" spans="1:4" x14ac:dyDescent="0.35">
      <c r="A901" t="s">
        <v>15</v>
      </c>
      <c r="B901" t="s">
        <v>5</v>
      </c>
      <c r="C901" t="s">
        <v>20</v>
      </c>
      <c r="D901">
        <f ca="1">'2BAS Calcs'!N901</f>
        <v>3.6670858785813012</v>
      </c>
    </row>
    <row r="902" spans="1:4" x14ac:dyDescent="0.35">
      <c r="A902" t="s">
        <v>16</v>
      </c>
      <c r="B902" t="s">
        <v>5</v>
      </c>
      <c r="C902" t="s">
        <v>20</v>
      </c>
      <c r="D902">
        <f ca="1">'2BAS Calcs'!N902</f>
        <v>2.80850037661651</v>
      </c>
    </row>
    <row r="903" spans="1:4" x14ac:dyDescent="0.35">
      <c r="A903" t="s">
        <v>17</v>
      </c>
      <c r="B903" t="s">
        <v>5</v>
      </c>
      <c r="C903" t="s">
        <v>20</v>
      </c>
      <c r="D903">
        <f ca="1">'2BAS Calcs'!N903</f>
        <v>1.0601734388249098</v>
      </c>
    </row>
    <row r="904" spans="1:4" x14ac:dyDescent="0.35">
      <c r="A904" t="s">
        <v>18</v>
      </c>
      <c r="B904" t="s">
        <v>5</v>
      </c>
      <c r="C904" t="s">
        <v>20</v>
      </c>
      <c r="D904">
        <f ca="1">'2BAS Calcs'!N904</f>
        <v>13.270336963438087</v>
      </c>
    </row>
    <row r="905" spans="1:4" x14ac:dyDescent="0.35">
      <c r="A905" t="s">
        <v>19</v>
      </c>
      <c r="B905" t="s">
        <v>5</v>
      </c>
      <c r="C905" t="s">
        <v>20</v>
      </c>
      <c r="D905">
        <f ca="1">'2BAS Calcs'!N905</f>
        <v>50.835633627086388</v>
      </c>
    </row>
    <row r="906" spans="1:4" x14ac:dyDescent="0.35">
      <c r="A906" t="s">
        <v>20</v>
      </c>
      <c r="B906" t="s">
        <v>5</v>
      </c>
      <c r="C906" t="s">
        <v>20</v>
      </c>
      <c r="D906">
        <f ca="1">'2BAS Calcs'!N906</f>
        <v>27.256516059652338</v>
      </c>
    </row>
    <row r="907" spans="1:4" x14ac:dyDescent="0.35">
      <c r="A907" t="s">
        <v>21</v>
      </c>
      <c r="B907" t="s">
        <v>5</v>
      </c>
      <c r="C907" t="s">
        <v>20</v>
      </c>
      <c r="D907">
        <f ca="1">'2BAS Calcs'!N907</f>
        <v>43.498333839917258</v>
      </c>
    </row>
    <row r="908" spans="1:4" x14ac:dyDescent="0.35">
      <c r="A908" t="s">
        <v>22</v>
      </c>
      <c r="B908" t="s">
        <v>5</v>
      </c>
      <c r="C908" t="s">
        <v>20</v>
      </c>
      <c r="D908">
        <f ca="1">'2BAS Calcs'!N908</f>
        <v>16.504775950711352</v>
      </c>
    </row>
    <row r="909" spans="1:4" x14ac:dyDescent="0.35">
      <c r="A909" t="s">
        <v>23</v>
      </c>
      <c r="B909" t="s">
        <v>5</v>
      </c>
      <c r="C909" t="s">
        <v>20</v>
      </c>
      <c r="D909">
        <f ca="1">'2BAS Calcs'!N909</f>
        <v>1.103380735198143E-7</v>
      </c>
    </row>
    <row r="910" spans="1:4" x14ac:dyDescent="0.35">
      <c r="A910" t="s">
        <v>24</v>
      </c>
      <c r="B910" t="s">
        <v>5</v>
      </c>
      <c r="C910" t="s">
        <v>20</v>
      </c>
      <c r="D910">
        <f ca="1">'2BAS Calcs'!N910</f>
        <v>3.2309050125540097</v>
      </c>
    </row>
    <row r="911" spans="1:4" x14ac:dyDescent="0.35">
      <c r="A911" t="s">
        <v>25</v>
      </c>
      <c r="B911" t="s">
        <v>5</v>
      </c>
      <c r="C911" t="s">
        <v>20</v>
      </c>
      <c r="D911">
        <f ca="1">'2BAS Calcs'!N911</f>
        <v>0.28268236086509191</v>
      </c>
    </row>
    <row r="912" spans="1:4" x14ac:dyDescent="0.35">
      <c r="A912" t="s">
        <v>26</v>
      </c>
      <c r="B912" t="s">
        <v>5</v>
      </c>
      <c r="C912" t="s">
        <v>20</v>
      </c>
      <c r="D912">
        <f ca="1">'2BAS Calcs'!N912</f>
        <v>1.103380735198143E-7</v>
      </c>
    </row>
    <row r="913" spans="1:4" x14ac:dyDescent="0.35">
      <c r="A913" t="s">
        <v>27</v>
      </c>
      <c r="B913" t="s">
        <v>5</v>
      </c>
      <c r="C913" t="s">
        <v>20</v>
      </c>
      <c r="D913">
        <f ca="1">'2BAS Calcs'!N913</f>
        <v>1.103380735198143E-7</v>
      </c>
    </row>
    <row r="914" spans="1:4" x14ac:dyDescent="0.35">
      <c r="A914" t="s">
        <v>28</v>
      </c>
      <c r="B914" t="s">
        <v>5</v>
      </c>
      <c r="C914" t="s">
        <v>20</v>
      </c>
      <c r="D914">
        <f ca="1">'2BAS Calcs'!N914</f>
        <v>1.103380735198143E-7</v>
      </c>
    </row>
    <row r="915" spans="1:4" x14ac:dyDescent="0.35">
      <c r="A915" t="s">
        <v>29</v>
      </c>
      <c r="B915" t="s">
        <v>5</v>
      </c>
      <c r="C915" t="s">
        <v>20</v>
      </c>
      <c r="D915">
        <f ca="1">'2BAS Calcs'!N915</f>
        <v>1.103380735198143E-7</v>
      </c>
    </row>
    <row r="916" spans="1:4" x14ac:dyDescent="0.35">
      <c r="A916" t="s">
        <v>30</v>
      </c>
      <c r="B916" t="s">
        <v>5</v>
      </c>
      <c r="C916" t="s">
        <v>20</v>
      </c>
      <c r="D916">
        <f ca="1">'2BAS Calcs'!N916</f>
        <v>1.103380735198143E-7</v>
      </c>
    </row>
    <row r="917" spans="1:4" x14ac:dyDescent="0.35">
      <c r="A917" t="s">
        <v>31</v>
      </c>
      <c r="B917" t="s">
        <v>5</v>
      </c>
      <c r="C917" t="s">
        <v>20</v>
      </c>
      <c r="D917">
        <f ca="1">'2BAS Calcs'!N917</f>
        <v>1.103380735198143E-7</v>
      </c>
    </row>
    <row r="918" spans="1:4" x14ac:dyDescent="0.35">
      <c r="A918" t="s">
        <v>32</v>
      </c>
      <c r="B918" t="s">
        <v>5</v>
      </c>
      <c r="C918" t="s">
        <v>20</v>
      </c>
      <c r="D918">
        <f ca="1">'2BAS Calcs'!N918</f>
        <v>1.103380735198143E-7</v>
      </c>
    </row>
    <row r="919" spans="1:4" x14ac:dyDescent="0.35">
      <c r="A919" t="s">
        <v>33</v>
      </c>
      <c r="B919" t="s">
        <v>5</v>
      </c>
      <c r="C919" t="s">
        <v>20</v>
      </c>
      <c r="D919">
        <f ca="1">'2BAS Calcs'!N919</f>
        <v>1.103380735198143E-7</v>
      </c>
    </row>
    <row r="920" spans="1:4" x14ac:dyDescent="0.35">
      <c r="A920" t="s">
        <v>34</v>
      </c>
      <c r="B920" t="s">
        <v>5</v>
      </c>
      <c r="C920" t="s">
        <v>20</v>
      </c>
      <c r="D920">
        <f ca="1">'2BAS Calcs'!N920</f>
        <v>1.103380735198143E-7</v>
      </c>
    </row>
    <row r="921" spans="1:4" x14ac:dyDescent="0.35">
      <c r="A921" t="s">
        <v>35</v>
      </c>
      <c r="B921" t="s">
        <v>5</v>
      </c>
      <c r="C921" t="s">
        <v>20</v>
      </c>
      <c r="D921">
        <f ca="1">'2BAS Calcs'!N921</f>
        <v>1.103380735198143E-7</v>
      </c>
    </row>
    <row r="922" spans="1:4" x14ac:dyDescent="0.35">
      <c r="A922" t="s">
        <v>36</v>
      </c>
      <c r="B922" t="s">
        <v>5</v>
      </c>
      <c r="C922" t="s">
        <v>20</v>
      </c>
      <c r="D922">
        <f ca="1">'2BAS Calcs'!N922</f>
        <v>1.103380735198143E-7</v>
      </c>
    </row>
    <row r="923" spans="1:4" x14ac:dyDescent="0.35">
      <c r="A923" t="s">
        <v>37</v>
      </c>
      <c r="B923" t="s">
        <v>5</v>
      </c>
      <c r="C923" t="s">
        <v>20</v>
      </c>
      <c r="D923">
        <f ca="1">'2BAS Calcs'!N923</f>
        <v>1.103380735198143E-7</v>
      </c>
    </row>
    <row r="924" spans="1:4" x14ac:dyDescent="0.35">
      <c r="A924" t="s">
        <v>38</v>
      </c>
      <c r="B924" t="s">
        <v>5</v>
      </c>
      <c r="C924" t="s">
        <v>20</v>
      </c>
      <c r="D924">
        <f ca="1">'2BAS Calcs'!N924</f>
        <v>1.103380735198143E-7</v>
      </c>
    </row>
    <row r="925" spans="1:4" x14ac:dyDescent="0.35">
      <c r="A925" t="s">
        <v>39</v>
      </c>
      <c r="B925" t="s">
        <v>5</v>
      </c>
      <c r="C925" t="s">
        <v>20</v>
      </c>
      <c r="D925">
        <f ca="1">'2BAS Calcs'!N925</f>
        <v>1.103380735198143E-7</v>
      </c>
    </row>
    <row r="926" spans="1:4" x14ac:dyDescent="0.35">
      <c r="A926" t="s">
        <v>7</v>
      </c>
      <c r="B926" t="s">
        <v>4</v>
      </c>
      <c r="C926" t="s">
        <v>21</v>
      </c>
      <c r="D926">
        <f ca="1">'2BAS Calcs'!N926</f>
        <v>6.799040606802112E-2</v>
      </c>
    </row>
    <row r="927" spans="1:4" x14ac:dyDescent="0.35">
      <c r="A927" t="s">
        <v>8</v>
      </c>
      <c r="B927" t="s">
        <v>4</v>
      </c>
      <c r="C927" t="s">
        <v>21</v>
      </c>
      <c r="D927">
        <f ca="1">'2BAS Calcs'!N927</f>
        <v>0.11860362950133704</v>
      </c>
    </row>
    <row r="928" spans="1:4" x14ac:dyDescent="0.35">
      <c r="A928" t="s">
        <v>9</v>
      </c>
      <c r="B928" t="s">
        <v>4</v>
      </c>
      <c r="C928" t="s">
        <v>21</v>
      </c>
      <c r="D928">
        <f ca="1">'2BAS Calcs'!N928</f>
        <v>0.19970347038636238</v>
      </c>
    </row>
    <row r="929" spans="1:4" x14ac:dyDescent="0.35">
      <c r="A929" t="s">
        <v>10</v>
      </c>
      <c r="B929" t="s">
        <v>4</v>
      </c>
      <c r="C929" t="s">
        <v>21</v>
      </c>
      <c r="D929">
        <f ca="1">'2BAS Calcs'!N929</f>
        <v>1.0402260270776715</v>
      </c>
    </row>
    <row r="930" spans="1:4" x14ac:dyDescent="0.35">
      <c r="A930" t="s">
        <v>11</v>
      </c>
      <c r="B930" t="s">
        <v>4</v>
      </c>
      <c r="C930" t="s">
        <v>21</v>
      </c>
      <c r="D930">
        <f ca="1">'2BAS Calcs'!N930</f>
        <v>7.3812547143765183E-3</v>
      </c>
    </row>
    <row r="931" spans="1:4" x14ac:dyDescent="0.35">
      <c r="A931" t="s">
        <v>12</v>
      </c>
      <c r="B931" t="s">
        <v>4</v>
      </c>
      <c r="C931" t="s">
        <v>21</v>
      </c>
      <c r="D931">
        <f ca="1">'2BAS Calcs'!N931</f>
        <v>4.5438399114616314E-2</v>
      </c>
    </row>
    <row r="932" spans="1:4" x14ac:dyDescent="0.35">
      <c r="A932" t="s">
        <v>13</v>
      </c>
      <c r="B932" t="s">
        <v>4</v>
      </c>
      <c r="C932" t="s">
        <v>21</v>
      </c>
      <c r="D932">
        <f ca="1">'2BAS Calcs'!N932</f>
        <v>0.90947590149785462</v>
      </c>
    </row>
    <row r="933" spans="1:4" x14ac:dyDescent="0.35">
      <c r="A933" t="s">
        <v>14</v>
      </c>
      <c r="B933" t="s">
        <v>4</v>
      </c>
      <c r="C933" t="s">
        <v>21</v>
      </c>
      <c r="D933">
        <f ca="1">'2BAS Calcs'!N933</f>
        <v>0.13858661068750505</v>
      </c>
    </row>
    <row r="934" spans="1:4" x14ac:dyDescent="0.35">
      <c r="A934" t="s">
        <v>15</v>
      </c>
      <c r="B934" t="s">
        <v>4</v>
      </c>
      <c r="C934" t="s">
        <v>21</v>
      </c>
      <c r="D934">
        <f ca="1">'2BAS Calcs'!N934</f>
        <v>0.86300662712521903</v>
      </c>
    </row>
    <row r="935" spans="1:4" x14ac:dyDescent="0.35">
      <c r="A935" t="s">
        <v>16</v>
      </c>
      <c r="B935" t="s">
        <v>4</v>
      </c>
      <c r="C935" t="s">
        <v>21</v>
      </c>
      <c r="D935">
        <f ca="1">'2BAS Calcs'!N935</f>
        <v>1.3509535996421154</v>
      </c>
    </row>
    <row r="936" spans="1:4" x14ac:dyDescent="0.35">
      <c r="A936" t="s">
        <v>17</v>
      </c>
      <c r="B936" t="s">
        <v>4</v>
      </c>
      <c r="C936" t="s">
        <v>21</v>
      </c>
      <c r="D936">
        <f ca="1">'2BAS Calcs'!N936</f>
        <v>1.2514905973170389</v>
      </c>
    </row>
    <row r="937" spans="1:4" x14ac:dyDescent="0.35">
      <c r="A937" t="s">
        <v>18</v>
      </c>
      <c r="B937" t="s">
        <v>4</v>
      </c>
      <c r="C937" t="s">
        <v>21</v>
      </c>
      <c r="D937">
        <f ca="1">'2BAS Calcs'!N937</f>
        <v>3.6603934326015937</v>
      </c>
    </row>
    <row r="938" spans="1:4" x14ac:dyDescent="0.35">
      <c r="A938" t="s">
        <v>19</v>
      </c>
      <c r="B938" t="s">
        <v>4</v>
      </c>
      <c r="C938" t="s">
        <v>21</v>
      </c>
      <c r="D938">
        <f ca="1">'2BAS Calcs'!N938</f>
        <v>5.2981309305091999</v>
      </c>
    </row>
    <row r="939" spans="1:4" x14ac:dyDescent="0.35">
      <c r="A939" t="s">
        <v>20</v>
      </c>
      <c r="B939" t="s">
        <v>4</v>
      </c>
      <c r="C939" t="s">
        <v>21</v>
      </c>
      <c r="D939">
        <f ca="1">'2BAS Calcs'!N939</f>
        <v>1.102126265894692</v>
      </c>
    </row>
    <row r="940" spans="1:4" x14ac:dyDescent="0.35">
      <c r="A940" t="s">
        <v>21</v>
      </c>
      <c r="B940" t="s">
        <v>4</v>
      </c>
      <c r="C940" t="s">
        <v>21</v>
      </c>
      <c r="D940">
        <f ca="1">'2BAS Calcs'!N940</f>
        <v>1.5920301235864796</v>
      </c>
    </row>
    <row r="941" spans="1:4" x14ac:dyDescent="0.35">
      <c r="A941" t="s">
        <v>22</v>
      </c>
      <c r="B941" t="s">
        <v>4</v>
      </c>
      <c r="C941" t="s">
        <v>21</v>
      </c>
      <c r="D941">
        <f ca="1">'2BAS Calcs'!N941</f>
        <v>4.3349946562528681</v>
      </c>
    </row>
    <row r="942" spans="1:4" x14ac:dyDescent="0.35">
      <c r="A942" t="s">
        <v>23</v>
      </c>
      <c r="B942" t="s">
        <v>4</v>
      </c>
      <c r="C942" t="s">
        <v>21</v>
      </c>
      <c r="D942">
        <f ca="1">'2BAS Calcs'!N942</f>
        <v>9.8921703616579051E-8</v>
      </c>
    </row>
    <row r="943" spans="1:4" x14ac:dyDescent="0.35">
      <c r="A943" t="s">
        <v>24</v>
      </c>
      <c r="B943" t="s">
        <v>4</v>
      </c>
      <c r="C943" t="s">
        <v>21</v>
      </c>
      <c r="D943">
        <f ca="1">'2BAS Calcs'!N943</f>
        <v>144.00175872184849</v>
      </c>
    </row>
    <row r="944" spans="1:4" x14ac:dyDescent="0.35">
      <c r="A944" t="s">
        <v>25</v>
      </c>
      <c r="B944" t="s">
        <v>4</v>
      </c>
      <c r="C944" t="s">
        <v>21</v>
      </c>
      <c r="D944">
        <f ca="1">'2BAS Calcs'!N944</f>
        <v>23.024921151469364</v>
      </c>
    </row>
    <row r="945" spans="1:4" x14ac:dyDescent="0.35">
      <c r="A945" t="s">
        <v>26</v>
      </c>
      <c r="B945" t="s">
        <v>4</v>
      </c>
      <c r="C945" t="s">
        <v>21</v>
      </c>
      <c r="D945">
        <f ca="1">'2BAS Calcs'!N945</f>
        <v>9.8921703616579051E-8</v>
      </c>
    </row>
    <row r="946" spans="1:4" x14ac:dyDescent="0.35">
      <c r="A946" t="s">
        <v>27</v>
      </c>
      <c r="B946" t="s">
        <v>4</v>
      </c>
      <c r="C946" t="s">
        <v>21</v>
      </c>
      <c r="D946">
        <f ca="1">'2BAS Calcs'!N946</f>
        <v>9.8921703616579051E-8</v>
      </c>
    </row>
    <row r="947" spans="1:4" x14ac:dyDescent="0.35">
      <c r="A947" t="s">
        <v>28</v>
      </c>
      <c r="B947" t="s">
        <v>4</v>
      </c>
      <c r="C947" t="s">
        <v>21</v>
      </c>
      <c r="D947">
        <f ca="1">'2BAS Calcs'!N947</f>
        <v>9.8921703616579051E-8</v>
      </c>
    </row>
    <row r="948" spans="1:4" x14ac:dyDescent="0.35">
      <c r="A948" t="s">
        <v>29</v>
      </c>
      <c r="B948" t="s">
        <v>4</v>
      </c>
      <c r="C948" t="s">
        <v>21</v>
      </c>
      <c r="D948">
        <f ca="1">'2BAS Calcs'!N948</f>
        <v>9.8921703616579051E-8</v>
      </c>
    </row>
    <row r="949" spans="1:4" x14ac:dyDescent="0.35">
      <c r="A949" t="s">
        <v>30</v>
      </c>
      <c r="B949" t="s">
        <v>4</v>
      </c>
      <c r="C949" t="s">
        <v>21</v>
      </c>
      <c r="D949">
        <f ca="1">'2BAS Calcs'!N949</f>
        <v>9.8921703616579051E-8</v>
      </c>
    </row>
    <row r="950" spans="1:4" x14ac:dyDescent="0.35">
      <c r="A950" t="s">
        <v>31</v>
      </c>
      <c r="B950" t="s">
        <v>4</v>
      </c>
      <c r="C950" t="s">
        <v>21</v>
      </c>
      <c r="D950">
        <f ca="1">'2BAS Calcs'!N950</f>
        <v>9.8921703616579051E-8</v>
      </c>
    </row>
    <row r="951" spans="1:4" x14ac:dyDescent="0.35">
      <c r="A951" t="s">
        <v>32</v>
      </c>
      <c r="B951" t="s">
        <v>4</v>
      </c>
      <c r="C951" t="s">
        <v>21</v>
      </c>
      <c r="D951">
        <f ca="1">'2BAS Calcs'!N951</f>
        <v>9.8921703616579051E-8</v>
      </c>
    </row>
    <row r="952" spans="1:4" x14ac:dyDescent="0.35">
      <c r="A952" t="s">
        <v>33</v>
      </c>
      <c r="B952" t="s">
        <v>4</v>
      </c>
      <c r="C952" t="s">
        <v>21</v>
      </c>
      <c r="D952">
        <f ca="1">'2BAS Calcs'!N952</f>
        <v>9.8921703616579051E-8</v>
      </c>
    </row>
    <row r="953" spans="1:4" x14ac:dyDescent="0.35">
      <c r="A953" t="s">
        <v>34</v>
      </c>
      <c r="B953" t="s">
        <v>4</v>
      </c>
      <c r="C953" t="s">
        <v>21</v>
      </c>
      <c r="D953">
        <f ca="1">'2BAS Calcs'!N953</f>
        <v>9.8921703616579051E-8</v>
      </c>
    </row>
    <row r="954" spans="1:4" x14ac:dyDescent="0.35">
      <c r="A954" t="s">
        <v>35</v>
      </c>
      <c r="B954" t="s">
        <v>4</v>
      </c>
      <c r="C954" t="s">
        <v>21</v>
      </c>
      <c r="D954">
        <f ca="1">'2BAS Calcs'!N954</f>
        <v>9.8921703616579051E-8</v>
      </c>
    </row>
    <row r="955" spans="1:4" x14ac:dyDescent="0.35">
      <c r="A955" t="s">
        <v>36</v>
      </c>
      <c r="B955" t="s">
        <v>4</v>
      </c>
      <c r="C955" t="s">
        <v>21</v>
      </c>
      <c r="D955">
        <f ca="1">'2BAS Calcs'!N955</f>
        <v>9.8921703616579051E-8</v>
      </c>
    </row>
    <row r="956" spans="1:4" x14ac:dyDescent="0.35">
      <c r="A956" t="s">
        <v>37</v>
      </c>
      <c r="B956" t="s">
        <v>4</v>
      </c>
      <c r="C956" t="s">
        <v>21</v>
      </c>
      <c r="D956">
        <f ca="1">'2BAS Calcs'!N956</f>
        <v>9.8921703616579051E-8</v>
      </c>
    </row>
    <row r="957" spans="1:4" x14ac:dyDescent="0.35">
      <c r="A957" t="s">
        <v>38</v>
      </c>
      <c r="B957" t="s">
        <v>4</v>
      </c>
      <c r="C957" t="s">
        <v>21</v>
      </c>
      <c r="D957">
        <f ca="1">'2BAS Calcs'!N957</f>
        <v>9.8921703616579051E-8</v>
      </c>
    </row>
    <row r="958" spans="1:4" x14ac:dyDescent="0.35">
      <c r="A958" t="s">
        <v>39</v>
      </c>
      <c r="B958" t="s">
        <v>4</v>
      </c>
      <c r="C958" t="s">
        <v>21</v>
      </c>
      <c r="D958">
        <f ca="1">'2BAS Calcs'!N958</f>
        <v>9.8921703616579051E-8</v>
      </c>
    </row>
    <row r="959" spans="1:4" x14ac:dyDescent="0.35">
      <c r="A959" t="s">
        <v>7</v>
      </c>
      <c r="B959" t="s">
        <v>5</v>
      </c>
      <c r="C959" t="s">
        <v>21</v>
      </c>
      <c r="D959">
        <f ca="1">'2BAS Calcs'!N959</f>
        <v>0.91520619577174511</v>
      </c>
    </row>
    <row r="960" spans="1:4" x14ac:dyDescent="0.35">
      <c r="A960" t="s">
        <v>8</v>
      </c>
      <c r="B960" t="s">
        <v>5</v>
      </c>
      <c r="C960" t="s">
        <v>21</v>
      </c>
      <c r="D960">
        <f ca="1">'2BAS Calcs'!N960</f>
        <v>1.443858297507451</v>
      </c>
    </row>
    <row r="961" spans="1:4" x14ac:dyDescent="0.35">
      <c r="A961" t="s">
        <v>9</v>
      </c>
      <c r="B961" t="s">
        <v>5</v>
      </c>
      <c r="C961" t="s">
        <v>21</v>
      </c>
      <c r="D961">
        <f ca="1">'2BAS Calcs'!N961</f>
        <v>0.36129763387252434</v>
      </c>
    </row>
    <row r="962" spans="1:4" x14ac:dyDescent="0.35">
      <c r="A962" t="s">
        <v>10</v>
      </c>
      <c r="B962" t="s">
        <v>5</v>
      </c>
      <c r="C962" t="s">
        <v>21</v>
      </c>
      <c r="D962">
        <f ca="1">'2BAS Calcs'!N962</f>
        <v>7.09011051907249</v>
      </c>
    </row>
    <row r="963" spans="1:4" x14ac:dyDescent="0.35">
      <c r="A963" t="s">
        <v>11</v>
      </c>
      <c r="B963" t="s">
        <v>5</v>
      </c>
      <c r="C963" t="s">
        <v>21</v>
      </c>
      <c r="D963">
        <f ca="1">'2BAS Calcs'!N963</f>
        <v>3.6951491983167095</v>
      </c>
    </row>
    <row r="964" spans="1:4" x14ac:dyDescent="0.35">
      <c r="A964" t="s">
        <v>12</v>
      </c>
      <c r="B964" t="s">
        <v>5</v>
      </c>
      <c r="C964" t="s">
        <v>21</v>
      </c>
      <c r="D964">
        <f ca="1">'2BAS Calcs'!N964</f>
        <v>6.6140466750517005E-2</v>
      </c>
    </row>
    <row r="965" spans="1:4" x14ac:dyDescent="0.35">
      <c r="A965" t="s">
        <v>13</v>
      </c>
      <c r="B965" t="s">
        <v>5</v>
      </c>
      <c r="C965" t="s">
        <v>21</v>
      </c>
      <c r="D965">
        <f ca="1">'2BAS Calcs'!N965</f>
        <v>0.95241604740468855</v>
      </c>
    </row>
    <row r="966" spans="1:4" x14ac:dyDescent="0.35">
      <c r="A966" t="s">
        <v>14</v>
      </c>
      <c r="B966" t="s">
        <v>5</v>
      </c>
      <c r="C966" t="s">
        <v>21</v>
      </c>
      <c r="D966">
        <f ca="1">'2BAS Calcs'!N966</f>
        <v>0.23982956010471396</v>
      </c>
    </row>
    <row r="967" spans="1:4" x14ac:dyDescent="0.35">
      <c r="A967" t="s">
        <v>15</v>
      </c>
      <c r="B967" t="s">
        <v>5</v>
      </c>
      <c r="C967" t="s">
        <v>21</v>
      </c>
      <c r="D967">
        <f ca="1">'2BAS Calcs'!N967</f>
        <v>3.2876628243143937</v>
      </c>
    </row>
    <row r="968" spans="1:4" x14ac:dyDescent="0.35">
      <c r="A968" t="s">
        <v>16</v>
      </c>
      <c r="B968" t="s">
        <v>5</v>
      </c>
      <c r="C968" t="s">
        <v>21</v>
      </c>
      <c r="D968">
        <f ca="1">'2BAS Calcs'!N968</f>
        <v>2.5179127476139809</v>
      </c>
    </row>
    <row r="969" spans="1:4" x14ac:dyDescent="0.35">
      <c r="A969" t="s">
        <v>17</v>
      </c>
      <c r="B969" t="s">
        <v>5</v>
      </c>
      <c r="C969" t="s">
        <v>21</v>
      </c>
      <c r="D969">
        <f ca="1">'2BAS Calcs'!N969</f>
        <v>0.95048027713456529</v>
      </c>
    </row>
    <row r="970" spans="1:4" x14ac:dyDescent="0.35">
      <c r="A970" t="s">
        <v>18</v>
      </c>
      <c r="B970" t="s">
        <v>5</v>
      </c>
      <c r="C970" t="s">
        <v>21</v>
      </c>
      <c r="D970">
        <f ca="1">'2BAS Calcs'!N970</f>
        <v>11.897292549281454</v>
      </c>
    </row>
    <row r="971" spans="1:4" x14ac:dyDescent="0.35">
      <c r="A971" t="s">
        <v>19</v>
      </c>
      <c r="B971" t="s">
        <v>5</v>
      </c>
      <c r="C971" t="s">
        <v>21</v>
      </c>
      <c r="D971">
        <f ca="1">'2BAS Calcs'!N971</f>
        <v>45.575813700577129</v>
      </c>
    </row>
    <row r="972" spans="1:4" x14ac:dyDescent="0.35">
      <c r="A972" t="s">
        <v>20</v>
      </c>
      <c r="B972" t="s">
        <v>5</v>
      </c>
      <c r="C972" t="s">
        <v>21</v>
      </c>
      <c r="D972">
        <f ca="1">'2BAS Calcs'!N972</f>
        <v>24.436361060710979</v>
      </c>
    </row>
    <row r="973" spans="1:4" x14ac:dyDescent="0.35">
      <c r="A973" t="s">
        <v>21</v>
      </c>
      <c r="B973" t="s">
        <v>5</v>
      </c>
      <c r="C973" t="s">
        <v>21</v>
      </c>
      <c r="D973">
        <f ca="1">'2BAS Calcs'!N973</f>
        <v>38.99768367040226</v>
      </c>
    </row>
    <row r="974" spans="1:4" x14ac:dyDescent="0.35">
      <c r="A974" t="s">
        <v>22</v>
      </c>
      <c r="B974" t="s">
        <v>5</v>
      </c>
      <c r="C974" t="s">
        <v>21</v>
      </c>
      <c r="D974">
        <f ca="1">'2BAS Calcs'!N974</f>
        <v>14.797073238378738</v>
      </c>
    </row>
    <row r="975" spans="1:4" x14ac:dyDescent="0.35">
      <c r="A975" t="s">
        <v>23</v>
      </c>
      <c r="B975" t="s">
        <v>5</v>
      </c>
      <c r="C975" t="s">
        <v>21</v>
      </c>
      <c r="D975">
        <f ca="1">'2BAS Calcs'!N975</f>
        <v>9.8921703616579051E-8</v>
      </c>
    </row>
    <row r="976" spans="1:4" x14ac:dyDescent="0.35">
      <c r="A976" t="s">
        <v>24</v>
      </c>
      <c r="B976" t="s">
        <v>5</v>
      </c>
      <c r="C976" t="s">
        <v>21</v>
      </c>
      <c r="D976">
        <f ca="1">'2BAS Calcs'!N976</f>
        <v>2.8966123647953039</v>
      </c>
    </row>
    <row r="977" spans="1:4" x14ac:dyDescent="0.35">
      <c r="A977" t="s">
        <v>25</v>
      </c>
      <c r="B977" t="s">
        <v>5</v>
      </c>
      <c r="C977" t="s">
        <v>21</v>
      </c>
      <c r="D977">
        <f ca="1">'2BAS Calcs'!N977</f>
        <v>0.25343401264034077</v>
      </c>
    </row>
    <row r="978" spans="1:4" x14ac:dyDescent="0.35">
      <c r="A978" t="s">
        <v>26</v>
      </c>
      <c r="B978" t="s">
        <v>5</v>
      </c>
      <c r="C978" t="s">
        <v>21</v>
      </c>
      <c r="D978">
        <f ca="1">'2BAS Calcs'!N978</f>
        <v>9.8921703616579051E-8</v>
      </c>
    </row>
    <row r="979" spans="1:4" x14ac:dyDescent="0.35">
      <c r="A979" t="s">
        <v>27</v>
      </c>
      <c r="B979" t="s">
        <v>5</v>
      </c>
      <c r="C979" t="s">
        <v>21</v>
      </c>
      <c r="D979">
        <f ca="1">'2BAS Calcs'!N979</f>
        <v>9.8921703616579051E-8</v>
      </c>
    </row>
    <row r="980" spans="1:4" x14ac:dyDescent="0.35">
      <c r="A980" t="s">
        <v>28</v>
      </c>
      <c r="B980" t="s">
        <v>5</v>
      </c>
      <c r="C980" t="s">
        <v>21</v>
      </c>
      <c r="D980">
        <f ca="1">'2BAS Calcs'!N980</f>
        <v>9.8921703616579051E-8</v>
      </c>
    </row>
    <row r="981" spans="1:4" x14ac:dyDescent="0.35">
      <c r="A981" t="s">
        <v>29</v>
      </c>
      <c r="B981" t="s">
        <v>5</v>
      </c>
      <c r="C981" t="s">
        <v>21</v>
      </c>
      <c r="D981">
        <f ca="1">'2BAS Calcs'!N981</f>
        <v>9.8921703616579051E-8</v>
      </c>
    </row>
    <row r="982" spans="1:4" x14ac:dyDescent="0.35">
      <c r="A982" t="s">
        <v>30</v>
      </c>
      <c r="B982" t="s">
        <v>5</v>
      </c>
      <c r="C982" t="s">
        <v>21</v>
      </c>
      <c r="D982">
        <f ca="1">'2BAS Calcs'!N982</f>
        <v>9.8921703616579051E-8</v>
      </c>
    </row>
    <row r="983" spans="1:4" x14ac:dyDescent="0.35">
      <c r="A983" t="s">
        <v>31</v>
      </c>
      <c r="B983" t="s">
        <v>5</v>
      </c>
      <c r="C983" t="s">
        <v>21</v>
      </c>
      <c r="D983">
        <f ca="1">'2BAS Calcs'!N983</f>
        <v>9.8921703616579051E-8</v>
      </c>
    </row>
    <row r="984" spans="1:4" x14ac:dyDescent="0.35">
      <c r="A984" t="s">
        <v>32</v>
      </c>
      <c r="B984" t="s">
        <v>5</v>
      </c>
      <c r="C984" t="s">
        <v>21</v>
      </c>
      <c r="D984">
        <f ca="1">'2BAS Calcs'!N984</f>
        <v>9.8921703616579051E-8</v>
      </c>
    </row>
    <row r="985" spans="1:4" x14ac:dyDescent="0.35">
      <c r="A985" t="s">
        <v>33</v>
      </c>
      <c r="B985" t="s">
        <v>5</v>
      </c>
      <c r="C985" t="s">
        <v>21</v>
      </c>
      <c r="D985">
        <f ca="1">'2BAS Calcs'!N985</f>
        <v>9.8921703616579051E-8</v>
      </c>
    </row>
    <row r="986" spans="1:4" x14ac:dyDescent="0.35">
      <c r="A986" t="s">
        <v>34</v>
      </c>
      <c r="B986" t="s">
        <v>5</v>
      </c>
      <c r="C986" t="s">
        <v>21</v>
      </c>
      <c r="D986">
        <f ca="1">'2BAS Calcs'!N986</f>
        <v>9.8921703616579051E-8</v>
      </c>
    </row>
    <row r="987" spans="1:4" x14ac:dyDescent="0.35">
      <c r="A987" t="s">
        <v>35</v>
      </c>
      <c r="B987" t="s">
        <v>5</v>
      </c>
      <c r="C987" t="s">
        <v>21</v>
      </c>
      <c r="D987">
        <f ca="1">'2BAS Calcs'!N987</f>
        <v>9.8921703616579051E-8</v>
      </c>
    </row>
    <row r="988" spans="1:4" x14ac:dyDescent="0.35">
      <c r="A988" t="s">
        <v>36</v>
      </c>
      <c r="B988" t="s">
        <v>5</v>
      </c>
      <c r="C988" t="s">
        <v>21</v>
      </c>
      <c r="D988">
        <f ca="1">'2BAS Calcs'!N988</f>
        <v>9.8921703616579051E-8</v>
      </c>
    </row>
    <row r="989" spans="1:4" x14ac:dyDescent="0.35">
      <c r="A989" t="s">
        <v>37</v>
      </c>
      <c r="B989" t="s">
        <v>5</v>
      </c>
      <c r="C989" t="s">
        <v>21</v>
      </c>
      <c r="D989">
        <f ca="1">'2BAS Calcs'!N989</f>
        <v>9.8921703616579051E-8</v>
      </c>
    </row>
    <row r="990" spans="1:4" x14ac:dyDescent="0.35">
      <c r="A990" t="s">
        <v>38</v>
      </c>
      <c r="B990" t="s">
        <v>5</v>
      </c>
      <c r="C990" t="s">
        <v>21</v>
      </c>
      <c r="D990">
        <f ca="1">'2BAS Calcs'!N990</f>
        <v>9.8921703616579051E-8</v>
      </c>
    </row>
    <row r="991" spans="1:4" x14ac:dyDescent="0.35">
      <c r="A991" t="s">
        <v>39</v>
      </c>
      <c r="B991" t="s">
        <v>5</v>
      </c>
      <c r="C991" t="s">
        <v>21</v>
      </c>
      <c r="D991">
        <f ca="1">'2BAS Calcs'!N991</f>
        <v>9.8921703616579051E-8</v>
      </c>
    </row>
    <row r="992" spans="1:4" x14ac:dyDescent="0.35">
      <c r="A992" t="s">
        <v>7</v>
      </c>
      <c r="B992" t="s">
        <v>4</v>
      </c>
      <c r="C992" t="s">
        <v>22</v>
      </c>
      <c r="D992">
        <f ca="1">'2BAS Calcs'!N992</f>
        <v>0.2217080121186249</v>
      </c>
    </row>
    <row r="993" spans="1:4" x14ac:dyDescent="0.35">
      <c r="A993" t="s">
        <v>8</v>
      </c>
      <c r="B993" t="s">
        <v>4</v>
      </c>
      <c r="C993" t="s">
        <v>22</v>
      </c>
      <c r="D993">
        <f ca="1">'2BAS Calcs'!N993</f>
        <v>0.38675125576523367</v>
      </c>
    </row>
    <row r="994" spans="1:4" x14ac:dyDescent="0.35">
      <c r="A994" t="s">
        <v>9</v>
      </c>
      <c r="B994" t="s">
        <v>4</v>
      </c>
      <c r="C994" t="s">
        <v>22</v>
      </c>
      <c r="D994">
        <f ca="1">'2BAS Calcs'!N994</f>
        <v>0.65120745694995874</v>
      </c>
    </row>
    <row r="995" spans="1:4" x14ac:dyDescent="0.35">
      <c r="A995" t="s">
        <v>10</v>
      </c>
      <c r="B995" t="s">
        <v>4</v>
      </c>
      <c r="C995" t="s">
        <v>22</v>
      </c>
      <c r="D995">
        <f ca="1">'2BAS Calcs'!N995</f>
        <v>3.392043936121147</v>
      </c>
    </row>
    <row r="996" spans="1:4" x14ac:dyDescent="0.35">
      <c r="A996" t="s">
        <v>11</v>
      </c>
      <c r="B996" t="s">
        <v>4</v>
      </c>
      <c r="C996" t="s">
        <v>22</v>
      </c>
      <c r="D996">
        <f ca="1">'2BAS Calcs'!N996</f>
        <v>2.4069326899274934E-2</v>
      </c>
    </row>
    <row r="997" spans="1:4" x14ac:dyDescent="0.35">
      <c r="A997" t="s">
        <v>12</v>
      </c>
      <c r="B997" t="s">
        <v>4</v>
      </c>
      <c r="C997" t="s">
        <v>22</v>
      </c>
      <c r="D997">
        <f ca="1">'2BAS Calcs'!N997</f>
        <v>0.14816880386735243</v>
      </c>
    </row>
    <row r="998" spans="1:4" x14ac:dyDescent="0.35">
      <c r="A998" t="s">
        <v>13</v>
      </c>
      <c r="B998" t="s">
        <v>4</v>
      </c>
      <c r="C998" t="s">
        <v>22</v>
      </c>
      <c r="D998">
        <f ca="1">'2BAS Calcs'!N998</f>
        <v>2.9656845112699357</v>
      </c>
    </row>
    <row r="999" spans="1:4" x14ac:dyDescent="0.35">
      <c r="A999" t="s">
        <v>14</v>
      </c>
      <c r="B999" t="s">
        <v>4</v>
      </c>
      <c r="C999" t="s">
        <v>22</v>
      </c>
      <c r="D999">
        <f ca="1">'2BAS Calcs'!N999</f>
        <v>0.45191319979829037</v>
      </c>
    </row>
    <row r="1000" spans="1:4" x14ac:dyDescent="0.35">
      <c r="A1000" t="s">
        <v>15</v>
      </c>
      <c r="B1000" t="s">
        <v>4</v>
      </c>
      <c r="C1000" t="s">
        <v>22</v>
      </c>
      <c r="D1000">
        <f ca="1">'2BAS Calcs'!N1000</f>
        <v>2.8141541551275595</v>
      </c>
    </row>
    <row r="1001" spans="1:4" x14ac:dyDescent="0.35">
      <c r="A1001" t="s">
        <v>16</v>
      </c>
      <c r="B1001" t="s">
        <v>4</v>
      </c>
      <c r="C1001" t="s">
        <v>22</v>
      </c>
      <c r="D1001">
        <f ca="1">'2BAS Calcs'!N1001</f>
        <v>4.405286780336354</v>
      </c>
    </row>
    <row r="1002" spans="1:4" x14ac:dyDescent="0.35">
      <c r="A1002" t="s">
        <v>17</v>
      </c>
      <c r="B1002" t="s">
        <v>4</v>
      </c>
      <c r="C1002" t="s">
        <v>22</v>
      </c>
      <c r="D1002">
        <f ca="1">'2BAS Calcs'!N1002</f>
        <v>4.0809506599904752</v>
      </c>
    </row>
    <row r="1003" spans="1:4" x14ac:dyDescent="0.35">
      <c r="A1003" t="s">
        <v>18</v>
      </c>
      <c r="B1003" t="s">
        <v>4</v>
      </c>
      <c r="C1003" t="s">
        <v>22</v>
      </c>
      <c r="D1003">
        <f ca="1">'2BAS Calcs'!N1003</f>
        <v>11.936074491190185</v>
      </c>
    </row>
    <row r="1004" spans="1:4" x14ac:dyDescent="0.35">
      <c r="A1004" t="s">
        <v>19</v>
      </c>
      <c r="B1004" t="s">
        <v>4</v>
      </c>
      <c r="C1004" t="s">
        <v>22</v>
      </c>
      <c r="D1004">
        <f ca="1">'2BAS Calcs'!N1004</f>
        <v>17.276526858395677</v>
      </c>
    </row>
    <row r="1005" spans="1:4" x14ac:dyDescent="0.35">
      <c r="A1005" t="s">
        <v>20</v>
      </c>
      <c r="B1005" t="s">
        <v>4</v>
      </c>
      <c r="C1005" t="s">
        <v>22</v>
      </c>
      <c r="D1005">
        <f ca="1">'2BAS Calcs'!N1005</f>
        <v>3.593892692312715</v>
      </c>
    </row>
    <row r="1006" spans="1:4" x14ac:dyDescent="0.35">
      <c r="A1006" t="s">
        <v>21</v>
      </c>
      <c r="B1006" t="s">
        <v>4</v>
      </c>
      <c r="C1006" t="s">
        <v>22</v>
      </c>
      <c r="D1006">
        <f ca="1">'2BAS Calcs'!N1006</f>
        <v>5.1914064696157549</v>
      </c>
    </row>
    <row r="1007" spans="1:4" x14ac:dyDescent="0.35">
      <c r="A1007" t="s">
        <v>22</v>
      </c>
      <c r="B1007" t="s">
        <v>4</v>
      </c>
      <c r="C1007" t="s">
        <v>22</v>
      </c>
      <c r="D1007">
        <f ca="1">'2BAS Calcs'!N1007</f>
        <v>14.135862739533396</v>
      </c>
    </row>
    <row r="1008" spans="1:4" x14ac:dyDescent="0.35">
      <c r="A1008" t="s">
        <v>23</v>
      </c>
      <c r="B1008" t="s">
        <v>4</v>
      </c>
      <c r="C1008" t="s">
        <v>22</v>
      </c>
      <c r="D1008">
        <f ca="1">'2BAS Calcs'!N1008</f>
        <v>3.2257101453810837E-7</v>
      </c>
    </row>
    <row r="1009" spans="1:4" x14ac:dyDescent="0.35">
      <c r="A1009" t="s">
        <v>24</v>
      </c>
      <c r="B1009" t="s">
        <v>4</v>
      </c>
      <c r="C1009" t="s">
        <v>22</v>
      </c>
      <c r="D1009">
        <f ca="1">'2BAS Calcs'!N1009</f>
        <v>469.57130445530981</v>
      </c>
    </row>
    <row r="1010" spans="1:4" x14ac:dyDescent="0.35">
      <c r="A1010" t="s">
        <v>25</v>
      </c>
      <c r="B1010" t="s">
        <v>4</v>
      </c>
      <c r="C1010" t="s">
        <v>22</v>
      </c>
      <c r="D1010">
        <f ca="1">'2BAS Calcs'!N1010</f>
        <v>75.081320923031953</v>
      </c>
    </row>
    <row r="1011" spans="1:4" x14ac:dyDescent="0.35">
      <c r="A1011" t="s">
        <v>26</v>
      </c>
      <c r="B1011" t="s">
        <v>4</v>
      </c>
      <c r="C1011" t="s">
        <v>22</v>
      </c>
      <c r="D1011">
        <f ca="1">'2BAS Calcs'!N1011</f>
        <v>3.2257101453810837E-7</v>
      </c>
    </row>
    <row r="1012" spans="1:4" x14ac:dyDescent="0.35">
      <c r="A1012" t="s">
        <v>27</v>
      </c>
      <c r="B1012" t="s">
        <v>4</v>
      </c>
      <c r="C1012" t="s">
        <v>22</v>
      </c>
      <c r="D1012">
        <f ca="1">'2BAS Calcs'!N1012</f>
        <v>3.2257101453810837E-7</v>
      </c>
    </row>
    <row r="1013" spans="1:4" x14ac:dyDescent="0.35">
      <c r="A1013" t="s">
        <v>28</v>
      </c>
      <c r="B1013" t="s">
        <v>4</v>
      </c>
      <c r="C1013" t="s">
        <v>22</v>
      </c>
      <c r="D1013">
        <f ca="1">'2BAS Calcs'!N1013</f>
        <v>3.2257101453810837E-7</v>
      </c>
    </row>
    <row r="1014" spans="1:4" x14ac:dyDescent="0.35">
      <c r="A1014" t="s">
        <v>29</v>
      </c>
      <c r="B1014" t="s">
        <v>4</v>
      </c>
      <c r="C1014" t="s">
        <v>22</v>
      </c>
      <c r="D1014">
        <f ca="1">'2BAS Calcs'!N1014</f>
        <v>3.2257101453810837E-7</v>
      </c>
    </row>
    <row r="1015" spans="1:4" x14ac:dyDescent="0.35">
      <c r="A1015" t="s">
        <v>30</v>
      </c>
      <c r="B1015" t="s">
        <v>4</v>
      </c>
      <c r="C1015" t="s">
        <v>22</v>
      </c>
      <c r="D1015">
        <f ca="1">'2BAS Calcs'!N1015</f>
        <v>3.2257101453810837E-7</v>
      </c>
    </row>
    <row r="1016" spans="1:4" x14ac:dyDescent="0.35">
      <c r="A1016" t="s">
        <v>31</v>
      </c>
      <c r="B1016" t="s">
        <v>4</v>
      </c>
      <c r="C1016" t="s">
        <v>22</v>
      </c>
      <c r="D1016">
        <f ca="1">'2BAS Calcs'!N1016</f>
        <v>3.2257101453810837E-7</v>
      </c>
    </row>
    <row r="1017" spans="1:4" x14ac:dyDescent="0.35">
      <c r="A1017" t="s">
        <v>32</v>
      </c>
      <c r="B1017" t="s">
        <v>4</v>
      </c>
      <c r="C1017" t="s">
        <v>22</v>
      </c>
      <c r="D1017">
        <f ca="1">'2BAS Calcs'!N1017</f>
        <v>3.2257101453810837E-7</v>
      </c>
    </row>
    <row r="1018" spans="1:4" x14ac:dyDescent="0.35">
      <c r="A1018" t="s">
        <v>33</v>
      </c>
      <c r="B1018" t="s">
        <v>4</v>
      </c>
      <c r="C1018" t="s">
        <v>22</v>
      </c>
      <c r="D1018">
        <f ca="1">'2BAS Calcs'!N1018</f>
        <v>3.2257101453810837E-7</v>
      </c>
    </row>
    <row r="1019" spans="1:4" x14ac:dyDescent="0.35">
      <c r="A1019" t="s">
        <v>34</v>
      </c>
      <c r="B1019" t="s">
        <v>4</v>
      </c>
      <c r="C1019" t="s">
        <v>22</v>
      </c>
      <c r="D1019">
        <f ca="1">'2BAS Calcs'!N1019</f>
        <v>3.2257101453810837E-7</v>
      </c>
    </row>
    <row r="1020" spans="1:4" x14ac:dyDescent="0.35">
      <c r="A1020" t="s">
        <v>35</v>
      </c>
      <c r="B1020" t="s">
        <v>4</v>
      </c>
      <c r="C1020" t="s">
        <v>22</v>
      </c>
      <c r="D1020">
        <f ca="1">'2BAS Calcs'!N1020</f>
        <v>3.2257101453810837E-7</v>
      </c>
    </row>
    <row r="1021" spans="1:4" x14ac:dyDescent="0.35">
      <c r="A1021" t="s">
        <v>36</v>
      </c>
      <c r="B1021" t="s">
        <v>4</v>
      </c>
      <c r="C1021" t="s">
        <v>22</v>
      </c>
      <c r="D1021">
        <f ca="1">'2BAS Calcs'!N1021</f>
        <v>3.2257101453810837E-7</v>
      </c>
    </row>
    <row r="1022" spans="1:4" x14ac:dyDescent="0.35">
      <c r="A1022" t="s">
        <v>37</v>
      </c>
      <c r="B1022" t="s">
        <v>4</v>
      </c>
      <c r="C1022" t="s">
        <v>22</v>
      </c>
      <c r="D1022">
        <f ca="1">'2BAS Calcs'!N1022</f>
        <v>3.2257101453810837E-7</v>
      </c>
    </row>
    <row r="1023" spans="1:4" x14ac:dyDescent="0.35">
      <c r="A1023" t="s">
        <v>38</v>
      </c>
      <c r="B1023" t="s">
        <v>4</v>
      </c>
      <c r="C1023" t="s">
        <v>22</v>
      </c>
      <c r="D1023">
        <f ca="1">'2BAS Calcs'!N1023</f>
        <v>3.2257101453810837E-7</v>
      </c>
    </row>
    <row r="1024" spans="1:4" x14ac:dyDescent="0.35">
      <c r="A1024" t="s">
        <v>39</v>
      </c>
      <c r="B1024" t="s">
        <v>4</v>
      </c>
      <c r="C1024" t="s">
        <v>22</v>
      </c>
      <c r="D1024">
        <f ca="1">'2BAS Calcs'!N1024</f>
        <v>3.2257101453810837E-7</v>
      </c>
    </row>
    <row r="1025" spans="1:4" x14ac:dyDescent="0.35">
      <c r="A1025" t="s">
        <v>7</v>
      </c>
      <c r="B1025" t="s">
        <v>5</v>
      </c>
      <c r="C1025" t="s">
        <v>22</v>
      </c>
      <c r="D1025">
        <f ca="1">'2BAS Calcs'!N1025</f>
        <v>2.9843702674786567</v>
      </c>
    </row>
    <row r="1026" spans="1:4" x14ac:dyDescent="0.35">
      <c r="A1026" t="s">
        <v>8</v>
      </c>
      <c r="B1026" t="s">
        <v>5</v>
      </c>
      <c r="C1026" t="s">
        <v>22</v>
      </c>
      <c r="D1026">
        <f ca="1">'2BAS Calcs'!N1026</f>
        <v>4.7082371092341981</v>
      </c>
    </row>
    <row r="1027" spans="1:4" x14ac:dyDescent="0.35">
      <c r="A1027" t="s">
        <v>9</v>
      </c>
      <c r="B1027" t="s">
        <v>5</v>
      </c>
      <c r="C1027" t="s">
        <v>22</v>
      </c>
      <c r="D1027">
        <f ca="1">'2BAS Calcs'!N1027</f>
        <v>1.1781453416957293</v>
      </c>
    </row>
    <row r="1028" spans="1:4" x14ac:dyDescent="0.35">
      <c r="A1028" t="s">
        <v>10</v>
      </c>
      <c r="B1028" t="s">
        <v>5</v>
      </c>
      <c r="C1028" t="s">
        <v>22</v>
      </c>
      <c r="D1028">
        <f ca="1">'2BAS Calcs'!N1028</f>
        <v>23.119942941836076</v>
      </c>
    </row>
    <row r="1029" spans="1:4" x14ac:dyDescent="0.35">
      <c r="A1029" t="s">
        <v>11</v>
      </c>
      <c r="B1029" t="s">
        <v>5</v>
      </c>
      <c r="C1029" t="s">
        <v>22</v>
      </c>
      <c r="D1029">
        <f ca="1">'2BAS Calcs'!N1029</f>
        <v>12.049408594808419</v>
      </c>
    </row>
    <row r="1030" spans="1:4" x14ac:dyDescent="0.35">
      <c r="A1030" t="s">
        <v>12</v>
      </c>
      <c r="B1030" t="s">
        <v>5</v>
      </c>
      <c r="C1030" t="s">
        <v>22</v>
      </c>
      <c r="D1030">
        <f ca="1">'2BAS Calcs'!N1030</f>
        <v>0.21567559677735468</v>
      </c>
    </row>
    <row r="1031" spans="1:4" x14ac:dyDescent="0.35">
      <c r="A1031" t="s">
        <v>13</v>
      </c>
      <c r="B1031" t="s">
        <v>5</v>
      </c>
      <c r="C1031" t="s">
        <v>22</v>
      </c>
      <c r="D1031">
        <f ca="1">'2BAS Calcs'!N1031</f>
        <v>3.1057068311772968</v>
      </c>
    </row>
    <row r="1032" spans="1:4" x14ac:dyDescent="0.35">
      <c r="A1032" t="s">
        <v>14</v>
      </c>
      <c r="B1032" t="s">
        <v>5</v>
      </c>
      <c r="C1032" t="s">
        <v>22</v>
      </c>
      <c r="D1032">
        <f ca="1">'2BAS Calcs'!N1032</f>
        <v>0.78205349979678385</v>
      </c>
    </row>
    <row r="1033" spans="1:4" x14ac:dyDescent="0.35">
      <c r="A1033" t="s">
        <v>15</v>
      </c>
      <c r="B1033" t="s">
        <v>5</v>
      </c>
      <c r="C1033" t="s">
        <v>22</v>
      </c>
      <c r="D1033">
        <f ca="1">'2BAS Calcs'!N1033</f>
        <v>10.720647683230744</v>
      </c>
    </row>
    <row r="1034" spans="1:4" x14ac:dyDescent="0.35">
      <c r="A1034" t="s">
        <v>16</v>
      </c>
      <c r="B1034" t="s">
        <v>5</v>
      </c>
      <c r="C1034" t="s">
        <v>22</v>
      </c>
      <c r="D1034">
        <f ca="1">'2BAS Calcs'!N1034</f>
        <v>8.2105912031639736</v>
      </c>
    </row>
    <row r="1035" spans="1:4" x14ac:dyDescent="0.35">
      <c r="A1035" t="s">
        <v>17</v>
      </c>
      <c r="B1035" t="s">
        <v>5</v>
      </c>
      <c r="C1035" t="s">
        <v>22</v>
      </c>
      <c r="D1035">
        <f ca="1">'2BAS Calcs'!N1035</f>
        <v>3.0993945320850105</v>
      </c>
    </row>
    <row r="1036" spans="1:4" x14ac:dyDescent="0.35">
      <c r="A1036" t="s">
        <v>18</v>
      </c>
      <c r="B1036" t="s">
        <v>5</v>
      </c>
      <c r="C1036" t="s">
        <v>22</v>
      </c>
      <c r="D1036">
        <f ca="1">'2BAS Calcs'!N1036</f>
        <v>38.795548272737214</v>
      </c>
    </row>
    <row r="1037" spans="1:4" x14ac:dyDescent="0.35">
      <c r="A1037" t="s">
        <v>19</v>
      </c>
      <c r="B1037" t="s">
        <v>5</v>
      </c>
      <c r="C1037" t="s">
        <v>22</v>
      </c>
      <c r="D1037">
        <f ca="1">'2BAS Calcs'!N1037</f>
        <v>148.61689524452402</v>
      </c>
    </row>
    <row r="1038" spans="1:4" x14ac:dyDescent="0.35">
      <c r="A1038" t="s">
        <v>20</v>
      </c>
      <c r="B1038" t="s">
        <v>5</v>
      </c>
      <c r="C1038" t="s">
        <v>22</v>
      </c>
      <c r="D1038">
        <f ca="1">'2BAS Calcs'!N1038</f>
        <v>79.683845817349876</v>
      </c>
    </row>
    <row r="1039" spans="1:4" x14ac:dyDescent="0.35">
      <c r="A1039" t="s">
        <v>21</v>
      </c>
      <c r="B1039" t="s">
        <v>5</v>
      </c>
      <c r="C1039" t="s">
        <v>22</v>
      </c>
      <c r="D1039">
        <f ca="1">'2BAS Calcs'!N1039</f>
        <v>127.16645514877261</v>
      </c>
    </row>
    <row r="1040" spans="1:4" x14ac:dyDescent="0.35">
      <c r="A1040" t="s">
        <v>22</v>
      </c>
      <c r="B1040" t="s">
        <v>5</v>
      </c>
      <c r="C1040" t="s">
        <v>22</v>
      </c>
      <c r="D1040">
        <f ca="1">'2BAS Calcs'!N1040</f>
        <v>48.251361957928921</v>
      </c>
    </row>
    <row r="1041" spans="1:4" x14ac:dyDescent="0.35">
      <c r="A1041" t="s">
        <v>23</v>
      </c>
      <c r="B1041" t="s">
        <v>5</v>
      </c>
      <c r="C1041" t="s">
        <v>22</v>
      </c>
      <c r="D1041">
        <f ca="1">'2BAS Calcs'!N1041</f>
        <v>3.2257101453810837E-7</v>
      </c>
    </row>
    <row r="1042" spans="1:4" x14ac:dyDescent="0.35">
      <c r="A1042" t="s">
        <v>24</v>
      </c>
      <c r="B1042" t="s">
        <v>5</v>
      </c>
      <c r="C1042" t="s">
        <v>22</v>
      </c>
      <c r="D1042">
        <f ca="1">'2BAS Calcs'!N1042</f>
        <v>9.4454821851557078</v>
      </c>
    </row>
    <row r="1043" spans="1:4" x14ac:dyDescent="0.35">
      <c r="A1043" t="s">
        <v>25</v>
      </c>
      <c r="B1043" t="s">
        <v>5</v>
      </c>
      <c r="C1043" t="s">
        <v>22</v>
      </c>
      <c r="D1043">
        <f ca="1">'2BAS Calcs'!N1043</f>
        <v>0.82641587828616103</v>
      </c>
    </row>
    <row r="1044" spans="1:4" x14ac:dyDescent="0.35">
      <c r="A1044" t="s">
        <v>26</v>
      </c>
      <c r="B1044" t="s">
        <v>5</v>
      </c>
      <c r="C1044" t="s">
        <v>22</v>
      </c>
      <c r="D1044">
        <f ca="1">'2BAS Calcs'!N1044</f>
        <v>3.2257101453810837E-7</v>
      </c>
    </row>
    <row r="1045" spans="1:4" x14ac:dyDescent="0.35">
      <c r="A1045" t="s">
        <v>27</v>
      </c>
      <c r="B1045" t="s">
        <v>5</v>
      </c>
      <c r="C1045" t="s">
        <v>22</v>
      </c>
      <c r="D1045">
        <f ca="1">'2BAS Calcs'!N1045</f>
        <v>3.2257101453810837E-7</v>
      </c>
    </row>
    <row r="1046" spans="1:4" x14ac:dyDescent="0.35">
      <c r="A1046" t="s">
        <v>28</v>
      </c>
      <c r="B1046" t="s">
        <v>5</v>
      </c>
      <c r="C1046" t="s">
        <v>22</v>
      </c>
      <c r="D1046">
        <f ca="1">'2BAS Calcs'!N1046</f>
        <v>3.2257101453810837E-7</v>
      </c>
    </row>
    <row r="1047" spans="1:4" x14ac:dyDescent="0.35">
      <c r="A1047" t="s">
        <v>29</v>
      </c>
      <c r="B1047" t="s">
        <v>5</v>
      </c>
      <c r="C1047" t="s">
        <v>22</v>
      </c>
      <c r="D1047">
        <f ca="1">'2BAS Calcs'!N1047</f>
        <v>3.2257101453810837E-7</v>
      </c>
    </row>
    <row r="1048" spans="1:4" x14ac:dyDescent="0.35">
      <c r="A1048" t="s">
        <v>30</v>
      </c>
      <c r="B1048" t="s">
        <v>5</v>
      </c>
      <c r="C1048" t="s">
        <v>22</v>
      </c>
      <c r="D1048">
        <f ca="1">'2BAS Calcs'!N1048</f>
        <v>3.2257101453810837E-7</v>
      </c>
    </row>
    <row r="1049" spans="1:4" x14ac:dyDescent="0.35">
      <c r="A1049" t="s">
        <v>31</v>
      </c>
      <c r="B1049" t="s">
        <v>5</v>
      </c>
      <c r="C1049" t="s">
        <v>22</v>
      </c>
      <c r="D1049">
        <f ca="1">'2BAS Calcs'!N1049</f>
        <v>3.2257101453810837E-7</v>
      </c>
    </row>
    <row r="1050" spans="1:4" x14ac:dyDescent="0.35">
      <c r="A1050" t="s">
        <v>32</v>
      </c>
      <c r="B1050" t="s">
        <v>5</v>
      </c>
      <c r="C1050" t="s">
        <v>22</v>
      </c>
      <c r="D1050">
        <f ca="1">'2BAS Calcs'!N1050</f>
        <v>3.2257101453810837E-7</v>
      </c>
    </row>
    <row r="1051" spans="1:4" x14ac:dyDescent="0.35">
      <c r="A1051" t="s">
        <v>33</v>
      </c>
      <c r="B1051" t="s">
        <v>5</v>
      </c>
      <c r="C1051" t="s">
        <v>22</v>
      </c>
      <c r="D1051">
        <f ca="1">'2BAS Calcs'!N1051</f>
        <v>3.2257101453810837E-7</v>
      </c>
    </row>
    <row r="1052" spans="1:4" x14ac:dyDescent="0.35">
      <c r="A1052" t="s">
        <v>34</v>
      </c>
      <c r="B1052" t="s">
        <v>5</v>
      </c>
      <c r="C1052" t="s">
        <v>22</v>
      </c>
      <c r="D1052">
        <f ca="1">'2BAS Calcs'!N1052</f>
        <v>3.2257101453810837E-7</v>
      </c>
    </row>
    <row r="1053" spans="1:4" x14ac:dyDescent="0.35">
      <c r="A1053" t="s">
        <v>35</v>
      </c>
      <c r="B1053" t="s">
        <v>5</v>
      </c>
      <c r="C1053" t="s">
        <v>22</v>
      </c>
      <c r="D1053">
        <f ca="1">'2BAS Calcs'!N1053</f>
        <v>3.2257101453810837E-7</v>
      </c>
    </row>
    <row r="1054" spans="1:4" x14ac:dyDescent="0.35">
      <c r="A1054" t="s">
        <v>36</v>
      </c>
      <c r="B1054" t="s">
        <v>5</v>
      </c>
      <c r="C1054" t="s">
        <v>22</v>
      </c>
      <c r="D1054">
        <f ca="1">'2BAS Calcs'!N1054</f>
        <v>3.2257101453810837E-7</v>
      </c>
    </row>
    <row r="1055" spans="1:4" x14ac:dyDescent="0.35">
      <c r="A1055" t="s">
        <v>37</v>
      </c>
      <c r="B1055" t="s">
        <v>5</v>
      </c>
      <c r="C1055" t="s">
        <v>22</v>
      </c>
      <c r="D1055">
        <f ca="1">'2BAS Calcs'!N1055</f>
        <v>3.2257101453810837E-7</v>
      </c>
    </row>
    <row r="1056" spans="1:4" x14ac:dyDescent="0.35">
      <c r="A1056" t="s">
        <v>38</v>
      </c>
      <c r="B1056" t="s">
        <v>5</v>
      </c>
      <c r="C1056" t="s">
        <v>22</v>
      </c>
      <c r="D1056">
        <f ca="1">'2BAS Calcs'!N1056</f>
        <v>3.2257101453810837E-7</v>
      </c>
    </row>
    <row r="1057" spans="1:4" x14ac:dyDescent="0.35">
      <c r="A1057" t="s">
        <v>39</v>
      </c>
      <c r="B1057" t="s">
        <v>5</v>
      </c>
      <c r="C1057" t="s">
        <v>22</v>
      </c>
      <c r="D1057">
        <f ca="1">'2BAS Calcs'!N1057</f>
        <v>3.2257101453810837E-7</v>
      </c>
    </row>
    <row r="1058" spans="1:4" x14ac:dyDescent="0.35">
      <c r="A1058" t="s">
        <v>7</v>
      </c>
      <c r="B1058" t="s">
        <v>4</v>
      </c>
      <c r="C1058" t="s">
        <v>23</v>
      </c>
      <c r="D1058">
        <f ca="1">'2BAS Calcs'!N1058</f>
        <v>1.5828424341563176</v>
      </c>
    </row>
    <row r="1059" spans="1:4" x14ac:dyDescent="0.35">
      <c r="A1059" t="s">
        <v>8</v>
      </c>
      <c r="B1059" t="s">
        <v>4</v>
      </c>
      <c r="C1059" t="s">
        <v>23</v>
      </c>
      <c r="D1059">
        <f ca="1">'2BAS Calcs'!N1059</f>
        <v>2.7611374674223113</v>
      </c>
    </row>
    <row r="1060" spans="1:4" x14ac:dyDescent="0.35">
      <c r="A1060" t="s">
        <v>9</v>
      </c>
      <c r="B1060" t="s">
        <v>4</v>
      </c>
      <c r="C1060" t="s">
        <v>23</v>
      </c>
      <c r="D1060">
        <f ca="1">'2BAS Calcs'!N1060</f>
        <v>4.6491725150100152</v>
      </c>
    </row>
    <row r="1061" spans="1:4" x14ac:dyDescent="0.35">
      <c r="A1061" t="s">
        <v>10</v>
      </c>
      <c r="B1061" t="s">
        <v>4</v>
      </c>
      <c r="C1061" t="s">
        <v>23</v>
      </c>
      <c r="D1061">
        <f ca="1">'2BAS Calcs'!N1061</f>
        <v>24.216856347719407</v>
      </c>
    </row>
    <row r="1062" spans="1:4" x14ac:dyDescent="0.35">
      <c r="A1062" t="s">
        <v>11</v>
      </c>
      <c r="B1062" t="s">
        <v>4</v>
      </c>
      <c r="C1062" t="s">
        <v>23</v>
      </c>
      <c r="D1062">
        <f ca="1">'2BAS Calcs'!N1062</f>
        <v>0.17183840860639785</v>
      </c>
    </row>
    <row r="1063" spans="1:4" x14ac:dyDescent="0.35">
      <c r="A1063" t="s">
        <v>12</v>
      </c>
      <c r="B1063" t="s">
        <v>4</v>
      </c>
      <c r="C1063" t="s">
        <v>23</v>
      </c>
      <c r="D1063">
        <f ca="1">'2BAS Calcs'!N1063</f>
        <v>1.0578231609146627</v>
      </c>
    </row>
    <row r="1064" spans="1:4" x14ac:dyDescent="0.35">
      <c r="A1064" t="s">
        <v>13</v>
      </c>
      <c r="B1064" t="s">
        <v>4</v>
      </c>
      <c r="C1064" t="s">
        <v>23</v>
      </c>
      <c r="D1064">
        <f ca="1">'2BAS Calcs'!N1064</f>
        <v>21.172943845829785</v>
      </c>
    </row>
    <row r="1065" spans="1:4" x14ac:dyDescent="0.35">
      <c r="A1065" t="s">
        <v>14</v>
      </c>
      <c r="B1065" t="s">
        <v>4</v>
      </c>
      <c r="C1065" t="s">
        <v>23</v>
      </c>
      <c r="D1065">
        <f ca="1">'2BAS Calcs'!N1065</f>
        <v>3.2263488466685226</v>
      </c>
    </row>
    <row r="1066" spans="1:4" x14ac:dyDescent="0.35">
      <c r="A1066" t="s">
        <v>15</v>
      </c>
      <c r="B1066" t="s">
        <v>4</v>
      </c>
      <c r="C1066" t="s">
        <v>23</v>
      </c>
      <c r="D1066">
        <f ca="1">'2BAS Calcs'!N1066</f>
        <v>20.091121518016745</v>
      </c>
    </row>
    <row r="1067" spans="1:4" x14ac:dyDescent="0.35">
      <c r="A1067" t="s">
        <v>16</v>
      </c>
      <c r="B1067" t="s">
        <v>4</v>
      </c>
      <c r="C1067" t="s">
        <v>23</v>
      </c>
      <c r="D1067">
        <f ca="1">'2BAS Calcs'!N1067</f>
        <v>31.450712060028778</v>
      </c>
    </row>
    <row r="1068" spans="1:4" x14ac:dyDescent="0.35">
      <c r="A1068" t="s">
        <v>17</v>
      </c>
      <c r="B1068" t="s">
        <v>4</v>
      </c>
      <c r="C1068" t="s">
        <v>23</v>
      </c>
      <c r="D1068">
        <f ca="1">'2BAS Calcs'!N1068</f>
        <v>29.135175651094638</v>
      </c>
    </row>
    <row r="1069" spans="1:4" x14ac:dyDescent="0.35">
      <c r="A1069" t="s">
        <v>18</v>
      </c>
      <c r="B1069" t="s">
        <v>4</v>
      </c>
      <c r="C1069" t="s">
        <v>23</v>
      </c>
      <c r="D1069">
        <f ca="1">'2BAS Calcs'!N1069</f>
        <v>85.2153470745926</v>
      </c>
    </row>
    <row r="1070" spans="1:4" x14ac:dyDescent="0.35">
      <c r="A1070" t="s">
        <v>19</v>
      </c>
      <c r="B1070" t="s">
        <v>4</v>
      </c>
      <c r="C1070" t="s">
        <v>23</v>
      </c>
      <c r="D1070">
        <f ca="1">'2BAS Calcs'!N1070</f>
        <v>123.34249703018637</v>
      </c>
    </row>
    <row r="1071" spans="1:4" x14ac:dyDescent="0.35">
      <c r="A1071" t="s">
        <v>20</v>
      </c>
      <c r="B1071" t="s">
        <v>4</v>
      </c>
      <c r="C1071" t="s">
        <v>23</v>
      </c>
      <c r="D1071">
        <f ca="1">'2BAS Calcs'!N1071</f>
        <v>25.65791737897678</v>
      </c>
    </row>
    <row r="1072" spans="1:4" x14ac:dyDescent="0.35">
      <c r="A1072" t="s">
        <v>21</v>
      </c>
      <c r="B1072" t="s">
        <v>4</v>
      </c>
      <c r="C1072" t="s">
        <v>23</v>
      </c>
      <c r="D1072">
        <f ca="1">'2BAS Calcs'!N1072</f>
        <v>37.063064949880363</v>
      </c>
    </row>
    <row r="1073" spans="1:4" x14ac:dyDescent="0.35">
      <c r="A1073" t="s">
        <v>22</v>
      </c>
      <c r="B1073" t="s">
        <v>4</v>
      </c>
      <c r="C1073" t="s">
        <v>23</v>
      </c>
      <c r="D1073">
        <f ca="1">'2BAS Calcs'!N1073</f>
        <v>100.9203193593697</v>
      </c>
    </row>
    <row r="1074" spans="1:4" x14ac:dyDescent="0.35">
      <c r="A1074" t="s">
        <v>23</v>
      </c>
      <c r="B1074" t="s">
        <v>4</v>
      </c>
      <c r="C1074" t="s">
        <v>23</v>
      </c>
      <c r="D1074">
        <f ca="1">'2BAS Calcs'!N1074</f>
        <v>2.3029347697483615E-6</v>
      </c>
    </row>
    <row r="1075" spans="1:4" x14ac:dyDescent="0.35">
      <c r="A1075" t="s">
        <v>24</v>
      </c>
      <c r="B1075" t="s">
        <v>4</v>
      </c>
      <c r="C1075" t="s">
        <v>23</v>
      </c>
      <c r="D1075">
        <f ca="1">'2BAS Calcs'!N1075</f>
        <v>3352.4155462470158</v>
      </c>
    </row>
    <row r="1076" spans="1:4" x14ac:dyDescent="0.35">
      <c r="A1076" t="s">
        <v>25</v>
      </c>
      <c r="B1076" t="s">
        <v>4</v>
      </c>
      <c r="C1076" t="s">
        <v>23</v>
      </c>
      <c r="D1076">
        <f ca="1">'2BAS Calcs'!N1076</f>
        <v>536.02889509422505</v>
      </c>
    </row>
    <row r="1077" spans="1:4" x14ac:dyDescent="0.35">
      <c r="A1077" t="s">
        <v>26</v>
      </c>
      <c r="B1077" t="s">
        <v>4</v>
      </c>
      <c r="C1077" t="s">
        <v>23</v>
      </c>
      <c r="D1077">
        <f ca="1">'2BAS Calcs'!N1077</f>
        <v>2.3029347697483615E-6</v>
      </c>
    </row>
    <row r="1078" spans="1:4" x14ac:dyDescent="0.35">
      <c r="A1078" t="s">
        <v>27</v>
      </c>
      <c r="B1078" t="s">
        <v>4</v>
      </c>
      <c r="C1078" t="s">
        <v>23</v>
      </c>
      <c r="D1078">
        <f ca="1">'2BAS Calcs'!N1078</f>
        <v>2.3029347697483615E-6</v>
      </c>
    </row>
    <row r="1079" spans="1:4" x14ac:dyDescent="0.35">
      <c r="A1079" t="s">
        <v>28</v>
      </c>
      <c r="B1079" t="s">
        <v>4</v>
      </c>
      <c r="C1079" t="s">
        <v>23</v>
      </c>
      <c r="D1079">
        <f ca="1">'2BAS Calcs'!N1079</f>
        <v>2.3029347697483615E-6</v>
      </c>
    </row>
    <row r="1080" spans="1:4" x14ac:dyDescent="0.35">
      <c r="A1080" t="s">
        <v>29</v>
      </c>
      <c r="B1080" t="s">
        <v>4</v>
      </c>
      <c r="C1080" t="s">
        <v>23</v>
      </c>
      <c r="D1080">
        <f ca="1">'2BAS Calcs'!N1080</f>
        <v>2.3029347697483615E-6</v>
      </c>
    </row>
    <row r="1081" spans="1:4" x14ac:dyDescent="0.35">
      <c r="A1081" t="s">
        <v>30</v>
      </c>
      <c r="B1081" t="s">
        <v>4</v>
      </c>
      <c r="C1081" t="s">
        <v>23</v>
      </c>
      <c r="D1081">
        <f ca="1">'2BAS Calcs'!N1081</f>
        <v>2.3029347697483615E-6</v>
      </c>
    </row>
    <row r="1082" spans="1:4" x14ac:dyDescent="0.35">
      <c r="A1082" t="s">
        <v>31</v>
      </c>
      <c r="B1082" t="s">
        <v>4</v>
      </c>
      <c r="C1082" t="s">
        <v>23</v>
      </c>
      <c r="D1082">
        <f ca="1">'2BAS Calcs'!N1082</f>
        <v>2.3029347697483615E-6</v>
      </c>
    </row>
    <row r="1083" spans="1:4" x14ac:dyDescent="0.35">
      <c r="A1083" t="s">
        <v>32</v>
      </c>
      <c r="B1083" t="s">
        <v>4</v>
      </c>
      <c r="C1083" t="s">
        <v>23</v>
      </c>
      <c r="D1083">
        <f ca="1">'2BAS Calcs'!N1083</f>
        <v>2.3029347697483615E-6</v>
      </c>
    </row>
    <row r="1084" spans="1:4" x14ac:dyDescent="0.35">
      <c r="A1084" t="s">
        <v>33</v>
      </c>
      <c r="B1084" t="s">
        <v>4</v>
      </c>
      <c r="C1084" t="s">
        <v>23</v>
      </c>
      <c r="D1084">
        <f ca="1">'2BAS Calcs'!N1084</f>
        <v>2.3029347697483615E-6</v>
      </c>
    </row>
    <row r="1085" spans="1:4" x14ac:dyDescent="0.35">
      <c r="A1085" t="s">
        <v>34</v>
      </c>
      <c r="B1085" t="s">
        <v>4</v>
      </c>
      <c r="C1085" t="s">
        <v>23</v>
      </c>
      <c r="D1085">
        <f ca="1">'2BAS Calcs'!N1085</f>
        <v>2.3029347697483615E-6</v>
      </c>
    </row>
    <row r="1086" spans="1:4" x14ac:dyDescent="0.35">
      <c r="A1086" t="s">
        <v>35</v>
      </c>
      <c r="B1086" t="s">
        <v>4</v>
      </c>
      <c r="C1086" t="s">
        <v>23</v>
      </c>
      <c r="D1086">
        <f ca="1">'2BAS Calcs'!N1086</f>
        <v>2.3029347697483615E-6</v>
      </c>
    </row>
    <row r="1087" spans="1:4" x14ac:dyDescent="0.35">
      <c r="A1087" t="s">
        <v>36</v>
      </c>
      <c r="B1087" t="s">
        <v>4</v>
      </c>
      <c r="C1087" t="s">
        <v>23</v>
      </c>
      <c r="D1087">
        <f ca="1">'2BAS Calcs'!N1087</f>
        <v>2.3029347697483615E-6</v>
      </c>
    </row>
    <row r="1088" spans="1:4" x14ac:dyDescent="0.35">
      <c r="A1088" t="s">
        <v>37</v>
      </c>
      <c r="B1088" t="s">
        <v>4</v>
      </c>
      <c r="C1088" t="s">
        <v>23</v>
      </c>
      <c r="D1088">
        <f ca="1">'2BAS Calcs'!N1088</f>
        <v>2.3029347697483615E-6</v>
      </c>
    </row>
    <row r="1089" spans="1:4" x14ac:dyDescent="0.35">
      <c r="A1089" t="s">
        <v>38</v>
      </c>
      <c r="B1089" t="s">
        <v>4</v>
      </c>
      <c r="C1089" t="s">
        <v>23</v>
      </c>
      <c r="D1089">
        <f ca="1">'2BAS Calcs'!N1089</f>
        <v>2.3029347697483615E-6</v>
      </c>
    </row>
    <row r="1090" spans="1:4" x14ac:dyDescent="0.35">
      <c r="A1090" t="s">
        <v>39</v>
      </c>
      <c r="B1090" t="s">
        <v>4</v>
      </c>
      <c r="C1090" t="s">
        <v>23</v>
      </c>
      <c r="D1090">
        <f ca="1">'2BAS Calcs'!N1090</f>
        <v>2.3029347697483615E-6</v>
      </c>
    </row>
    <row r="1091" spans="1:4" x14ac:dyDescent="0.35">
      <c r="A1091" t="s">
        <v>7</v>
      </c>
      <c r="B1091" t="s">
        <v>5</v>
      </c>
      <c r="C1091" t="s">
        <v>23</v>
      </c>
      <c r="D1091">
        <f ca="1">'2BAS Calcs'!N1091</f>
        <v>21.306347269363428</v>
      </c>
    </row>
    <row r="1092" spans="1:4" x14ac:dyDescent="0.35">
      <c r="A1092" t="s">
        <v>8</v>
      </c>
      <c r="B1092" t="s">
        <v>5</v>
      </c>
      <c r="C1092" t="s">
        <v>23</v>
      </c>
      <c r="D1092">
        <f ca="1">'2BAS Calcs'!N1092</f>
        <v>33.61356865433423</v>
      </c>
    </row>
    <row r="1093" spans="1:4" x14ac:dyDescent="0.35">
      <c r="A1093" t="s">
        <v>9</v>
      </c>
      <c r="B1093" t="s">
        <v>5</v>
      </c>
      <c r="C1093" t="s">
        <v>23</v>
      </c>
      <c r="D1093">
        <f ca="1">'2BAS Calcs'!N1093</f>
        <v>8.4111459149334831</v>
      </c>
    </row>
    <row r="1094" spans="1:4" x14ac:dyDescent="0.35">
      <c r="A1094" t="s">
        <v>10</v>
      </c>
      <c r="B1094" t="s">
        <v>5</v>
      </c>
      <c r="C1094" t="s">
        <v>23</v>
      </c>
      <c r="D1094">
        <f ca="1">'2BAS Calcs'!N1094</f>
        <v>165.06046134241964</v>
      </c>
    </row>
    <row r="1095" spans="1:4" x14ac:dyDescent="0.35">
      <c r="A1095" t="s">
        <v>11</v>
      </c>
      <c r="B1095" t="s">
        <v>5</v>
      </c>
      <c r="C1095" t="s">
        <v>23</v>
      </c>
      <c r="D1095">
        <f ca="1">'2BAS Calcs'!N1095</f>
        <v>86.024474479280286</v>
      </c>
    </row>
    <row r="1096" spans="1:4" x14ac:dyDescent="0.35">
      <c r="A1096" t="s">
        <v>12</v>
      </c>
      <c r="B1096" t="s">
        <v>5</v>
      </c>
      <c r="C1096" t="s">
        <v>23</v>
      </c>
      <c r="D1096">
        <f ca="1">'2BAS Calcs'!N1096</f>
        <v>1.5397751453769244</v>
      </c>
    </row>
    <row r="1097" spans="1:4" x14ac:dyDescent="0.35">
      <c r="A1097" t="s">
        <v>13</v>
      </c>
      <c r="B1097" t="s">
        <v>5</v>
      </c>
      <c r="C1097" t="s">
        <v>23</v>
      </c>
      <c r="D1097">
        <f ca="1">'2BAS Calcs'!N1097</f>
        <v>22.172606724768944</v>
      </c>
    </row>
    <row r="1098" spans="1:4" x14ac:dyDescent="0.35">
      <c r="A1098" t="s">
        <v>14</v>
      </c>
      <c r="B1098" t="s">
        <v>5</v>
      </c>
      <c r="C1098" t="s">
        <v>23</v>
      </c>
      <c r="D1098">
        <f ca="1">'2BAS Calcs'!N1098</f>
        <v>5.5833230988354519</v>
      </c>
    </row>
    <row r="1099" spans="1:4" x14ac:dyDescent="0.35">
      <c r="A1099" t="s">
        <v>15</v>
      </c>
      <c r="B1099" t="s">
        <v>5</v>
      </c>
      <c r="C1099" t="s">
        <v>23</v>
      </c>
      <c r="D1099">
        <f ca="1">'2BAS Calcs'!N1099</f>
        <v>76.538037180081346</v>
      </c>
    </row>
    <row r="1100" spans="1:4" x14ac:dyDescent="0.35">
      <c r="A1100" t="s">
        <v>16</v>
      </c>
      <c r="B1100" t="s">
        <v>5</v>
      </c>
      <c r="C1100" t="s">
        <v>23</v>
      </c>
      <c r="D1100">
        <f ca="1">'2BAS Calcs'!N1100</f>
        <v>58.617963517371493</v>
      </c>
    </row>
    <row r="1101" spans="1:4" x14ac:dyDescent="0.35">
      <c r="A1101" t="s">
        <v>17</v>
      </c>
      <c r="B1101" t="s">
        <v>5</v>
      </c>
      <c r="C1101" t="s">
        <v>23</v>
      </c>
      <c r="D1101">
        <f ca="1">'2BAS Calcs'!N1101</f>
        <v>22.127541258866827</v>
      </c>
    </row>
    <row r="1102" spans="1:4" x14ac:dyDescent="0.35">
      <c r="A1102" t="s">
        <v>18</v>
      </c>
      <c r="B1102" t="s">
        <v>5</v>
      </c>
      <c r="C1102" t="s">
        <v>23</v>
      </c>
      <c r="D1102">
        <f ca="1">'2BAS Calcs'!N1102</f>
        <v>276.97348181351401</v>
      </c>
    </row>
    <row r="1103" spans="1:4" x14ac:dyDescent="0.35">
      <c r="A1103" t="s">
        <v>19</v>
      </c>
      <c r="B1103" t="s">
        <v>5</v>
      </c>
      <c r="C1103" t="s">
        <v>23</v>
      </c>
      <c r="D1103">
        <f ca="1">'2BAS Calcs'!N1103</f>
        <v>1061.0222245812804</v>
      </c>
    </row>
    <row r="1104" spans="1:4" x14ac:dyDescent="0.35">
      <c r="A1104" t="s">
        <v>20</v>
      </c>
      <c r="B1104" t="s">
        <v>5</v>
      </c>
      <c r="C1104" t="s">
        <v>23</v>
      </c>
      <c r="D1104">
        <f ca="1">'2BAS Calcs'!N1104</f>
        <v>568.88775137718767</v>
      </c>
    </row>
    <row r="1105" spans="1:4" x14ac:dyDescent="0.35">
      <c r="A1105" t="s">
        <v>21</v>
      </c>
      <c r="B1105" t="s">
        <v>5</v>
      </c>
      <c r="C1105" t="s">
        <v>23</v>
      </c>
      <c r="D1105">
        <f ca="1">'2BAS Calcs'!N1105</f>
        <v>907.88086315534758</v>
      </c>
    </row>
    <row r="1106" spans="1:4" x14ac:dyDescent="0.35">
      <c r="A1106" t="s">
        <v>22</v>
      </c>
      <c r="B1106" t="s">
        <v>5</v>
      </c>
      <c r="C1106" t="s">
        <v>23</v>
      </c>
      <c r="D1106">
        <f ca="1">'2BAS Calcs'!N1106</f>
        <v>344.48147580693507</v>
      </c>
    </row>
    <row r="1107" spans="1:4" x14ac:dyDescent="0.35">
      <c r="A1107" t="s">
        <v>23</v>
      </c>
      <c r="B1107" t="s">
        <v>5</v>
      </c>
      <c r="C1107" t="s">
        <v>23</v>
      </c>
      <c r="D1107">
        <f ca="1">'2BAS Calcs'!N1107</f>
        <v>2.3029347697483615E-6</v>
      </c>
    </row>
    <row r="1108" spans="1:4" x14ac:dyDescent="0.35">
      <c r="A1108" t="s">
        <v>24</v>
      </c>
      <c r="B1108" t="s">
        <v>5</v>
      </c>
      <c r="C1108" t="s">
        <v>23</v>
      </c>
      <c r="D1108">
        <f ca="1">'2BAS Calcs'!N1108</f>
        <v>67.434234202292231</v>
      </c>
    </row>
    <row r="1109" spans="1:4" x14ac:dyDescent="0.35">
      <c r="A1109" t="s">
        <v>25</v>
      </c>
      <c r="B1109" t="s">
        <v>5</v>
      </c>
      <c r="C1109" t="s">
        <v>23</v>
      </c>
      <c r="D1109">
        <f ca="1">'2BAS Calcs'!N1109</f>
        <v>5.900039912459305</v>
      </c>
    </row>
    <row r="1110" spans="1:4" x14ac:dyDescent="0.35">
      <c r="A1110" t="s">
        <v>26</v>
      </c>
      <c r="B1110" t="s">
        <v>5</v>
      </c>
      <c r="C1110" t="s">
        <v>23</v>
      </c>
      <c r="D1110">
        <f ca="1">'2BAS Calcs'!N1110</f>
        <v>2.3029347697483615E-6</v>
      </c>
    </row>
    <row r="1111" spans="1:4" x14ac:dyDescent="0.35">
      <c r="A1111" t="s">
        <v>27</v>
      </c>
      <c r="B1111" t="s">
        <v>5</v>
      </c>
      <c r="C1111" t="s">
        <v>23</v>
      </c>
      <c r="D1111">
        <f ca="1">'2BAS Calcs'!N1111</f>
        <v>2.3029347697483615E-6</v>
      </c>
    </row>
    <row r="1112" spans="1:4" x14ac:dyDescent="0.35">
      <c r="A1112" t="s">
        <v>28</v>
      </c>
      <c r="B1112" t="s">
        <v>5</v>
      </c>
      <c r="C1112" t="s">
        <v>23</v>
      </c>
      <c r="D1112">
        <f ca="1">'2BAS Calcs'!N1112</f>
        <v>2.3029347697483615E-6</v>
      </c>
    </row>
    <row r="1113" spans="1:4" x14ac:dyDescent="0.35">
      <c r="A1113" t="s">
        <v>29</v>
      </c>
      <c r="B1113" t="s">
        <v>5</v>
      </c>
      <c r="C1113" t="s">
        <v>23</v>
      </c>
      <c r="D1113">
        <f ca="1">'2BAS Calcs'!N1113</f>
        <v>2.3029347697483615E-6</v>
      </c>
    </row>
    <row r="1114" spans="1:4" x14ac:dyDescent="0.35">
      <c r="A1114" t="s">
        <v>30</v>
      </c>
      <c r="B1114" t="s">
        <v>5</v>
      </c>
      <c r="C1114" t="s">
        <v>23</v>
      </c>
      <c r="D1114">
        <f ca="1">'2BAS Calcs'!N1114</f>
        <v>2.3029347697483615E-6</v>
      </c>
    </row>
    <row r="1115" spans="1:4" x14ac:dyDescent="0.35">
      <c r="A1115" t="s">
        <v>31</v>
      </c>
      <c r="B1115" t="s">
        <v>5</v>
      </c>
      <c r="C1115" t="s">
        <v>23</v>
      </c>
      <c r="D1115">
        <f ca="1">'2BAS Calcs'!N1115</f>
        <v>2.3029347697483615E-6</v>
      </c>
    </row>
    <row r="1116" spans="1:4" x14ac:dyDescent="0.35">
      <c r="A1116" t="s">
        <v>32</v>
      </c>
      <c r="B1116" t="s">
        <v>5</v>
      </c>
      <c r="C1116" t="s">
        <v>23</v>
      </c>
      <c r="D1116">
        <f ca="1">'2BAS Calcs'!N1116</f>
        <v>2.3029347697483615E-6</v>
      </c>
    </row>
    <row r="1117" spans="1:4" x14ac:dyDescent="0.35">
      <c r="A1117" t="s">
        <v>33</v>
      </c>
      <c r="B1117" t="s">
        <v>5</v>
      </c>
      <c r="C1117" t="s">
        <v>23</v>
      </c>
      <c r="D1117">
        <f ca="1">'2BAS Calcs'!N1117</f>
        <v>2.3029347697483615E-6</v>
      </c>
    </row>
    <row r="1118" spans="1:4" x14ac:dyDescent="0.35">
      <c r="A1118" t="s">
        <v>34</v>
      </c>
      <c r="B1118" t="s">
        <v>5</v>
      </c>
      <c r="C1118" t="s">
        <v>23</v>
      </c>
      <c r="D1118">
        <f ca="1">'2BAS Calcs'!N1118</f>
        <v>2.3029347697483615E-6</v>
      </c>
    </row>
    <row r="1119" spans="1:4" x14ac:dyDescent="0.35">
      <c r="A1119" t="s">
        <v>35</v>
      </c>
      <c r="B1119" t="s">
        <v>5</v>
      </c>
      <c r="C1119" t="s">
        <v>23</v>
      </c>
      <c r="D1119">
        <f ca="1">'2BAS Calcs'!N1119</f>
        <v>2.3029347697483615E-6</v>
      </c>
    </row>
    <row r="1120" spans="1:4" x14ac:dyDescent="0.35">
      <c r="A1120" t="s">
        <v>36</v>
      </c>
      <c r="B1120" t="s">
        <v>5</v>
      </c>
      <c r="C1120" t="s">
        <v>23</v>
      </c>
      <c r="D1120">
        <f ca="1">'2BAS Calcs'!N1120</f>
        <v>2.3029347697483615E-6</v>
      </c>
    </row>
    <row r="1121" spans="1:4" x14ac:dyDescent="0.35">
      <c r="A1121" t="s">
        <v>37</v>
      </c>
      <c r="B1121" t="s">
        <v>5</v>
      </c>
      <c r="C1121" t="s">
        <v>23</v>
      </c>
      <c r="D1121">
        <f ca="1">'2BAS Calcs'!N1121</f>
        <v>2.3029347697483615E-6</v>
      </c>
    </row>
    <row r="1122" spans="1:4" x14ac:dyDescent="0.35">
      <c r="A1122" t="s">
        <v>38</v>
      </c>
      <c r="B1122" t="s">
        <v>5</v>
      </c>
      <c r="C1122" t="s">
        <v>23</v>
      </c>
      <c r="D1122">
        <f ca="1">'2BAS Calcs'!N1122</f>
        <v>2.3029347697483615E-6</v>
      </c>
    </row>
    <row r="1123" spans="1:4" x14ac:dyDescent="0.35">
      <c r="A1123" t="s">
        <v>39</v>
      </c>
      <c r="B1123" t="s">
        <v>5</v>
      </c>
      <c r="C1123" t="s">
        <v>23</v>
      </c>
      <c r="D1123">
        <f ca="1">'2BAS Calcs'!N1123</f>
        <v>2.3029347697483615E-6</v>
      </c>
    </row>
    <row r="1124" spans="1:4" x14ac:dyDescent="0.35">
      <c r="A1124" t="s">
        <v>7</v>
      </c>
      <c r="B1124" t="s">
        <v>4</v>
      </c>
      <c r="C1124" t="s">
        <v>24</v>
      </c>
      <c r="D1124">
        <f ca="1">'2BAS Calcs'!N1124</f>
        <v>0.69102346941771964</v>
      </c>
    </row>
    <row r="1125" spans="1:4" x14ac:dyDescent="0.35">
      <c r="A1125" t="s">
        <v>8</v>
      </c>
      <c r="B1125" t="s">
        <v>4</v>
      </c>
      <c r="C1125" t="s">
        <v>24</v>
      </c>
      <c r="D1125">
        <f ca="1">'2BAS Calcs'!N1125</f>
        <v>1.2054331821691551</v>
      </c>
    </row>
    <row r="1126" spans="1:4" x14ac:dyDescent="0.35">
      <c r="A1126" t="s">
        <v>9</v>
      </c>
      <c r="B1126" t="s">
        <v>4</v>
      </c>
      <c r="C1126" t="s">
        <v>24</v>
      </c>
      <c r="D1126">
        <f ca="1">'2BAS Calcs'!N1126</f>
        <v>2.0296949664204216</v>
      </c>
    </row>
    <row r="1127" spans="1:4" x14ac:dyDescent="0.35">
      <c r="A1127" t="s">
        <v>10</v>
      </c>
      <c r="B1127" t="s">
        <v>4</v>
      </c>
      <c r="C1127" t="s">
        <v>24</v>
      </c>
      <c r="D1127">
        <f ca="1">'2BAS Calcs'!N1127</f>
        <v>10.572382778397854</v>
      </c>
    </row>
    <row r="1128" spans="1:4" x14ac:dyDescent="0.35">
      <c r="A1128" t="s">
        <v>11</v>
      </c>
      <c r="B1128" t="s">
        <v>4</v>
      </c>
      <c r="C1128" t="s">
        <v>24</v>
      </c>
      <c r="D1128">
        <f ca="1">'2BAS Calcs'!N1128</f>
        <v>7.5019705519649885E-2</v>
      </c>
    </row>
    <row r="1129" spans="1:4" x14ac:dyDescent="0.35">
      <c r="A1129" t="s">
        <v>12</v>
      </c>
      <c r="B1129" t="s">
        <v>4</v>
      </c>
      <c r="C1129" t="s">
        <v>24</v>
      </c>
      <c r="D1129">
        <f ca="1">'2BAS Calcs'!N1129</f>
        <v>0.4618151591793116</v>
      </c>
    </row>
    <row r="1130" spans="1:4" x14ac:dyDescent="0.35">
      <c r="A1130" t="s">
        <v>13</v>
      </c>
      <c r="B1130" t="s">
        <v>4</v>
      </c>
      <c r="C1130" t="s">
        <v>24</v>
      </c>
      <c r="D1130">
        <f ca="1">'2BAS Calcs'!N1130</f>
        <v>9.2434981514318757</v>
      </c>
    </row>
    <row r="1131" spans="1:4" x14ac:dyDescent="0.35">
      <c r="A1131" t="s">
        <v>14</v>
      </c>
      <c r="B1131" t="s">
        <v>4</v>
      </c>
      <c r="C1131" t="s">
        <v>24</v>
      </c>
      <c r="D1131">
        <f ca="1">'2BAS Calcs'!N1131</f>
        <v>1.4085310865228942</v>
      </c>
    </row>
    <row r="1132" spans="1:4" x14ac:dyDescent="0.35">
      <c r="A1132" t="s">
        <v>15</v>
      </c>
      <c r="B1132" t="s">
        <v>4</v>
      </c>
      <c r="C1132" t="s">
        <v>24</v>
      </c>
      <c r="D1132">
        <f ca="1">'2BAS Calcs'!N1132</f>
        <v>8.771205646424967</v>
      </c>
    </row>
    <row r="1133" spans="1:4" x14ac:dyDescent="0.35">
      <c r="A1133" t="s">
        <v>16</v>
      </c>
      <c r="B1133" t="s">
        <v>4</v>
      </c>
      <c r="C1133" t="s">
        <v>24</v>
      </c>
      <c r="D1133">
        <f ca="1">'2BAS Calcs'!N1133</f>
        <v>13.730476069124949</v>
      </c>
    </row>
    <row r="1134" spans="1:4" x14ac:dyDescent="0.35">
      <c r="A1134" t="s">
        <v>17</v>
      </c>
      <c r="B1134" t="s">
        <v>4</v>
      </c>
      <c r="C1134" t="s">
        <v>24</v>
      </c>
      <c r="D1134">
        <f ca="1">'2BAS Calcs'!N1134</f>
        <v>12.719579489442591</v>
      </c>
    </row>
    <row r="1135" spans="1:4" x14ac:dyDescent="0.35">
      <c r="A1135" t="s">
        <v>18</v>
      </c>
      <c r="B1135" t="s">
        <v>4</v>
      </c>
      <c r="C1135" t="s">
        <v>24</v>
      </c>
      <c r="D1135">
        <f ca="1">'2BAS Calcs'!N1135</f>
        <v>37.202568943324579</v>
      </c>
    </row>
    <row r="1136" spans="1:4" x14ac:dyDescent="0.35">
      <c r="A1136" t="s">
        <v>19</v>
      </c>
      <c r="B1136" t="s">
        <v>4</v>
      </c>
      <c r="C1136" t="s">
        <v>24</v>
      </c>
      <c r="D1136">
        <f ca="1">'2BAS Calcs'!N1136</f>
        <v>53.847785720929693</v>
      </c>
    </row>
    <row r="1137" spans="1:4" x14ac:dyDescent="0.35">
      <c r="A1137" t="s">
        <v>20</v>
      </c>
      <c r="B1137" t="s">
        <v>4</v>
      </c>
      <c r="C1137" t="s">
        <v>24</v>
      </c>
      <c r="D1137">
        <f ca="1">'2BAS Calcs'!N1137</f>
        <v>11.201508566267528</v>
      </c>
    </row>
    <row r="1138" spans="1:4" x14ac:dyDescent="0.35">
      <c r="A1138" t="s">
        <v>21</v>
      </c>
      <c r="B1138" t="s">
        <v>4</v>
      </c>
      <c r="C1138" t="s">
        <v>24</v>
      </c>
      <c r="D1138">
        <f ca="1">'2BAS Calcs'!N1138</f>
        <v>16.180667877135825</v>
      </c>
    </row>
    <row r="1139" spans="1:4" x14ac:dyDescent="0.35">
      <c r="A1139" t="s">
        <v>22</v>
      </c>
      <c r="B1139" t="s">
        <v>4</v>
      </c>
      <c r="C1139" t="s">
        <v>24</v>
      </c>
      <c r="D1139">
        <f ca="1">'2BAS Calcs'!N1139</f>
        <v>44.058908021143388</v>
      </c>
    </row>
    <row r="1140" spans="1:4" x14ac:dyDescent="0.35">
      <c r="A1140" t="s">
        <v>23</v>
      </c>
      <c r="B1140" t="s">
        <v>4</v>
      </c>
      <c r="C1140" t="s">
        <v>24</v>
      </c>
      <c r="D1140">
        <f ca="1">'2BAS Calcs'!N1140</f>
        <v>1.0053950665547098E-6</v>
      </c>
    </row>
    <row r="1141" spans="1:4" x14ac:dyDescent="0.35">
      <c r="A1141" t="s">
        <v>24</v>
      </c>
      <c r="B1141" t="s">
        <v>4</v>
      </c>
      <c r="C1141" t="s">
        <v>24</v>
      </c>
      <c r="D1141">
        <f ca="1">'2BAS Calcs'!N1141</f>
        <v>1463.5681807029005</v>
      </c>
    </row>
    <row r="1142" spans="1:4" x14ac:dyDescent="0.35">
      <c r="A1142" t="s">
        <v>25</v>
      </c>
      <c r="B1142" t="s">
        <v>4</v>
      </c>
      <c r="C1142" t="s">
        <v>24</v>
      </c>
      <c r="D1142">
        <f ca="1">'2BAS Calcs'!N1142</f>
        <v>234.01479439966644</v>
      </c>
    </row>
    <row r="1143" spans="1:4" x14ac:dyDescent="0.35">
      <c r="A1143" t="s">
        <v>26</v>
      </c>
      <c r="B1143" t="s">
        <v>4</v>
      </c>
      <c r="C1143" t="s">
        <v>24</v>
      </c>
      <c r="D1143">
        <f ca="1">'2BAS Calcs'!N1143</f>
        <v>1.0053950665547098E-6</v>
      </c>
    </row>
    <row r="1144" spans="1:4" x14ac:dyDescent="0.35">
      <c r="A1144" t="s">
        <v>27</v>
      </c>
      <c r="B1144" t="s">
        <v>4</v>
      </c>
      <c r="C1144" t="s">
        <v>24</v>
      </c>
      <c r="D1144">
        <f ca="1">'2BAS Calcs'!N1144</f>
        <v>1.0053950665547098E-6</v>
      </c>
    </row>
    <row r="1145" spans="1:4" x14ac:dyDescent="0.35">
      <c r="A1145" t="s">
        <v>28</v>
      </c>
      <c r="B1145" t="s">
        <v>4</v>
      </c>
      <c r="C1145" t="s">
        <v>24</v>
      </c>
      <c r="D1145">
        <f ca="1">'2BAS Calcs'!N1145</f>
        <v>1.0053950665547098E-6</v>
      </c>
    </row>
    <row r="1146" spans="1:4" x14ac:dyDescent="0.35">
      <c r="A1146" t="s">
        <v>29</v>
      </c>
      <c r="B1146" t="s">
        <v>4</v>
      </c>
      <c r="C1146" t="s">
        <v>24</v>
      </c>
      <c r="D1146">
        <f ca="1">'2BAS Calcs'!N1146</f>
        <v>1.0053950665547098E-6</v>
      </c>
    </row>
    <row r="1147" spans="1:4" x14ac:dyDescent="0.35">
      <c r="A1147" t="s">
        <v>30</v>
      </c>
      <c r="B1147" t="s">
        <v>4</v>
      </c>
      <c r="C1147" t="s">
        <v>24</v>
      </c>
      <c r="D1147">
        <f ca="1">'2BAS Calcs'!N1147</f>
        <v>1.0053950665547098E-6</v>
      </c>
    </row>
    <row r="1148" spans="1:4" x14ac:dyDescent="0.35">
      <c r="A1148" t="s">
        <v>31</v>
      </c>
      <c r="B1148" t="s">
        <v>4</v>
      </c>
      <c r="C1148" t="s">
        <v>24</v>
      </c>
      <c r="D1148">
        <f ca="1">'2BAS Calcs'!N1148</f>
        <v>1.0053950665547098E-6</v>
      </c>
    </row>
    <row r="1149" spans="1:4" x14ac:dyDescent="0.35">
      <c r="A1149" t="s">
        <v>32</v>
      </c>
      <c r="B1149" t="s">
        <v>4</v>
      </c>
      <c r="C1149" t="s">
        <v>24</v>
      </c>
      <c r="D1149">
        <f ca="1">'2BAS Calcs'!N1149</f>
        <v>1.0053950665547098E-6</v>
      </c>
    </row>
    <row r="1150" spans="1:4" x14ac:dyDescent="0.35">
      <c r="A1150" t="s">
        <v>33</v>
      </c>
      <c r="B1150" t="s">
        <v>4</v>
      </c>
      <c r="C1150" t="s">
        <v>24</v>
      </c>
      <c r="D1150">
        <f ca="1">'2BAS Calcs'!N1150</f>
        <v>1.0053950665547098E-6</v>
      </c>
    </row>
    <row r="1151" spans="1:4" x14ac:dyDescent="0.35">
      <c r="A1151" t="s">
        <v>34</v>
      </c>
      <c r="B1151" t="s">
        <v>4</v>
      </c>
      <c r="C1151" t="s">
        <v>24</v>
      </c>
      <c r="D1151">
        <f ca="1">'2BAS Calcs'!N1151</f>
        <v>1.0053950665547098E-6</v>
      </c>
    </row>
    <row r="1152" spans="1:4" x14ac:dyDescent="0.35">
      <c r="A1152" t="s">
        <v>35</v>
      </c>
      <c r="B1152" t="s">
        <v>4</v>
      </c>
      <c r="C1152" t="s">
        <v>24</v>
      </c>
      <c r="D1152">
        <f ca="1">'2BAS Calcs'!N1152</f>
        <v>1.0053950665547098E-6</v>
      </c>
    </row>
    <row r="1153" spans="1:4" x14ac:dyDescent="0.35">
      <c r="A1153" t="s">
        <v>36</v>
      </c>
      <c r="B1153" t="s">
        <v>4</v>
      </c>
      <c r="C1153" t="s">
        <v>24</v>
      </c>
      <c r="D1153">
        <f ca="1">'2BAS Calcs'!N1153</f>
        <v>1.0053950665547098E-6</v>
      </c>
    </row>
    <row r="1154" spans="1:4" x14ac:dyDescent="0.35">
      <c r="A1154" t="s">
        <v>37</v>
      </c>
      <c r="B1154" t="s">
        <v>4</v>
      </c>
      <c r="C1154" t="s">
        <v>24</v>
      </c>
      <c r="D1154">
        <f ca="1">'2BAS Calcs'!N1154</f>
        <v>1.0053950665547098E-6</v>
      </c>
    </row>
    <row r="1155" spans="1:4" x14ac:dyDescent="0.35">
      <c r="A1155" t="s">
        <v>38</v>
      </c>
      <c r="B1155" t="s">
        <v>4</v>
      </c>
      <c r="C1155" t="s">
        <v>24</v>
      </c>
      <c r="D1155">
        <f ca="1">'2BAS Calcs'!N1155</f>
        <v>1.0053950665547098E-6</v>
      </c>
    </row>
    <row r="1156" spans="1:4" x14ac:dyDescent="0.35">
      <c r="A1156" t="s">
        <v>39</v>
      </c>
      <c r="B1156" t="s">
        <v>4</v>
      </c>
      <c r="C1156" t="s">
        <v>24</v>
      </c>
      <c r="D1156">
        <f ca="1">'2BAS Calcs'!N1156</f>
        <v>1.0053950665547098E-6</v>
      </c>
    </row>
    <row r="1157" spans="1:4" x14ac:dyDescent="0.35">
      <c r="A1157" t="s">
        <v>7</v>
      </c>
      <c r="B1157" t="s">
        <v>5</v>
      </c>
      <c r="C1157" t="s">
        <v>24</v>
      </c>
      <c r="D1157">
        <f ca="1">'2BAS Calcs'!N1157</f>
        <v>9.3017382482179833</v>
      </c>
    </row>
    <row r="1158" spans="1:4" x14ac:dyDescent="0.35">
      <c r="A1158" t="s">
        <v>8</v>
      </c>
      <c r="B1158" t="s">
        <v>5</v>
      </c>
      <c r="C1158" t="s">
        <v>24</v>
      </c>
      <c r="D1158">
        <f ca="1">'2BAS Calcs'!N1158</f>
        <v>14.674717034238185</v>
      </c>
    </row>
    <row r="1159" spans="1:4" x14ac:dyDescent="0.35">
      <c r="A1159" t="s">
        <v>9</v>
      </c>
      <c r="B1159" t="s">
        <v>5</v>
      </c>
      <c r="C1159" t="s">
        <v>24</v>
      </c>
      <c r="D1159">
        <f ca="1">'2BAS Calcs'!N1159</f>
        <v>3.6720643233286014</v>
      </c>
    </row>
    <row r="1160" spans="1:4" x14ac:dyDescent="0.35">
      <c r="A1160" t="s">
        <v>10</v>
      </c>
      <c r="B1160" t="s">
        <v>5</v>
      </c>
      <c r="C1160" t="s">
        <v>24</v>
      </c>
      <c r="D1160">
        <f ca="1">'2BAS Calcs'!N1160</f>
        <v>72.060648741278214</v>
      </c>
    </row>
    <row r="1161" spans="1:4" x14ac:dyDescent="0.35">
      <c r="A1161" t="s">
        <v>11</v>
      </c>
      <c r="B1161" t="s">
        <v>5</v>
      </c>
      <c r="C1161" t="s">
        <v>24</v>
      </c>
      <c r="D1161">
        <f ca="1">'2BAS Calcs'!N1161</f>
        <v>37.555810690148398</v>
      </c>
    </row>
    <row r="1162" spans="1:4" x14ac:dyDescent="0.35">
      <c r="A1162" t="s">
        <v>12</v>
      </c>
      <c r="B1162" t="s">
        <v>5</v>
      </c>
      <c r="C1162" t="s">
        <v>24</v>
      </c>
      <c r="D1162">
        <f ca="1">'2BAS Calcs'!N1162</f>
        <v>0.67222153015418573</v>
      </c>
    </row>
    <row r="1163" spans="1:4" x14ac:dyDescent="0.35">
      <c r="A1163" t="s">
        <v>13</v>
      </c>
      <c r="B1163" t="s">
        <v>5</v>
      </c>
      <c r="C1163" t="s">
        <v>24</v>
      </c>
      <c r="D1163">
        <f ca="1">'2BAS Calcs'!N1163</f>
        <v>9.6799222047337103</v>
      </c>
    </row>
    <row r="1164" spans="1:4" x14ac:dyDescent="0.35">
      <c r="A1164" t="s">
        <v>14</v>
      </c>
      <c r="B1164" t="s">
        <v>5</v>
      </c>
      <c r="C1164" t="s">
        <v>24</v>
      </c>
      <c r="D1164">
        <f ca="1">'2BAS Calcs'!N1164</f>
        <v>2.4375182364212127</v>
      </c>
    </row>
    <row r="1165" spans="1:4" x14ac:dyDescent="0.35">
      <c r="A1165" t="s">
        <v>15</v>
      </c>
      <c r="B1165" t="s">
        <v>5</v>
      </c>
      <c r="C1165" t="s">
        <v>24</v>
      </c>
      <c r="D1165">
        <f ca="1">'2BAS Calcs'!N1165</f>
        <v>33.414305083874815</v>
      </c>
    </row>
    <row r="1166" spans="1:4" x14ac:dyDescent="0.35">
      <c r="A1166" t="s">
        <v>16</v>
      </c>
      <c r="B1166" t="s">
        <v>5</v>
      </c>
      <c r="C1166" t="s">
        <v>24</v>
      </c>
      <c r="D1166">
        <f ca="1">'2BAS Calcs'!N1166</f>
        <v>25.590916471459124</v>
      </c>
    </row>
    <row r="1167" spans="1:4" x14ac:dyDescent="0.35">
      <c r="A1167" t="s">
        <v>17</v>
      </c>
      <c r="B1167" t="s">
        <v>5</v>
      </c>
      <c r="C1167" t="s">
        <v>24</v>
      </c>
      <c r="D1167">
        <f ca="1">'2BAS Calcs'!N1167</f>
        <v>9.660247918824636</v>
      </c>
    </row>
    <row r="1168" spans="1:4" x14ac:dyDescent="0.35">
      <c r="A1168" t="s">
        <v>18</v>
      </c>
      <c r="B1168" t="s">
        <v>5</v>
      </c>
      <c r="C1168" t="s">
        <v>24</v>
      </c>
      <c r="D1168">
        <f ca="1">'2BAS Calcs'!N1168</f>
        <v>120.91865381502554</v>
      </c>
    </row>
    <row r="1169" spans="1:4" x14ac:dyDescent="0.35">
      <c r="A1169" t="s">
        <v>19</v>
      </c>
      <c r="B1169" t="s">
        <v>5</v>
      </c>
      <c r="C1169" t="s">
        <v>24</v>
      </c>
      <c r="D1169">
        <f ca="1">'2BAS Calcs'!N1169</f>
        <v>463.21177834120101</v>
      </c>
    </row>
    <row r="1170" spans="1:4" x14ac:dyDescent="0.35">
      <c r="A1170" t="s">
        <v>20</v>
      </c>
      <c r="B1170" t="s">
        <v>5</v>
      </c>
      <c r="C1170" t="s">
        <v>24</v>
      </c>
      <c r="D1170">
        <f ca="1">'2BAS Calcs'!N1170</f>
        <v>248.3600257251419</v>
      </c>
    </row>
    <row r="1171" spans="1:4" x14ac:dyDescent="0.35">
      <c r="A1171" t="s">
        <v>21</v>
      </c>
      <c r="B1171" t="s">
        <v>5</v>
      </c>
      <c r="C1171" t="s">
        <v>24</v>
      </c>
      <c r="D1171">
        <f ca="1">'2BAS Calcs'!N1171</f>
        <v>396.35466571880204</v>
      </c>
    </row>
    <row r="1172" spans="1:4" x14ac:dyDescent="0.35">
      <c r="A1172" t="s">
        <v>22</v>
      </c>
      <c r="B1172" t="s">
        <v>5</v>
      </c>
      <c r="C1172" t="s">
        <v>24</v>
      </c>
      <c r="D1172">
        <f ca="1">'2BAS Calcs'!N1172</f>
        <v>150.39070183200295</v>
      </c>
    </row>
    <row r="1173" spans="1:4" x14ac:dyDescent="0.35">
      <c r="A1173" t="s">
        <v>23</v>
      </c>
      <c r="B1173" t="s">
        <v>5</v>
      </c>
      <c r="C1173" t="s">
        <v>24</v>
      </c>
      <c r="D1173">
        <f ca="1">'2BAS Calcs'!N1173</f>
        <v>1.0053950665547098E-6</v>
      </c>
    </row>
    <row r="1174" spans="1:4" x14ac:dyDescent="0.35">
      <c r="A1174" t="s">
        <v>24</v>
      </c>
      <c r="B1174" t="s">
        <v>5</v>
      </c>
      <c r="C1174" t="s">
        <v>24</v>
      </c>
      <c r="D1174">
        <f ca="1">'2BAS Calcs'!N1174</f>
        <v>29.439846614191197</v>
      </c>
    </row>
    <row r="1175" spans="1:4" x14ac:dyDescent="0.35">
      <c r="A1175" t="s">
        <v>25</v>
      </c>
      <c r="B1175" t="s">
        <v>5</v>
      </c>
      <c r="C1175" t="s">
        <v>24</v>
      </c>
      <c r="D1175">
        <f ca="1">'2BAS Calcs'!N1175</f>
        <v>2.5757876855151376</v>
      </c>
    </row>
    <row r="1176" spans="1:4" x14ac:dyDescent="0.35">
      <c r="A1176" t="s">
        <v>26</v>
      </c>
      <c r="B1176" t="s">
        <v>5</v>
      </c>
      <c r="C1176" t="s">
        <v>24</v>
      </c>
      <c r="D1176">
        <f ca="1">'2BAS Calcs'!N1176</f>
        <v>1.0053950665547098E-6</v>
      </c>
    </row>
    <row r="1177" spans="1:4" x14ac:dyDescent="0.35">
      <c r="A1177" t="s">
        <v>27</v>
      </c>
      <c r="B1177" t="s">
        <v>5</v>
      </c>
      <c r="C1177" t="s">
        <v>24</v>
      </c>
      <c r="D1177">
        <f ca="1">'2BAS Calcs'!N1177</f>
        <v>1.0053950665547098E-6</v>
      </c>
    </row>
    <row r="1178" spans="1:4" x14ac:dyDescent="0.35">
      <c r="A1178" t="s">
        <v>28</v>
      </c>
      <c r="B1178" t="s">
        <v>5</v>
      </c>
      <c r="C1178" t="s">
        <v>24</v>
      </c>
      <c r="D1178">
        <f ca="1">'2BAS Calcs'!N1178</f>
        <v>1.0053950665547098E-6</v>
      </c>
    </row>
    <row r="1179" spans="1:4" x14ac:dyDescent="0.35">
      <c r="A1179" t="s">
        <v>29</v>
      </c>
      <c r="B1179" t="s">
        <v>5</v>
      </c>
      <c r="C1179" t="s">
        <v>24</v>
      </c>
      <c r="D1179">
        <f ca="1">'2BAS Calcs'!N1179</f>
        <v>1.0053950665547098E-6</v>
      </c>
    </row>
    <row r="1180" spans="1:4" x14ac:dyDescent="0.35">
      <c r="A1180" t="s">
        <v>30</v>
      </c>
      <c r="B1180" t="s">
        <v>5</v>
      </c>
      <c r="C1180" t="s">
        <v>24</v>
      </c>
      <c r="D1180">
        <f ca="1">'2BAS Calcs'!N1180</f>
        <v>1.0053950665547098E-6</v>
      </c>
    </row>
    <row r="1181" spans="1:4" x14ac:dyDescent="0.35">
      <c r="A1181" t="s">
        <v>31</v>
      </c>
      <c r="B1181" t="s">
        <v>5</v>
      </c>
      <c r="C1181" t="s">
        <v>24</v>
      </c>
      <c r="D1181">
        <f ca="1">'2BAS Calcs'!N1181</f>
        <v>1.0053950665547098E-6</v>
      </c>
    </row>
    <row r="1182" spans="1:4" x14ac:dyDescent="0.35">
      <c r="A1182" t="s">
        <v>32</v>
      </c>
      <c r="B1182" t="s">
        <v>5</v>
      </c>
      <c r="C1182" t="s">
        <v>24</v>
      </c>
      <c r="D1182">
        <f ca="1">'2BAS Calcs'!N1182</f>
        <v>1.0053950665547098E-6</v>
      </c>
    </row>
    <row r="1183" spans="1:4" x14ac:dyDescent="0.35">
      <c r="A1183" t="s">
        <v>33</v>
      </c>
      <c r="B1183" t="s">
        <v>5</v>
      </c>
      <c r="C1183" t="s">
        <v>24</v>
      </c>
      <c r="D1183">
        <f ca="1">'2BAS Calcs'!N1183</f>
        <v>1.0053950665547098E-6</v>
      </c>
    </row>
    <row r="1184" spans="1:4" x14ac:dyDescent="0.35">
      <c r="A1184" t="s">
        <v>34</v>
      </c>
      <c r="B1184" t="s">
        <v>5</v>
      </c>
      <c r="C1184" t="s">
        <v>24</v>
      </c>
      <c r="D1184">
        <f ca="1">'2BAS Calcs'!N1184</f>
        <v>1.0053950665547098E-6</v>
      </c>
    </row>
    <row r="1185" spans="1:4" x14ac:dyDescent="0.35">
      <c r="A1185" t="s">
        <v>35</v>
      </c>
      <c r="B1185" t="s">
        <v>5</v>
      </c>
      <c r="C1185" t="s">
        <v>24</v>
      </c>
      <c r="D1185">
        <f ca="1">'2BAS Calcs'!N1185</f>
        <v>1.0053950665547098E-6</v>
      </c>
    </row>
    <row r="1186" spans="1:4" x14ac:dyDescent="0.35">
      <c r="A1186" t="s">
        <v>36</v>
      </c>
      <c r="B1186" t="s">
        <v>5</v>
      </c>
      <c r="C1186" t="s">
        <v>24</v>
      </c>
      <c r="D1186">
        <f ca="1">'2BAS Calcs'!N1186</f>
        <v>1.0053950665547098E-6</v>
      </c>
    </row>
    <row r="1187" spans="1:4" x14ac:dyDescent="0.35">
      <c r="A1187" t="s">
        <v>37</v>
      </c>
      <c r="B1187" t="s">
        <v>5</v>
      </c>
      <c r="C1187" t="s">
        <v>24</v>
      </c>
      <c r="D1187">
        <f ca="1">'2BAS Calcs'!N1187</f>
        <v>1.0053950665547098E-6</v>
      </c>
    </row>
    <row r="1188" spans="1:4" x14ac:dyDescent="0.35">
      <c r="A1188" t="s">
        <v>38</v>
      </c>
      <c r="B1188" t="s">
        <v>5</v>
      </c>
      <c r="C1188" t="s">
        <v>24</v>
      </c>
      <c r="D1188">
        <f ca="1">'2BAS Calcs'!N1188</f>
        <v>1.0053950665547098E-6</v>
      </c>
    </row>
    <row r="1189" spans="1:4" x14ac:dyDescent="0.35">
      <c r="A1189" t="s">
        <v>39</v>
      </c>
      <c r="B1189" t="s">
        <v>5</v>
      </c>
      <c r="C1189" t="s">
        <v>24</v>
      </c>
      <c r="D1189">
        <f ca="1">'2BAS Calcs'!N1189</f>
        <v>1.0053950665547098E-6</v>
      </c>
    </row>
    <row r="1190" spans="1:4" x14ac:dyDescent="0.35">
      <c r="A1190" t="s">
        <v>7</v>
      </c>
      <c r="B1190" t="s">
        <v>4</v>
      </c>
      <c r="C1190" t="s">
        <v>25</v>
      </c>
      <c r="D1190">
        <f ca="1">'2BAS Calcs'!N1190</f>
        <v>4.7813847429152183</v>
      </c>
    </row>
    <row r="1191" spans="1:4" x14ac:dyDescent="0.35">
      <c r="A1191" t="s">
        <v>8</v>
      </c>
      <c r="B1191" t="s">
        <v>4</v>
      </c>
      <c r="C1191" t="s">
        <v>25</v>
      </c>
      <c r="D1191">
        <f ca="1">'2BAS Calcs'!N1191</f>
        <v>8.3407294844616242</v>
      </c>
    </row>
    <row r="1192" spans="1:4" x14ac:dyDescent="0.35">
      <c r="A1192" t="s">
        <v>9</v>
      </c>
      <c r="B1192" t="s">
        <v>4</v>
      </c>
      <c r="C1192" t="s">
        <v>25</v>
      </c>
      <c r="D1192">
        <f ca="1">'2BAS Calcs'!N1192</f>
        <v>14.044027409650765</v>
      </c>
    </row>
    <row r="1193" spans="1:4" x14ac:dyDescent="0.35">
      <c r="A1193" t="s">
        <v>10</v>
      </c>
      <c r="B1193" t="s">
        <v>4</v>
      </c>
      <c r="C1193" t="s">
        <v>25</v>
      </c>
      <c r="D1193">
        <f ca="1">'2BAS Calcs'!N1193</f>
        <v>73.153274744035571</v>
      </c>
    </row>
    <row r="1194" spans="1:4" x14ac:dyDescent="0.35">
      <c r="A1194" t="s">
        <v>11</v>
      </c>
      <c r="B1194" t="s">
        <v>4</v>
      </c>
      <c r="C1194" t="s">
        <v>25</v>
      </c>
      <c r="D1194">
        <f ca="1">'2BAS Calcs'!N1194</f>
        <v>0.5190823340514007</v>
      </c>
    </row>
    <row r="1195" spans="1:4" x14ac:dyDescent="0.35">
      <c r="A1195" t="s">
        <v>12</v>
      </c>
      <c r="B1195" t="s">
        <v>4</v>
      </c>
      <c r="C1195" t="s">
        <v>25</v>
      </c>
      <c r="D1195">
        <f ca="1">'2BAS Calcs'!N1195</f>
        <v>3.1954283086905266</v>
      </c>
    </row>
    <row r="1196" spans="1:4" x14ac:dyDescent="0.35">
      <c r="A1196" t="s">
        <v>13</v>
      </c>
      <c r="B1196" t="s">
        <v>4</v>
      </c>
      <c r="C1196" t="s">
        <v>25</v>
      </c>
      <c r="D1196">
        <f ca="1">'2BAS Calcs'!N1196</f>
        <v>63.958350169586986</v>
      </c>
    </row>
    <row r="1197" spans="1:4" x14ac:dyDescent="0.35">
      <c r="A1197" t="s">
        <v>14</v>
      </c>
      <c r="B1197" t="s">
        <v>4</v>
      </c>
      <c r="C1197" t="s">
        <v>25</v>
      </c>
      <c r="D1197">
        <f ca="1">'2BAS Calcs'!N1197</f>
        <v>9.7460207143142021</v>
      </c>
    </row>
    <row r="1198" spans="1:4" x14ac:dyDescent="0.35">
      <c r="A1198" t="s">
        <v>15</v>
      </c>
      <c r="B1198" t="s">
        <v>4</v>
      </c>
      <c r="C1198" t="s">
        <v>25</v>
      </c>
      <c r="D1198">
        <f ca="1">'2BAS Calcs'!N1198</f>
        <v>60.690426173407687</v>
      </c>
    </row>
    <row r="1199" spans="1:4" x14ac:dyDescent="0.35">
      <c r="A1199" t="s">
        <v>16</v>
      </c>
      <c r="B1199" t="s">
        <v>4</v>
      </c>
      <c r="C1199" t="s">
        <v>25</v>
      </c>
      <c r="D1199">
        <f ca="1">'2BAS Calcs'!N1199</f>
        <v>95.005005901168744</v>
      </c>
    </row>
    <row r="1200" spans="1:4" x14ac:dyDescent="0.35">
      <c r="A1200" t="s">
        <v>17</v>
      </c>
      <c r="B1200" t="s">
        <v>4</v>
      </c>
      <c r="C1200" t="s">
        <v>25</v>
      </c>
      <c r="D1200">
        <f ca="1">'2BAS Calcs'!N1200</f>
        <v>88.01032960337055</v>
      </c>
    </row>
    <row r="1201" spans="1:4" x14ac:dyDescent="0.35">
      <c r="A1201" t="s">
        <v>18</v>
      </c>
      <c r="B1201" t="s">
        <v>4</v>
      </c>
      <c r="C1201" t="s">
        <v>25</v>
      </c>
      <c r="D1201">
        <f ca="1">'2BAS Calcs'!N1201</f>
        <v>257.41498431703252</v>
      </c>
    </row>
    <row r="1202" spans="1:4" x14ac:dyDescent="0.35">
      <c r="A1202" t="s">
        <v>19</v>
      </c>
      <c r="B1202" t="s">
        <v>4</v>
      </c>
      <c r="C1202" t="s">
        <v>25</v>
      </c>
      <c r="D1202">
        <f ca="1">'2BAS Calcs'!N1202</f>
        <v>372.58789676531796</v>
      </c>
    </row>
    <row r="1203" spans="1:4" x14ac:dyDescent="0.35">
      <c r="A1203" t="s">
        <v>20</v>
      </c>
      <c r="B1203" t="s">
        <v>4</v>
      </c>
      <c r="C1203" t="s">
        <v>25</v>
      </c>
      <c r="D1203">
        <f ca="1">'2BAS Calcs'!N1203</f>
        <v>77.506372108484413</v>
      </c>
    </row>
    <row r="1204" spans="1:4" x14ac:dyDescent="0.35">
      <c r="A1204" t="s">
        <v>21</v>
      </c>
      <c r="B1204" t="s">
        <v>4</v>
      </c>
      <c r="C1204" t="s">
        <v>25</v>
      </c>
      <c r="D1204">
        <f ca="1">'2BAS Calcs'!N1204</f>
        <v>111.95856861867064</v>
      </c>
    </row>
    <row r="1205" spans="1:4" x14ac:dyDescent="0.35">
      <c r="A1205" t="s">
        <v>22</v>
      </c>
      <c r="B1205" t="s">
        <v>4</v>
      </c>
      <c r="C1205" t="s">
        <v>25</v>
      </c>
      <c r="D1205">
        <f ca="1">'2BAS Calcs'!N1205</f>
        <v>304.85591289585511</v>
      </c>
    </row>
    <row r="1206" spans="1:4" x14ac:dyDescent="0.35">
      <c r="A1206" t="s">
        <v>23</v>
      </c>
      <c r="B1206" t="s">
        <v>4</v>
      </c>
      <c r="C1206" t="s">
        <v>25</v>
      </c>
      <c r="D1206">
        <f ca="1">'2BAS Calcs'!N1206</f>
        <v>6.9566097890678273E-6</v>
      </c>
    </row>
    <row r="1207" spans="1:4" x14ac:dyDescent="0.35">
      <c r="A1207" t="s">
        <v>24</v>
      </c>
      <c r="B1207" t="s">
        <v>4</v>
      </c>
      <c r="C1207" t="s">
        <v>25</v>
      </c>
      <c r="D1207">
        <f ca="1">'2BAS Calcs'!N1207</f>
        <v>10126.837769092983</v>
      </c>
    </row>
    <row r="1208" spans="1:4" x14ac:dyDescent="0.35">
      <c r="A1208" t="s">
        <v>25</v>
      </c>
      <c r="B1208" t="s">
        <v>4</v>
      </c>
      <c r="C1208" t="s">
        <v>25</v>
      </c>
      <c r="D1208">
        <f ca="1">'2BAS Calcs'!N1208</f>
        <v>1619.2138430578102</v>
      </c>
    </row>
    <row r="1209" spans="1:4" x14ac:dyDescent="0.35">
      <c r="A1209" t="s">
        <v>26</v>
      </c>
      <c r="B1209" t="s">
        <v>4</v>
      </c>
      <c r="C1209" t="s">
        <v>25</v>
      </c>
      <c r="D1209">
        <f ca="1">'2BAS Calcs'!N1209</f>
        <v>6.9566097890678273E-6</v>
      </c>
    </row>
    <row r="1210" spans="1:4" x14ac:dyDescent="0.35">
      <c r="A1210" t="s">
        <v>27</v>
      </c>
      <c r="B1210" t="s">
        <v>4</v>
      </c>
      <c r="C1210" t="s">
        <v>25</v>
      </c>
      <c r="D1210">
        <f ca="1">'2BAS Calcs'!N1210</f>
        <v>6.9566097890678273E-6</v>
      </c>
    </row>
    <row r="1211" spans="1:4" x14ac:dyDescent="0.35">
      <c r="A1211" t="s">
        <v>28</v>
      </c>
      <c r="B1211" t="s">
        <v>4</v>
      </c>
      <c r="C1211" t="s">
        <v>25</v>
      </c>
      <c r="D1211">
        <f ca="1">'2BAS Calcs'!N1211</f>
        <v>6.9566097890678273E-6</v>
      </c>
    </row>
    <row r="1212" spans="1:4" x14ac:dyDescent="0.35">
      <c r="A1212" t="s">
        <v>29</v>
      </c>
      <c r="B1212" t="s">
        <v>4</v>
      </c>
      <c r="C1212" t="s">
        <v>25</v>
      </c>
      <c r="D1212">
        <f ca="1">'2BAS Calcs'!N1212</f>
        <v>6.9566097890678273E-6</v>
      </c>
    </row>
    <row r="1213" spans="1:4" x14ac:dyDescent="0.35">
      <c r="A1213" t="s">
        <v>30</v>
      </c>
      <c r="B1213" t="s">
        <v>4</v>
      </c>
      <c r="C1213" t="s">
        <v>25</v>
      </c>
      <c r="D1213">
        <f ca="1">'2BAS Calcs'!N1213</f>
        <v>6.9566097890678273E-6</v>
      </c>
    </row>
    <row r="1214" spans="1:4" x14ac:dyDescent="0.35">
      <c r="A1214" t="s">
        <v>31</v>
      </c>
      <c r="B1214" t="s">
        <v>4</v>
      </c>
      <c r="C1214" t="s">
        <v>25</v>
      </c>
      <c r="D1214">
        <f ca="1">'2BAS Calcs'!N1214</f>
        <v>6.9566097890678273E-6</v>
      </c>
    </row>
    <row r="1215" spans="1:4" x14ac:dyDescent="0.35">
      <c r="A1215" t="s">
        <v>32</v>
      </c>
      <c r="B1215" t="s">
        <v>4</v>
      </c>
      <c r="C1215" t="s">
        <v>25</v>
      </c>
      <c r="D1215">
        <f ca="1">'2BAS Calcs'!N1215</f>
        <v>6.9566097890678273E-6</v>
      </c>
    </row>
    <row r="1216" spans="1:4" x14ac:dyDescent="0.35">
      <c r="A1216" t="s">
        <v>33</v>
      </c>
      <c r="B1216" t="s">
        <v>4</v>
      </c>
      <c r="C1216" t="s">
        <v>25</v>
      </c>
      <c r="D1216">
        <f ca="1">'2BAS Calcs'!N1216</f>
        <v>6.9566097890678273E-6</v>
      </c>
    </row>
    <row r="1217" spans="1:4" x14ac:dyDescent="0.35">
      <c r="A1217" t="s">
        <v>34</v>
      </c>
      <c r="B1217" t="s">
        <v>4</v>
      </c>
      <c r="C1217" t="s">
        <v>25</v>
      </c>
      <c r="D1217">
        <f ca="1">'2BAS Calcs'!N1217</f>
        <v>6.9566097890678273E-6</v>
      </c>
    </row>
    <row r="1218" spans="1:4" x14ac:dyDescent="0.35">
      <c r="A1218" t="s">
        <v>35</v>
      </c>
      <c r="B1218" t="s">
        <v>4</v>
      </c>
      <c r="C1218" t="s">
        <v>25</v>
      </c>
      <c r="D1218">
        <f ca="1">'2BAS Calcs'!N1218</f>
        <v>6.9566097890678273E-6</v>
      </c>
    </row>
    <row r="1219" spans="1:4" x14ac:dyDescent="0.35">
      <c r="A1219" t="s">
        <v>36</v>
      </c>
      <c r="B1219" t="s">
        <v>4</v>
      </c>
      <c r="C1219" t="s">
        <v>25</v>
      </c>
      <c r="D1219">
        <f ca="1">'2BAS Calcs'!N1219</f>
        <v>6.9566097890678273E-6</v>
      </c>
    </row>
    <row r="1220" spans="1:4" x14ac:dyDescent="0.35">
      <c r="A1220" t="s">
        <v>37</v>
      </c>
      <c r="B1220" t="s">
        <v>4</v>
      </c>
      <c r="C1220" t="s">
        <v>25</v>
      </c>
      <c r="D1220">
        <f ca="1">'2BAS Calcs'!N1220</f>
        <v>6.9566097890678273E-6</v>
      </c>
    </row>
    <row r="1221" spans="1:4" x14ac:dyDescent="0.35">
      <c r="A1221" t="s">
        <v>38</v>
      </c>
      <c r="B1221" t="s">
        <v>4</v>
      </c>
      <c r="C1221" t="s">
        <v>25</v>
      </c>
      <c r="D1221">
        <f ca="1">'2BAS Calcs'!N1221</f>
        <v>6.9566097890678273E-6</v>
      </c>
    </row>
    <row r="1222" spans="1:4" x14ac:dyDescent="0.35">
      <c r="A1222" t="s">
        <v>39</v>
      </c>
      <c r="B1222" t="s">
        <v>4</v>
      </c>
      <c r="C1222" t="s">
        <v>25</v>
      </c>
      <c r="D1222">
        <f ca="1">'2BAS Calcs'!N1222</f>
        <v>6.9566097890678273E-6</v>
      </c>
    </row>
    <row r="1223" spans="1:4" x14ac:dyDescent="0.35">
      <c r="A1223" t="s">
        <v>7</v>
      </c>
      <c r="B1223" t="s">
        <v>5</v>
      </c>
      <c r="C1223" t="s">
        <v>25</v>
      </c>
      <c r="D1223">
        <f ca="1">'2BAS Calcs'!N1223</f>
        <v>64.361329695642226</v>
      </c>
    </row>
    <row r="1224" spans="1:4" x14ac:dyDescent="0.35">
      <c r="A1224" t="s">
        <v>8</v>
      </c>
      <c r="B1224" t="s">
        <v>5</v>
      </c>
      <c r="C1224" t="s">
        <v>25</v>
      </c>
      <c r="D1224">
        <f ca="1">'2BAS Calcs'!N1224</f>
        <v>101.53847335059167</v>
      </c>
    </row>
    <row r="1225" spans="1:4" x14ac:dyDescent="0.35">
      <c r="A1225" t="s">
        <v>9</v>
      </c>
      <c r="B1225" t="s">
        <v>5</v>
      </c>
      <c r="C1225" t="s">
        <v>25</v>
      </c>
      <c r="D1225">
        <f ca="1">'2BAS Calcs'!N1225</f>
        <v>25.408040547973389</v>
      </c>
    </row>
    <row r="1226" spans="1:4" x14ac:dyDescent="0.35">
      <c r="A1226" t="s">
        <v>10</v>
      </c>
      <c r="B1226" t="s">
        <v>5</v>
      </c>
      <c r="C1226" t="s">
        <v>25</v>
      </c>
      <c r="D1226">
        <f ca="1">'2BAS Calcs'!N1226</f>
        <v>498.60779221644958</v>
      </c>
    </row>
    <row r="1227" spans="1:4" x14ac:dyDescent="0.35">
      <c r="A1227" t="s">
        <v>11</v>
      </c>
      <c r="B1227" t="s">
        <v>5</v>
      </c>
      <c r="C1227" t="s">
        <v>25</v>
      </c>
      <c r="D1227">
        <f ca="1">'2BAS Calcs'!N1227</f>
        <v>259.8591628052788</v>
      </c>
    </row>
    <row r="1228" spans="1:4" x14ac:dyDescent="0.35">
      <c r="A1228" t="s">
        <v>12</v>
      </c>
      <c r="B1228" t="s">
        <v>5</v>
      </c>
      <c r="C1228" t="s">
        <v>25</v>
      </c>
      <c r="D1228">
        <f ca="1">'2BAS Calcs'!N1228</f>
        <v>4.6512888641057311</v>
      </c>
    </row>
    <row r="1229" spans="1:4" x14ac:dyDescent="0.35">
      <c r="A1229" t="s">
        <v>13</v>
      </c>
      <c r="B1229" t="s">
        <v>5</v>
      </c>
      <c r="C1229" t="s">
        <v>25</v>
      </c>
      <c r="D1229">
        <f ca="1">'2BAS Calcs'!N1229</f>
        <v>66.978090311925342</v>
      </c>
    </row>
    <row r="1230" spans="1:4" x14ac:dyDescent="0.35">
      <c r="A1230" t="s">
        <v>14</v>
      </c>
      <c r="B1230" t="s">
        <v>5</v>
      </c>
      <c r="C1230" t="s">
        <v>25</v>
      </c>
      <c r="D1230">
        <f ca="1">'2BAS Calcs'!N1230</f>
        <v>16.865870729430743</v>
      </c>
    </row>
    <row r="1231" spans="1:4" x14ac:dyDescent="0.35">
      <c r="A1231" t="s">
        <v>15</v>
      </c>
      <c r="B1231" t="s">
        <v>5</v>
      </c>
      <c r="C1231" t="s">
        <v>25</v>
      </c>
      <c r="D1231">
        <f ca="1">'2BAS Calcs'!N1231</f>
        <v>231.20292666438434</v>
      </c>
    </row>
    <row r="1232" spans="1:4" x14ac:dyDescent="0.35">
      <c r="A1232" t="s">
        <v>16</v>
      </c>
      <c r="B1232" t="s">
        <v>5</v>
      </c>
      <c r="C1232" t="s">
        <v>25</v>
      </c>
      <c r="D1232">
        <f ca="1">'2BAS Calcs'!N1232</f>
        <v>177.07071176172528</v>
      </c>
    </row>
    <row r="1233" spans="1:4" x14ac:dyDescent="0.35">
      <c r="A1233" t="s">
        <v>17</v>
      </c>
      <c r="B1233" t="s">
        <v>5</v>
      </c>
      <c r="C1233" t="s">
        <v>25</v>
      </c>
      <c r="D1233">
        <f ca="1">'2BAS Calcs'!N1233</f>
        <v>66.841958422580603</v>
      </c>
    </row>
    <row r="1234" spans="1:4" x14ac:dyDescent="0.35">
      <c r="A1234" t="s">
        <v>18</v>
      </c>
      <c r="B1234" t="s">
        <v>5</v>
      </c>
      <c r="C1234" t="s">
        <v>25</v>
      </c>
      <c r="D1234">
        <f ca="1">'2BAS Calcs'!N1234</f>
        <v>836.67000047362603</v>
      </c>
    </row>
    <row r="1235" spans="1:4" x14ac:dyDescent="0.35">
      <c r="A1235" t="s">
        <v>19</v>
      </c>
      <c r="B1235" t="s">
        <v>5</v>
      </c>
      <c r="C1235" t="s">
        <v>25</v>
      </c>
      <c r="D1235">
        <f ca="1">'2BAS Calcs'!N1235</f>
        <v>3205.0919074651788</v>
      </c>
    </row>
    <row r="1236" spans="1:4" x14ac:dyDescent="0.35">
      <c r="A1236" t="s">
        <v>20</v>
      </c>
      <c r="B1236" t="s">
        <v>5</v>
      </c>
      <c r="C1236" t="s">
        <v>25</v>
      </c>
      <c r="D1236">
        <f ca="1">'2BAS Calcs'!N1236</f>
        <v>1718.4725125947712</v>
      </c>
    </row>
    <row r="1237" spans="1:4" x14ac:dyDescent="0.35">
      <c r="A1237" t="s">
        <v>21</v>
      </c>
      <c r="B1237" t="s">
        <v>5</v>
      </c>
      <c r="C1237" t="s">
        <v>25</v>
      </c>
      <c r="D1237">
        <f ca="1">'2BAS Calcs'!N1237</f>
        <v>2742.4888376773065</v>
      </c>
    </row>
    <row r="1238" spans="1:4" x14ac:dyDescent="0.35">
      <c r="A1238" t="s">
        <v>22</v>
      </c>
      <c r="B1238" t="s">
        <v>5</v>
      </c>
      <c r="C1238" t="s">
        <v>25</v>
      </c>
      <c r="D1238">
        <f ca="1">'2BAS Calcs'!N1238</f>
        <v>1040.5953473935826</v>
      </c>
    </row>
    <row r="1239" spans="1:4" x14ac:dyDescent="0.35">
      <c r="A1239" t="s">
        <v>23</v>
      </c>
      <c r="B1239" t="s">
        <v>5</v>
      </c>
      <c r="C1239" t="s">
        <v>25</v>
      </c>
      <c r="D1239">
        <f ca="1">'2BAS Calcs'!N1239</f>
        <v>6.9566097890678273E-6</v>
      </c>
    </row>
    <row r="1240" spans="1:4" x14ac:dyDescent="0.35">
      <c r="A1240" t="s">
        <v>24</v>
      </c>
      <c r="B1240" t="s">
        <v>5</v>
      </c>
      <c r="C1240" t="s">
        <v>25</v>
      </c>
      <c r="D1240">
        <f ca="1">'2BAS Calcs'!N1240</f>
        <v>203.70253640367676</v>
      </c>
    </row>
    <row r="1241" spans="1:4" x14ac:dyDescent="0.35">
      <c r="A1241" t="s">
        <v>25</v>
      </c>
      <c r="B1241" t="s">
        <v>5</v>
      </c>
      <c r="C1241" t="s">
        <v>25</v>
      </c>
      <c r="D1241">
        <f ca="1">'2BAS Calcs'!N1241</f>
        <v>17.822595737433822</v>
      </c>
    </row>
    <row r="1242" spans="1:4" x14ac:dyDescent="0.35">
      <c r="A1242" t="s">
        <v>26</v>
      </c>
      <c r="B1242" t="s">
        <v>5</v>
      </c>
      <c r="C1242" t="s">
        <v>25</v>
      </c>
      <c r="D1242">
        <f ca="1">'2BAS Calcs'!N1242</f>
        <v>6.9566097890678273E-6</v>
      </c>
    </row>
    <row r="1243" spans="1:4" x14ac:dyDescent="0.35">
      <c r="A1243" t="s">
        <v>27</v>
      </c>
      <c r="B1243" t="s">
        <v>5</v>
      </c>
      <c r="C1243" t="s">
        <v>25</v>
      </c>
      <c r="D1243">
        <f ca="1">'2BAS Calcs'!N1243</f>
        <v>6.9566097890678273E-6</v>
      </c>
    </row>
    <row r="1244" spans="1:4" x14ac:dyDescent="0.35">
      <c r="A1244" t="s">
        <v>28</v>
      </c>
      <c r="B1244" t="s">
        <v>5</v>
      </c>
      <c r="C1244" t="s">
        <v>25</v>
      </c>
      <c r="D1244">
        <f ca="1">'2BAS Calcs'!N1244</f>
        <v>6.9566097890678273E-6</v>
      </c>
    </row>
    <row r="1245" spans="1:4" x14ac:dyDescent="0.35">
      <c r="A1245" t="s">
        <v>29</v>
      </c>
      <c r="B1245" t="s">
        <v>5</v>
      </c>
      <c r="C1245" t="s">
        <v>25</v>
      </c>
      <c r="D1245">
        <f ca="1">'2BAS Calcs'!N1245</f>
        <v>6.9566097890678273E-6</v>
      </c>
    </row>
    <row r="1246" spans="1:4" x14ac:dyDescent="0.35">
      <c r="A1246" t="s">
        <v>30</v>
      </c>
      <c r="B1246" t="s">
        <v>5</v>
      </c>
      <c r="C1246" t="s">
        <v>25</v>
      </c>
      <c r="D1246">
        <f ca="1">'2BAS Calcs'!N1246</f>
        <v>6.9566097890678273E-6</v>
      </c>
    </row>
    <row r="1247" spans="1:4" x14ac:dyDescent="0.35">
      <c r="A1247" t="s">
        <v>31</v>
      </c>
      <c r="B1247" t="s">
        <v>5</v>
      </c>
      <c r="C1247" t="s">
        <v>25</v>
      </c>
      <c r="D1247">
        <f ca="1">'2BAS Calcs'!N1247</f>
        <v>6.9566097890678273E-6</v>
      </c>
    </row>
    <row r="1248" spans="1:4" x14ac:dyDescent="0.35">
      <c r="A1248" t="s">
        <v>32</v>
      </c>
      <c r="B1248" t="s">
        <v>5</v>
      </c>
      <c r="C1248" t="s">
        <v>25</v>
      </c>
      <c r="D1248">
        <f ca="1">'2BAS Calcs'!N1248</f>
        <v>6.9566097890678273E-6</v>
      </c>
    </row>
    <row r="1249" spans="1:4" x14ac:dyDescent="0.35">
      <c r="A1249" t="s">
        <v>33</v>
      </c>
      <c r="B1249" t="s">
        <v>5</v>
      </c>
      <c r="C1249" t="s">
        <v>25</v>
      </c>
      <c r="D1249">
        <f ca="1">'2BAS Calcs'!N1249</f>
        <v>6.9566097890678273E-6</v>
      </c>
    </row>
    <row r="1250" spans="1:4" x14ac:dyDescent="0.35">
      <c r="A1250" t="s">
        <v>34</v>
      </c>
      <c r="B1250" t="s">
        <v>5</v>
      </c>
      <c r="C1250" t="s">
        <v>25</v>
      </c>
      <c r="D1250">
        <f ca="1">'2BAS Calcs'!N1250</f>
        <v>6.9566097890678273E-6</v>
      </c>
    </row>
    <row r="1251" spans="1:4" x14ac:dyDescent="0.35">
      <c r="A1251" t="s">
        <v>35</v>
      </c>
      <c r="B1251" t="s">
        <v>5</v>
      </c>
      <c r="C1251" t="s">
        <v>25</v>
      </c>
      <c r="D1251">
        <f ca="1">'2BAS Calcs'!N1251</f>
        <v>6.9566097890678273E-6</v>
      </c>
    </row>
    <row r="1252" spans="1:4" x14ac:dyDescent="0.35">
      <c r="A1252" t="s">
        <v>36</v>
      </c>
      <c r="B1252" t="s">
        <v>5</v>
      </c>
      <c r="C1252" t="s">
        <v>25</v>
      </c>
      <c r="D1252">
        <f ca="1">'2BAS Calcs'!N1252</f>
        <v>6.9566097890678273E-6</v>
      </c>
    </row>
    <row r="1253" spans="1:4" x14ac:dyDescent="0.35">
      <c r="A1253" t="s">
        <v>37</v>
      </c>
      <c r="B1253" t="s">
        <v>5</v>
      </c>
      <c r="C1253" t="s">
        <v>25</v>
      </c>
      <c r="D1253">
        <f ca="1">'2BAS Calcs'!N1253</f>
        <v>6.9566097890678273E-6</v>
      </c>
    </row>
    <row r="1254" spans="1:4" x14ac:dyDescent="0.35">
      <c r="A1254" t="s">
        <v>38</v>
      </c>
      <c r="B1254" t="s">
        <v>5</v>
      </c>
      <c r="C1254" t="s">
        <v>25</v>
      </c>
      <c r="D1254">
        <f ca="1">'2BAS Calcs'!N1254</f>
        <v>6.9566097890678273E-6</v>
      </c>
    </row>
    <row r="1255" spans="1:4" x14ac:dyDescent="0.35">
      <c r="A1255" t="s">
        <v>39</v>
      </c>
      <c r="B1255" t="s">
        <v>5</v>
      </c>
      <c r="C1255" t="s">
        <v>25</v>
      </c>
      <c r="D1255">
        <f ca="1">'2BAS Calcs'!N1255</f>
        <v>6.9566097890678273E-6</v>
      </c>
    </row>
    <row r="1256" spans="1:4" x14ac:dyDescent="0.35">
      <c r="A1256" t="s">
        <v>7</v>
      </c>
      <c r="B1256" t="s">
        <v>4</v>
      </c>
      <c r="C1256" t="s">
        <v>26</v>
      </c>
      <c r="D1256">
        <f ca="1">'2BAS Calcs'!N1256</f>
        <v>1.6427101478831254</v>
      </c>
    </row>
    <row r="1257" spans="1:4" x14ac:dyDescent="0.35">
      <c r="A1257" t="s">
        <v>8</v>
      </c>
      <c r="B1257" t="s">
        <v>4</v>
      </c>
      <c r="C1257" t="s">
        <v>26</v>
      </c>
      <c r="D1257">
        <f ca="1">'2BAS Calcs'!N1257</f>
        <v>2.8655717332044968</v>
      </c>
    </row>
    <row r="1258" spans="1:4" x14ac:dyDescent="0.35">
      <c r="A1258" t="s">
        <v>9</v>
      </c>
      <c r="B1258" t="s">
        <v>4</v>
      </c>
      <c r="C1258" t="s">
        <v>26</v>
      </c>
      <c r="D1258">
        <f ca="1">'2BAS Calcs'!N1258</f>
        <v>4.8250177685797553</v>
      </c>
    </row>
    <row r="1259" spans="1:4" x14ac:dyDescent="0.35">
      <c r="A1259" t="s">
        <v>10</v>
      </c>
      <c r="B1259" t="s">
        <v>4</v>
      </c>
      <c r="C1259" t="s">
        <v>26</v>
      </c>
      <c r="D1259">
        <f ca="1">'2BAS Calcs'!N1259</f>
        <v>25.132808429811057</v>
      </c>
    </row>
    <row r="1260" spans="1:4" x14ac:dyDescent="0.35">
      <c r="A1260" t="s">
        <v>11</v>
      </c>
      <c r="B1260" t="s">
        <v>4</v>
      </c>
      <c r="C1260" t="s">
        <v>26</v>
      </c>
      <c r="D1260">
        <f ca="1">'2BAS Calcs'!N1260</f>
        <v>0.17833783800740546</v>
      </c>
    </row>
    <row r="1261" spans="1:4" x14ac:dyDescent="0.35">
      <c r="A1261" t="s">
        <v>12</v>
      </c>
      <c r="B1261" t="s">
        <v>4</v>
      </c>
      <c r="C1261" t="s">
        <v>26</v>
      </c>
      <c r="D1261">
        <f ca="1">'2BAS Calcs'!N1261</f>
        <v>1.0978331156673489</v>
      </c>
    </row>
    <row r="1262" spans="1:4" x14ac:dyDescent="0.35">
      <c r="A1262" t="s">
        <v>13</v>
      </c>
      <c r="B1262" t="s">
        <v>4</v>
      </c>
      <c r="C1262" t="s">
        <v>26</v>
      </c>
      <c r="D1262">
        <f ca="1">'2BAS Calcs'!N1262</f>
        <v>21.97376628624632</v>
      </c>
    </row>
    <row r="1263" spans="1:4" x14ac:dyDescent="0.35">
      <c r="A1263" t="s">
        <v>14</v>
      </c>
      <c r="B1263" t="s">
        <v>4</v>
      </c>
      <c r="C1263" t="s">
        <v>26</v>
      </c>
      <c r="D1263">
        <f ca="1">'2BAS Calcs'!N1263</f>
        <v>3.3483787625761803</v>
      </c>
    </row>
    <row r="1264" spans="1:4" x14ac:dyDescent="0.35">
      <c r="A1264" t="s">
        <v>15</v>
      </c>
      <c r="B1264" t="s">
        <v>4</v>
      </c>
      <c r="C1264" t="s">
        <v>26</v>
      </c>
      <c r="D1264">
        <f ca="1">'2BAS Calcs'!N1264</f>
        <v>20.85102628524789</v>
      </c>
    </row>
    <row r="1265" spans="1:4" x14ac:dyDescent="0.35">
      <c r="A1265" t="s">
        <v>16</v>
      </c>
      <c r="B1265" t="s">
        <v>4</v>
      </c>
      <c r="C1265" t="s">
        <v>26</v>
      </c>
      <c r="D1265">
        <f ca="1">'2BAS Calcs'!N1265</f>
        <v>32.640269646736819</v>
      </c>
    </row>
    <row r="1266" spans="1:4" x14ac:dyDescent="0.35">
      <c r="A1266" t="s">
        <v>17</v>
      </c>
      <c r="B1266" t="s">
        <v>4</v>
      </c>
      <c r="C1266" t="s">
        <v>26</v>
      </c>
      <c r="D1266">
        <f ca="1">'2BAS Calcs'!N1266</f>
        <v>30.237152902664665</v>
      </c>
    </row>
    <row r="1267" spans="1:4" x14ac:dyDescent="0.35">
      <c r="A1267" t="s">
        <v>18</v>
      </c>
      <c r="B1267" t="s">
        <v>4</v>
      </c>
      <c r="C1267" t="s">
        <v>26</v>
      </c>
      <c r="D1267">
        <f ca="1">'2BAS Calcs'!N1267</f>
        <v>88.438439843464153</v>
      </c>
    </row>
    <row r="1268" spans="1:4" x14ac:dyDescent="0.35">
      <c r="A1268" t="s">
        <v>19</v>
      </c>
      <c r="B1268" t="s">
        <v>4</v>
      </c>
      <c r="C1268" t="s">
        <v>26</v>
      </c>
      <c r="D1268">
        <f ca="1">'2BAS Calcs'!N1268</f>
        <v>128.00766972407408</v>
      </c>
    </row>
    <row r="1269" spans="1:4" x14ac:dyDescent="0.35">
      <c r="A1269" t="s">
        <v>20</v>
      </c>
      <c r="B1269" t="s">
        <v>4</v>
      </c>
      <c r="C1269" t="s">
        <v>26</v>
      </c>
      <c r="D1269">
        <f ca="1">'2BAS Calcs'!N1269</f>
        <v>26.628374588945011</v>
      </c>
    </row>
    <row r="1270" spans="1:4" x14ac:dyDescent="0.35">
      <c r="A1270" t="s">
        <v>21</v>
      </c>
      <c r="B1270" t="s">
        <v>4</v>
      </c>
      <c r="C1270" t="s">
        <v>26</v>
      </c>
      <c r="D1270">
        <f ca="1">'2BAS Calcs'!N1270</f>
        <v>38.464898078924712</v>
      </c>
    </row>
    <row r="1271" spans="1:4" x14ac:dyDescent="0.35">
      <c r="A1271" t="s">
        <v>22</v>
      </c>
      <c r="B1271" t="s">
        <v>4</v>
      </c>
      <c r="C1271" t="s">
        <v>26</v>
      </c>
      <c r="D1271">
        <f ca="1">'2BAS Calcs'!N1271</f>
        <v>104.7374199489462</v>
      </c>
    </row>
    <row r="1272" spans="1:4" x14ac:dyDescent="0.35">
      <c r="A1272" t="s">
        <v>23</v>
      </c>
      <c r="B1272" t="s">
        <v>4</v>
      </c>
      <c r="C1272" t="s">
        <v>26</v>
      </c>
      <c r="D1272">
        <f ca="1">'2BAS Calcs'!N1272</f>
        <v>2.3900384741674906E-6</v>
      </c>
    </row>
    <row r="1273" spans="1:4" x14ac:dyDescent="0.35">
      <c r="A1273" t="s">
        <v>24</v>
      </c>
      <c r="B1273" t="s">
        <v>4</v>
      </c>
      <c r="C1273" t="s">
        <v>26</v>
      </c>
      <c r="D1273">
        <f ca="1">'2BAS Calcs'!N1273</f>
        <v>3479.2136721280631</v>
      </c>
    </row>
    <row r="1274" spans="1:4" x14ac:dyDescent="0.35">
      <c r="A1274" t="s">
        <v>25</v>
      </c>
      <c r="B1274" t="s">
        <v>4</v>
      </c>
      <c r="C1274" t="s">
        <v>26</v>
      </c>
      <c r="D1274">
        <f ca="1">'2BAS Calcs'!N1274</f>
        <v>556.30307005207749</v>
      </c>
    </row>
    <row r="1275" spans="1:4" x14ac:dyDescent="0.35">
      <c r="A1275" t="s">
        <v>26</v>
      </c>
      <c r="B1275" t="s">
        <v>4</v>
      </c>
      <c r="C1275" t="s">
        <v>26</v>
      </c>
      <c r="D1275">
        <f ca="1">'2BAS Calcs'!N1275</f>
        <v>2.3900384741674906E-6</v>
      </c>
    </row>
    <row r="1276" spans="1:4" x14ac:dyDescent="0.35">
      <c r="A1276" t="s">
        <v>27</v>
      </c>
      <c r="B1276" t="s">
        <v>4</v>
      </c>
      <c r="C1276" t="s">
        <v>26</v>
      </c>
      <c r="D1276">
        <f ca="1">'2BAS Calcs'!N1276</f>
        <v>2.3900384741674906E-6</v>
      </c>
    </row>
    <row r="1277" spans="1:4" x14ac:dyDescent="0.35">
      <c r="A1277" t="s">
        <v>28</v>
      </c>
      <c r="B1277" t="s">
        <v>4</v>
      </c>
      <c r="C1277" t="s">
        <v>26</v>
      </c>
      <c r="D1277">
        <f ca="1">'2BAS Calcs'!N1277</f>
        <v>2.3900384741674906E-6</v>
      </c>
    </row>
    <row r="1278" spans="1:4" x14ac:dyDescent="0.35">
      <c r="A1278" t="s">
        <v>29</v>
      </c>
      <c r="B1278" t="s">
        <v>4</v>
      </c>
      <c r="C1278" t="s">
        <v>26</v>
      </c>
      <c r="D1278">
        <f ca="1">'2BAS Calcs'!N1278</f>
        <v>2.3900384741674906E-6</v>
      </c>
    </row>
    <row r="1279" spans="1:4" x14ac:dyDescent="0.35">
      <c r="A1279" t="s">
        <v>30</v>
      </c>
      <c r="B1279" t="s">
        <v>4</v>
      </c>
      <c r="C1279" t="s">
        <v>26</v>
      </c>
      <c r="D1279">
        <f ca="1">'2BAS Calcs'!N1279</f>
        <v>2.3900384741674906E-6</v>
      </c>
    </row>
    <row r="1280" spans="1:4" x14ac:dyDescent="0.35">
      <c r="A1280" t="s">
        <v>31</v>
      </c>
      <c r="B1280" t="s">
        <v>4</v>
      </c>
      <c r="C1280" t="s">
        <v>26</v>
      </c>
      <c r="D1280">
        <f ca="1">'2BAS Calcs'!N1280</f>
        <v>2.3900384741674906E-6</v>
      </c>
    </row>
    <row r="1281" spans="1:4" x14ac:dyDescent="0.35">
      <c r="A1281" t="s">
        <v>32</v>
      </c>
      <c r="B1281" t="s">
        <v>4</v>
      </c>
      <c r="C1281" t="s">
        <v>26</v>
      </c>
      <c r="D1281">
        <f ca="1">'2BAS Calcs'!N1281</f>
        <v>2.3900384741674906E-6</v>
      </c>
    </row>
    <row r="1282" spans="1:4" x14ac:dyDescent="0.35">
      <c r="A1282" t="s">
        <v>33</v>
      </c>
      <c r="B1282" t="s">
        <v>4</v>
      </c>
      <c r="C1282" t="s">
        <v>26</v>
      </c>
      <c r="D1282">
        <f ca="1">'2BAS Calcs'!N1282</f>
        <v>2.3900384741674906E-6</v>
      </c>
    </row>
    <row r="1283" spans="1:4" x14ac:dyDescent="0.35">
      <c r="A1283" t="s">
        <v>34</v>
      </c>
      <c r="B1283" t="s">
        <v>4</v>
      </c>
      <c r="C1283" t="s">
        <v>26</v>
      </c>
      <c r="D1283">
        <f ca="1">'2BAS Calcs'!N1283</f>
        <v>2.3900384741674906E-6</v>
      </c>
    </row>
    <row r="1284" spans="1:4" x14ac:dyDescent="0.35">
      <c r="A1284" t="s">
        <v>35</v>
      </c>
      <c r="B1284" t="s">
        <v>4</v>
      </c>
      <c r="C1284" t="s">
        <v>26</v>
      </c>
      <c r="D1284">
        <f ca="1">'2BAS Calcs'!N1284</f>
        <v>2.3900384741674906E-6</v>
      </c>
    </row>
    <row r="1285" spans="1:4" x14ac:dyDescent="0.35">
      <c r="A1285" t="s">
        <v>36</v>
      </c>
      <c r="B1285" t="s">
        <v>4</v>
      </c>
      <c r="C1285" t="s">
        <v>26</v>
      </c>
      <c r="D1285">
        <f ca="1">'2BAS Calcs'!N1285</f>
        <v>2.3900384741674906E-6</v>
      </c>
    </row>
    <row r="1286" spans="1:4" x14ac:dyDescent="0.35">
      <c r="A1286" t="s">
        <v>37</v>
      </c>
      <c r="B1286" t="s">
        <v>4</v>
      </c>
      <c r="C1286" t="s">
        <v>26</v>
      </c>
      <c r="D1286">
        <f ca="1">'2BAS Calcs'!N1286</f>
        <v>2.3900384741674906E-6</v>
      </c>
    </row>
    <row r="1287" spans="1:4" x14ac:dyDescent="0.35">
      <c r="A1287" t="s">
        <v>38</v>
      </c>
      <c r="B1287" t="s">
        <v>4</v>
      </c>
      <c r="C1287" t="s">
        <v>26</v>
      </c>
      <c r="D1287">
        <f ca="1">'2BAS Calcs'!N1287</f>
        <v>2.3900384741674906E-6</v>
      </c>
    </row>
    <row r="1288" spans="1:4" x14ac:dyDescent="0.35">
      <c r="A1288" t="s">
        <v>39</v>
      </c>
      <c r="B1288" t="s">
        <v>4</v>
      </c>
      <c r="C1288" t="s">
        <v>26</v>
      </c>
      <c r="D1288">
        <f ca="1">'2BAS Calcs'!N1288</f>
        <v>2.3900384741674906E-6</v>
      </c>
    </row>
    <row r="1289" spans="1:4" x14ac:dyDescent="0.35">
      <c r="A1289" t="s">
        <v>7</v>
      </c>
      <c r="B1289" t="s">
        <v>5</v>
      </c>
      <c r="C1289" t="s">
        <v>26</v>
      </c>
      <c r="D1289">
        <f ca="1">'2BAS Calcs'!N1289</f>
        <v>22.112215416034704</v>
      </c>
    </row>
    <row r="1290" spans="1:4" x14ac:dyDescent="0.35">
      <c r="A1290" t="s">
        <v>8</v>
      </c>
      <c r="B1290" t="s">
        <v>5</v>
      </c>
      <c r="C1290" t="s">
        <v>26</v>
      </c>
      <c r="D1290">
        <f ca="1">'2BAS Calcs'!N1290</f>
        <v>34.88493178063726</v>
      </c>
    </row>
    <row r="1291" spans="1:4" x14ac:dyDescent="0.35">
      <c r="A1291" t="s">
        <v>9</v>
      </c>
      <c r="B1291" t="s">
        <v>5</v>
      </c>
      <c r="C1291" t="s">
        <v>26</v>
      </c>
      <c r="D1291">
        <f ca="1">'2BAS Calcs'!N1291</f>
        <v>8.7292799659820002</v>
      </c>
    </row>
    <row r="1292" spans="1:4" x14ac:dyDescent="0.35">
      <c r="A1292" t="s">
        <v>10</v>
      </c>
      <c r="B1292" t="s">
        <v>5</v>
      </c>
      <c r="C1292" t="s">
        <v>26</v>
      </c>
      <c r="D1292">
        <f ca="1">'2BAS Calcs'!N1292</f>
        <v>171.30352902497768</v>
      </c>
    </row>
    <row r="1293" spans="1:4" x14ac:dyDescent="0.35">
      <c r="A1293" t="s">
        <v>11</v>
      </c>
      <c r="B1293" t="s">
        <v>5</v>
      </c>
      <c r="C1293" t="s">
        <v>26</v>
      </c>
      <c r="D1293">
        <f ca="1">'2BAS Calcs'!N1293</f>
        <v>89.278170804631671</v>
      </c>
    </row>
    <row r="1294" spans="1:4" x14ac:dyDescent="0.35">
      <c r="A1294" t="s">
        <v>12</v>
      </c>
      <c r="B1294" t="s">
        <v>5</v>
      </c>
      <c r="C1294" t="s">
        <v>26</v>
      </c>
      <c r="D1294">
        <f ca="1">'2BAS Calcs'!N1294</f>
        <v>1.5980139287313866</v>
      </c>
    </row>
    <row r="1295" spans="1:4" x14ac:dyDescent="0.35">
      <c r="A1295" t="s">
        <v>13</v>
      </c>
      <c r="B1295" t="s">
        <v>5</v>
      </c>
      <c r="C1295" t="s">
        <v>26</v>
      </c>
      <c r="D1295">
        <f ca="1">'2BAS Calcs'!N1295</f>
        <v>23.011239328577734</v>
      </c>
    </row>
    <row r="1296" spans="1:4" x14ac:dyDescent="0.35">
      <c r="A1296" t="s">
        <v>14</v>
      </c>
      <c r="B1296" t="s">
        <v>5</v>
      </c>
      <c r="C1296" t="s">
        <v>26</v>
      </c>
      <c r="D1296">
        <f ca="1">'2BAS Calcs'!N1296</f>
        <v>5.7945006498742071</v>
      </c>
    </row>
    <row r="1297" spans="1:4" x14ac:dyDescent="0.35">
      <c r="A1297" t="s">
        <v>15</v>
      </c>
      <c r="B1297" t="s">
        <v>5</v>
      </c>
      <c r="C1297" t="s">
        <v>26</v>
      </c>
      <c r="D1297">
        <f ca="1">'2BAS Calcs'!N1297</f>
        <v>79.432928800516876</v>
      </c>
    </row>
    <row r="1298" spans="1:4" x14ac:dyDescent="0.35">
      <c r="A1298" t="s">
        <v>16</v>
      </c>
      <c r="B1298" t="s">
        <v>5</v>
      </c>
      <c r="C1298" t="s">
        <v>26</v>
      </c>
      <c r="D1298">
        <f ca="1">'2BAS Calcs'!N1298</f>
        <v>60.835065727533674</v>
      </c>
    </row>
    <row r="1299" spans="1:4" x14ac:dyDescent="0.35">
      <c r="A1299" t="s">
        <v>17</v>
      </c>
      <c r="B1299" t="s">
        <v>5</v>
      </c>
      <c r="C1299" t="s">
        <v>26</v>
      </c>
      <c r="D1299">
        <f ca="1">'2BAS Calcs'!N1299</f>
        <v>22.964469355421219</v>
      </c>
    </row>
    <row r="1300" spans="1:4" x14ac:dyDescent="0.35">
      <c r="A1300" t="s">
        <v>18</v>
      </c>
      <c r="B1300" t="s">
        <v>5</v>
      </c>
      <c r="C1300" t="s">
        <v>26</v>
      </c>
      <c r="D1300">
        <f ca="1">'2BAS Calcs'!N1300</f>
        <v>287.44942607764858</v>
      </c>
    </row>
    <row r="1301" spans="1:4" x14ac:dyDescent="0.35">
      <c r="A1301" t="s">
        <v>19</v>
      </c>
      <c r="B1301" t="s">
        <v>5</v>
      </c>
      <c r="C1301" t="s">
        <v>26</v>
      </c>
      <c r="D1301">
        <f ca="1">'2BAS Calcs'!N1301</f>
        <v>1101.1531772448477</v>
      </c>
    </row>
    <row r="1302" spans="1:4" x14ac:dyDescent="0.35">
      <c r="A1302" t="s">
        <v>20</v>
      </c>
      <c r="B1302" t="s">
        <v>5</v>
      </c>
      <c r="C1302" t="s">
        <v>26</v>
      </c>
      <c r="D1302">
        <f ca="1">'2BAS Calcs'!N1302</f>
        <v>590.40474404000463</v>
      </c>
    </row>
    <row r="1303" spans="1:4" x14ac:dyDescent="0.35">
      <c r="A1303" t="s">
        <v>21</v>
      </c>
      <c r="B1303" t="s">
        <v>5</v>
      </c>
      <c r="C1303" t="s">
        <v>26</v>
      </c>
      <c r="D1303">
        <f ca="1">'2BAS Calcs'!N1303</f>
        <v>942.21956323095071</v>
      </c>
    </row>
    <row r="1304" spans="1:4" x14ac:dyDescent="0.35">
      <c r="A1304" t="s">
        <v>22</v>
      </c>
      <c r="B1304" t="s">
        <v>5</v>
      </c>
      <c r="C1304" t="s">
        <v>26</v>
      </c>
      <c r="D1304">
        <f ca="1">'2BAS Calcs'!N1304</f>
        <v>357.51076914199183</v>
      </c>
    </row>
    <row r="1305" spans="1:4" x14ac:dyDescent="0.35">
      <c r="A1305" t="s">
        <v>23</v>
      </c>
      <c r="B1305" t="s">
        <v>5</v>
      </c>
      <c r="C1305" t="s">
        <v>26</v>
      </c>
      <c r="D1305">
        <f ca="1">'2BAS Calcs'!N1305</f>
        <v>2.3900384741674906E-6</v>
      </c>
    </row>
    <row r="1306" spans="1:4" x14ac:dyDescent="0.35">
      <c r="A1306" t="s">
        <v>24</v>
      </c>
      <c r="B1306" t="s">
        <v>5</v>
      </c>
      <c r="C1306" t="s">
        <v>26</v>
      </c>
      <c r="D1306">
        <f ca="1">'2BAS Calcs'!N1306</f>
        <v>69.984793462956219</v>
      </c>
    </row>
    <row r="1307" spans="1:4" x14ac:dyDescent="0.35">
      <c r="A1307" t="s">
        <v>25</v>
      </c>
      <c r="B1307" t="s">
        <v>5</v>
      </c>
      <c r="C1307" t="s">
        <v>26</v>
      </c>
      <c r="D1307">
        <f ca="1">'2BAS Calcs'!N1307</f>
        <v>6.1231966163949867</v>
      </c>
    </row>
    <row r="1308" spans="1:4" x14ac:dyDescent="0.35">
      <c r="A1308" t="s">
        <v>26</v>
      </c>
      <c r="B1308" t="s">
        <v>5</v>
      </c>
      <c r="C1308" t="s">
        <v>26</v>
      </c>
      <c r="D1308">
        <f ca="1">'2BAS Calcs'!N1308</f>
        <v>2.3900384741674906E-6</v>
      </c>
    </row>
    <row r="1309" spans="1:4" x14ac:dyDescent="0.35">
      <c r="A1309" t="s">
        <v>27</v>
      </c>
      <c r="B1309" t="s">
        <v>5</v>
      </c>
      <c r="C1309" t="s">
        <v>26</v>
      </c>
      <c r="D1309">
        <f ca="1">'2BAS Calcs'!N1309</f>
        <v>2.3900384741674906E-6</v>
      </c>
    </row>
    <row r="1310" spans="1:4" x14ac:dyDescent="0.35">
      <c r="A1310" t="s">
        <v>28</v>
      </c>
      <c r="B1310" t="s">
        <v>5</v>
      </c>
      <c r="C1310" t="s">
        <v>26</v>
      </c>
      <c r="D1310">
        <f ca="1">'2BAS Calcs'!N1310</f>
        <v>2.3900384741674906E-6</v>
      </c>
    </row>
    <row r="1311" spans="1:4" x14ac:dyDescent="0.35">
      <c r="A1311" t="s">
        <v>29</v>
      </c>
      <c r="B1311" t="s">
        <v>5</v>
      </c>
      <c r="C1311" t="s">
        <v>26</v>
      </c>
      <c r="D1311">
        <f ca="1">'2BAS Calcs'!N1311</f>
        <v>2.3900384741674906E-6</v>
      </c>
    </row>
    <row r="1312" spans="1:4" x14ac:dyDescent="0.35">
      <c r="A1312" t="s">
        <v>30</v>
      </c>
      <c r="B1312" t="s">
        <v>5</v>
      </c>
      <c r="C1312" t="s">
        <v>26</v>
      </c>
      <c r="D1312">
        <f ca="1">'2BAS Calcs'!N1312</f>
        <v>2.3900384741674906E-6</v>
      </c>
    </row>
    <row r="1313" spans="1:4" x14ac:dyDescent="0.35">
      <c r="A1313" t="s">
        <v>31</v>
      </c>
      <c r="B1313" t="s">
        <v>5</v>
      </c>
      <c r="C1313" t="s">
        <v>26</v>
      </c>
      <c r="D1313">
        <f ca="1">'2BAS Calcs'!N1313</f>
        <v>2.3900384741674906E-6</v>
      </c>
    </row>
    <row r="1314" spans="1:4" x14ac:dyDescent="0.35">
      <c r="A1314" t="s">
        <v>32</v>
      </c>
      <c r="B1314" t="s">
        <v>5</v>
      </c>
      <c r="C1314" t="s">
        <v>26</v>
      </c>
      <c r="D1314">
        <f ca="1">'2BAS Calcs'!N1314</f>
        <v>2.3900384741674906E-6</v>
      </c>
    </row>
    <row r="1315" spans="1:4" x14ac:dyDescent="0.35">
      <c r="A1315" t="s">
        <v>33</v>
      </c>
      <c r="B1315" t="s">
        <v>5</v>
      </c>
      <c r="C1315" t="s">
        <v>26</v>
      </c>
      <c r="D1315">
        <f ca="1">'2BAS Calcs'!N1315</f>
        <v>2.3900384741674906E-6</v>
      </c>
    </row>
    <row r="1316" spans="1:4" x14ac:dyDescent="0.35">
      <c r="A1316" t="s">
        <v>34</v>
      </c>
      <c r="B1316" t="s">
        <v>5</v>
      </c>
      <c r="C1316" t="s">
        <v>26</v>
      </c>
      <c r="D1316">
        <f ca="1">'2BAS Calcs'!N1316</f>
        <v>2.3900384741674906E-6</v>
      </c>
    </row>
    <row r="1317" spans="1:4" x14ac:dyDescent="0.35">
      <c r="A1317" t="s">
        <v>35</v>
      </c>
      <c r="B1317" t="s">
        <v>5</v>
      </c>
      <c r="C1317" t="s">
        <v>26</v>
      </c>
      <c r="D1317">
        <f ca="1">'2BAS Calcs'!N1317</f>
        <v>2.3900384741674906E-6</v>
      </c>
    </row>
    <row r="1318" spans="1:4" x14ac:dyDescent="0.35">
      <c r="A1318" t="s">
        <v>36</v>
      </c>
      <c r="B1318" t="s">
        <v>5</v>
      </c>
      <c r="C1318" t="s">
        <v>26</v>
      </c>
      <c r="D1318">
        <f ca="1">'2BAS Calcs'!N1318</f>
        <v>2.3900384741674906E-6</v>
      </c>
    </row>
    <row r="1319" spans="1:4" x14ac:dyDescent="0.35">
      <c r="A1319" t="s">
        <v>37</v>
      </c>
      <c r="B1319" t="s">
        <v>5</v>
      </c>
      <c r="C1319" t="s">
        <v>26</v>
      </c>
      <c r="D1319">
        <f ca="1">'2BAS Calcs'!N1319</f>
        <v>2.3900384741674906E-6</v>
      </c>
    </row>
    <row r="1320" spans="1:4" x14ac:dyDescent="0.35">
      <c r="A1320" t="s">
        <v>38</v>
      </c>
      <c r="B1320" t="s">
        <v>5</v>
      </c>
      <c r="C1320" t="s">
        <v>26</v>
      </c>
      <c r="D1320">
        <f ca="1">'2BAS Calcs'!N1320</f>
        <v>2.3900384741674906E-6</v>
      </c>
    </row>
    <row r="1321" spans="1:4" x14ac:dyDescent="0.35">
      <c r="A1321" t="s">
        <v>39</v>
      </c>
      <c r="B1321" t="s">
        <v>5</v>
      </c>
      <c r="C1321" t="s">
        <v>26</v>
      </c>
      <c r="D1321">
        <f ca="1">'2BAS Calcs'!N1321</f>
        <v>2.3900384741674906E-6</v>
      </c>
    </row>
    <row r="1322" spans="1:4" x14ac:dyDescent="0.35">
      <c r="A1322" t="s">
        <v>7</v>
      </c>
      <c r="B1322" t="s">
        <v>4</v>
      </c>
      <c r="C1322" t="s">
        <v>27</v>
      </c>
      <c r="D1322">
        <f ca="1">'2BAS Calcs'!N1322</f>
        <v>0.44564183267615365</v>
      </c>
    </row>
    <row r="1323" spans="1:4" x14ac:dyDescent="0.35">
      <c r="A1323" t="s">
        <v>8</v>
      </c>
      <c r="B1323" t="s">
        <v>4</v>
      </c>
      <c r="C1323" t="s">
        <v>27</v>
      </c>
      <c r="D1323">
        <f ca="1">'2BAS Calcs'!N1323</f>
        <v>0.77738524991512403</v>
      </c>
    </row>
    <row r="1324" spans="1:4" x14ac:dyDescent="0.35">
      <c r="A1324" t="s">
        <v>9</v>
      </c>
      <c r="B1324" t="s">
        <v>4</v>
      </c>
      <c r="C1324" t="s">
        <v>27</v>
      </c>
      <c r="D1324">
        <f ca="1">'2BAS Calcs'!N1324</f>
        <v>1.3089526255473469</v>
      </c>
    </row>
    <row r="1325" spans="1:4" x14ac:dyDescent="0.35">
      <c r="A1325" t="s">
        <v>10</v>
      </c>
      <c r="B1325" t="s">
        <v>4</v>
      </c>
      <c r="C1325" t="s">
        <v>27</v>
      </c>
      <c r="D1325">
        <f ca="1">'2BAS Calcs'!N1325</f>
        <v>6.8181418513745919</v>
      </c>
    </row>
    <row r="1326" spans="1:4" x14ac:dyDescent="0.35">
      <c r="A1326" t="s">
        <v>11</v>
      </c>
      <c r="B1326" t="s">
        <v>4</v>
      </c>
      <c r="C1326" t="s">
        <v>27</v>
      </c>
      <c r="D1326">
        <f ca="1">'2BAS Calcs'!N1326</f>
        <v>4.8380294641472928E-2</v>
      </c>
    </row>
    <row r="1327" spans="1:4" x14ac:dyDescent="0.35">
      <c r="A1327" t="s">
        <v>12</v>
      </c>
      <c r="B1327" t="s">
        <v>4</v>
      </c>
      <c r="C1327" t="s">
        <v>27</v>
      </c>
      <c r="D1327">
        <f ca="1">'2BAS Calcs'!N1327</f>
        <v>0.29782512896083801</v>
      </c>
    </row>
    <row r="1328" spans="1:4" x14ac:dyDescent="0.35">
      <c r="A1328" t="s">
        <v>13</v>
      </c>
      <c r="B1328" t="s">
        <v>4</v>
      </c>
      <c r="C1328" t="s">
        <v>27</v>
      </c>
      <c r="D1328">
        <f ca="1">'2BAS Calcs'!N1328</f>
        <v>5.9611426222814048</v>
      </c>
    </row>
    <row r="1329" spans="1:4" x14ac:dyDescent="0.35">
      <c r="A1329" t="s">
        <v>14</v>
      </c>
      <c r="B1329" t="s">
        <v>4</v>
      </c>
      <c r="C1329" t="s">
        <v>27</v>
      </c>
      <c r="D1329">
        <f ca="1">'2BAS Calcs'!N1329</f>
        <v>0.90836332275127885</v>
      </c>
    </row>
    <row r="1330" spans="1:4" x14ac:dyDescent="0.35">
      <c r="A1330" t="s">
        <v>15</v>
      </c>
      <c r="B1330" t="s">
        <v>4</v>
      </c>
      <c r="C1330" t="s">
        <v>27</v>
      </c>
      <c r="D1330">
        <f ca="1">'2BAS Calcs'!N1330</f>
        <v>5.6565606409084097</v>
      </c>
    </row>
    <row r="1331" spans="1:4" x14ac:dyDescent="0.35">
      <c r="A1331" t="s">
        <v>16</v>
      </c>
      <c r="B1331" t="s">
        <v>4</v>
      </c>
      <c r="C1331" t="s">
        <v>27</v>
      </c>
      <c r="D1331">
        <f ca="1">'2BAS Calcs'!N1331</f>
        <v>8.8547998581247729</v>
      </c>
    </row>
    <row r="1332" spans="1:4" x14ac:dyDescent="0.35">
      <c r="A1332" t="s">
        <v>17</v>
      </c>
      <c r="B1332" t="s">
        <v>4</v>
      </c>
      <c r="C1332" t="s">
        <v>27</v>
      </c>
      <c r="D1332">
        <f ca="1">'2BAS Calcs'!N1332</f>
        <v>8.2028714875944555</v>
      </c>
    </row>
    <row r="1333" spans="1:4" x14ac:dyDescent="0.35">
      <c r="A1333" t="s">
        <v>18</v>
      </c>
      <c r="B1333" t="s">
        <v>4</v>
      </c>
      <c r="C1333" t="s">
        <v>27</v>
      </c>
      <c r="D1333">
        <f ca="1">'2BAS Calcs'!N1333</f>
        <v>23.99197963295542</v>
      </c>
    </row>
    <row r="1334" spans="1:4" x14ac:dyDescent="0.35">
      <c r="A1334" t="s">
        <v>19</v>
      </c>
      <c r="B1334" t="s">
        <v>4</v>
      </c>
      <c r="C1334" t="s">
        <v>27</v>
      </c>
      <c r="D1334">
        <f ca="1">'2BAS Calcs'!N1334</f>
        <v>34.726499136778209</v>
      </c>
    </row>
    <row r="1335" spans="1:4" x14ac:dyDescent="0.35">
      <c r="A1335" t="s">
        <v>20</v>
      </c>
      <c r="B1335" t="s">
        <v>4</v>
      </c>
      <c r="C1335" t="s">
        <v>27</v>
      </c>
      <c r="D1335">
        <f ca="1">'2BAS Calcs'!N1335</f>
        <v>7.2238657978077221</v>
      </c>
    </row>
    <row r="1336" spans="1:4" x14ac:dyDescent="0.35">
      <c r="A1336" t="s">
        <v>21</v>
      </c>
      <c r="B1336" t="s">
        <v>4</v>
      </c>
      <c r="C1336" t="s">
        <v>27</v>
      </c>
      <c r="D1336">
        <f ca="1">'2BAS Calcs'!N1336</f>
        <v>10.434931381950072</v>
      </c>
    </row>
    <row r="1337" spans="1:4" x14ac:dyDescent="0.35">
      <c r="A1337" t="s">
        <v>22</v>
      </c>
      <c r="B1337" t="s">
        <v>4</v>
      </c>
      <c r="C1337" t="s">
        <v>27</v>
      </c>
      <c r="D1337">
        <f ca="1">'2BAS Calcs'!N1337</f>
        <v>28.4136406145469</v>
      </c>
    </row>
    <row r="1338" spans="1:4" x14ac:dyDescent="0.35">
      <c r="A1338" t="s">
        <v>23</v>
      </c>
      <c r="B1338" t="s">
        <v>4</v>
      </c>
      <c r="C1338" t="s">
        <v>27</v>
      </c>
      <c r="D1338">
        <f ca="1">'2BAS Calcs'!N1338</f>
        <v>6.4838043836708416E-7</v>
      </c>
    </row>
    <row r="1339" spans="1:4" x14ac:dyDescent="0.35">
      <c r="A1339" t="s">
        <v>24</v>
      </c>
      <c r="B1339" t="s">
        <v>4</v>
      </c>
      <c r="C1339" t="s">
        <v>27</v>
      </c>
      <c r="D1339">
        <f ca="1">'2BAS Calcs'!N1339</f>
        <v>943.85680828544639</v>
      </c>
    </row>
    <row r="1340" spans="1:4" x14ac:dyDescent="0.35">
      <c r="A1340" t="s">
        <v>25</v>
      </c>
      <c r="B1340" t="s">
        <v>4</v>
      </c>
      <c r="C1340" t="s">
        <v>27</v>
      </c>
      <c r="D1340">
        <f ca="1">'2BAS Calcs'!N1340</f>
        <v>150.91641089625554</v>
      </c>
    </row>
    <row r="1341" spans="1:4" x14ac:dyDescent="0.35">
      <c r="A1341" t="s">
        <v>26</v>
      </c>
      <c r="B1341" t="s">
        <v>4</v>
      </c>
      <c r="C1341" t="s">
        <v>27</v>
      </c>
      <c r="D1341">
        <f ca="1">'2BAS Calcs'!N1341</f>
        <v>6.4838043836708416E-7</v>
      </c>
    </row>
    <row r="1342" spans="1:4" x14ac:dyDescent="0.35">
      <c r="A1342" t="s">
        <v>27</v>
      </c>
      <c r="B1342" t="s">
        <v>4</v>
      </c>
      <c r="C1342" t="s">
        <v>27</v>
      </c>
      <c r="D1342">
        <f ca="1">'2BAS Calcs'!N1342</f>
        <v>6.4838043836708416E-7</v>
      </c>
    </row>
    <row r="1343" spans="1:4" x14ac:dyDescent="0.35">
      <c r="A1343" t="s">
        <v>28</v>
      </c>
      <c r="B1343" t="s">
        <v>4</v>
      </c>
      <c r="C1343" t="s">
        <v>27</v>
      </c>
      <c r="D1343">
        <f ca="1">'2BAS Calcs'!N1343</f>
        <v>6.4838043836708416E-7</v>
      </c>
    </row>
    <row r="1344" spans="1:4" x14ac:dyDescent="0.35">
      <c r="A1344" t="s">
        <v>29</v>
      </c>
      <c r="B1344" t="s">
        <v>4</v>
      </c>
      <c r="C1344" t="s">
        <v>27</v>
      </c>
      <c r="D1344">
        <f ca="1">'2BAS Calcs'!N1344</f>
        <v>6.4838043836708416E-7</v>
      </c>
    </row>
    <row r="1345" spans="1:4" x14ac:dyDescent="0.35">
      <c r="A1345" t="s">
        <v>30</v>
      </c>
      <c r="B1345" t="s">
        <v>4</v>
      </c>
      <c r="C1345" t="s">
        <v>27</v>
      </c>
      <c r="D1345">
        <f ca="1">'2BAS Calcs'!N1345</f>
        <v>6.4838043836708416E-7</v>
      </c>
    </row>
    <row r="1346" spans="1:4" x14ac:dyDescent="0.35">
      <c r="A1346" t="s">
        <v>31</v>
      </c>
      <c r="B1346" t="s">
        <v>4</v>
      </c>
      <c r="C1346" t="s">
        <v>27</v>
      </c>
      <c r="D1346">
        <f ca="1">'2BAS Calcs'!N1346</f>
        <v>6.4838043836708416E-7</v>
      </c>
    </row>
    <row r="1347" spans="1:4" x14ac:dyDescent="0.35">
      <c r="A1347" t="s">
        <v>32</v>
      </c>
      <c r="B1347" t="s">
        <v>4</v>
      </c>
      <c r="C1347" t="s">
        <v>27</v>
      </c>
      <c r="D1347">
        <f ca="1">'2BAS Calcs'!N1347</f>
        <v>6.4838043836708416E-7</v>
      </c>
    </row>
    <row r="1348" spans="1:4" x14ac:dyDescent="0.35">
      <c r="A1348" t="s">
        <v>33</v>
      </c>
      <c r="B1348" t="s">
        <v>4</v>
      </c>
      <c r="C1348" t="s">
        <v>27</v>
      </c>
      <c r="D1348">
        <f ca="1">'2BAS Calcs'!N1348</f>
        <v>6.4838043836708416E-7</v>
      </c>
    </row>
    <row r="1349" spans="1:4" x14ac:dyDescent="0.35">
      <c r="A1349" t="s">
        <v>34</v>
      </c>
      <c r="B1349" t="s">
        <v>4</v>
      </c>
      <c r="C1349" t="s">
        <v>27</v>
      </c>
      <c r="D1349">
        <f ca="1">'2BAS Calcs'!N1349</f>
        <v>6.4838043836708416E-7</v>
      </c>
    </row>
    <row r="1350" spans="1:4" x14ac:dyDescent="0.35">
      <c r="A1350" t="s">
        <v>35</v>
      </c>
      <c r="B1350" t="s">
        <v>4</v>
      </c>
      <c r="C1350" t="s">
        <v>27</v>
      </c>
      <c r="D1350">
        <f ca="1">'2BAS Calcs'!N1350</f>
        <v>6.4838043836708416E-7</v>
      </c>
    </row>
    <row r="1351" spans="1:4" x14ac:dyDescent="0.35">
      <c r="A1351" t="s">
        <v>36</v>
      </c>
      <c r="B1351" t="s">
        <v>4</v>
      </c>
      <c r="C1351" t="s">
        <v>27</v>
      </c>
      <c r="D1351">
        <f ca="1">'2BAS Calcs'!N1351</f>
        <v>6.4838043836708416E-7</v>
      </c>
    </row>
    <row r="1352" spans="1:4" x14ac:dyDescent="0.35">
      <c r="A1352" t="s">
        <v>37</v>
      </c>
      <c r="B1352" t="s">
        <v>4</v>
      </c>
      <c r="C1352" t="s">
        <v>27</v>
      </c>
      <c r="D1352">
        <f ca="1">'2BAS Calcs'!N1352</f>
        <v>6.4838043836708416E-7</v>
      </c>
    </row>
    <row r="1353" spans="1:4" x14ac:dyDescent="0.35">
      <c r="A1353" t="s">
        <v>38</v>
      </c>
      <c r="B1353" t="s">
        <v>4</v>
      </c>
      <c r="C1353" t="s">
        <v>27</v>
      </c>
      <c r="D1353">
        <f ca="1">'2BAS Calcs'!N1353</f>
        <v>6.4838043836708416E-7</v>
      </c>
    </row>
    <row r="1354" spans="1:4" x14ac:dyDescent="0.35">
      <c r="A1354" t="s">
        <v>39</v>
      </c>
      <c r="B1354" t="s">
        <v>4</v>
      </c>
      <c r="C1354" t="s">
        <v>27</v>
      </c>
      <c r="D1354">
        <f ca="1">'2BAS Calcs'!N1354</f>
        <v>6.4838043836708416E-7</v>
      </c>
    </row>
    <row r="1355" spans="1:4" x14ac:dyDescent="0.35">
      <c r="A1355" t="s">
        <v>7</v>
      </c>
      <c r="B1355" t="s">
        <v>5</v>
      </c>
      <c r="C1355" t="s">
        <v>27</v>
      </c>
      <c r="D1355">
        <f ca="1">'2BAS Calcs'!N1355</f>
        <v>5.9987017278916204</v>
      </c>
    </row>
    <row r="1356" spans="1:4" x14ac:dyDescent="0.35">
      <c r="A1356" t="s">
        <v>8</v>
      </c>
      <c r="B1356" t="s">
        <v>5</v>
      </c>
      <c r="C1356" t="s">
        <v>27</v>
      </c>
      <c r="D1356">
        <f ca="1">'2BAS Calcs'!N1356</f>
        <v>9.4637419459174463</v>
      </c>
    </row>
    <row r="1357" spans="1:4" x14ac:dyDescent="0.35">
      <c r="A1357" t="s">
        <v>9</v>
      </c>
      <c r="B1357" t="s">
        <v>5</v>
      </c>
      <c r="C1357" t="s">
        <v>27</v>
      </c>
      <c r="D1357">
        <f ca="1">'2BAS Calcs'!N1357</f>
        <v>2.3681185186543474</v>
      </c>
    </row>
    <row r="1358" spans="1:4" x14ac:dyDescent="0.35">
      <c r="A1358" t="s">
        <v>10</v>
      </c>
      <c r="B1358" t="s">
        <v>5</v>
      </c>
      <c r="C1358" t="s">
        <v>27</v>
      </c>
      <c r="D1358">
        <f ca="1">'2BAS Calcs'!N1358</f>
        <v>46.471995511173482</v>
      </c>
    </row>
    <row r="1359" spans="1:4" x14ac:dyDescent="0.35">
      <c r="A1359" t="s">
        <v>11</v>
      </c>
      <c r="B1359" t="s">
        <v>5</v>
      </c>
      <c r="C1359" t="s">
        <v>27</v>
      </c>
      <c r="D1359">
        <f ca="1">'2BAS Calcs'!N1359</f>
        <v>24.219785643024718</v>
      </c>
    </row>
    <row r="1360" spans="1:4" x14ac:dyDescent="0.35">
      <c r="A1360" t="s">
        <v>12</v>
      </c>
      <c r="B1360" t="s">
        <v>5</v>
      </c>
      <c r="C1360" t="s">
        <v>27</v>
      </c>
      <c r="D1360">
        <f ca="1">'2BAS Calcs'!N1360</f>
        <v>0.43351644035289816</v>
      </c>
    </row>
    <row r="1361" spans="1:4" x14ac:dyDescent="0.35">
      <c r="A1361" t="s">
        <v>13</v>
      </c>
      <c r="B1361" t="s">
        <v>5</v>
      </c>
      <c r="C1361" t="s">
        <v>27</v>
      </c>
      <c r="D1361">
        <f ca="1">'2BAS Calcs'!N1361</f>
        <v>6.2425929977675922</v>
      </c>
    </row>
    <row r="1362" spans="1:4" x14ac:dyDescent="0.35">
      <c r="A1362" t="s">
        <v>14</v>
      </c>
      <c r="B1362" t="s">
        <v>5</v>
      </c>
      <c r="C1362" t="s">
        <v>27</v>
      </c>
      <c r="D1362">
        <f ca="1">'2BAS Calcs'!N1362</f>
        <v>1.5719583228853511</v>
      </c>
    </row>
    <row r="1363" spans="1:4" x14ac:dyDescent="0.35">
      <c r="A1363" t="s">
        <v>15</v>
      </c>
      <c r="B1363" t="s">
        <v>5</v>
      </c>
      <c r="C1363" t="s">
        <v>27</v>
      </c>
      <c r="D1363">
        <f ca="1">'2BAS Calcs'!N1363</f>
        <v>21.548923899394627</v>
      </c>
    </row>
    <row r="1364" spans="1:4" x14ac:dyDescent="0.35">
      <c r="A1364" t="s">
        <v>16</v>
      </c>
      <c r="B1364" t="s">
        <v>5</v>
      </c>
      <c r="C1364" t="s">
        <v>27</v>
      </c>
      <c r="D1364">
        <f ca="1">'2BAS Calcs'!N1364</f>
        <v>16.503611557235736</v>
      </c>
    </row>
    <row r="1365" spans="1:4" x14ac:dyDescent="0.35">
      <c r="A1365" t="s">
        <v>17</v>
      </c>
      <c r="B1365" t="s">
        <v>5</v>
      </c>
      <c r="C1365" t="s">
        <v>27</v>
      </c>
      <c r="D1365">
        <f ca="1">'2BAS Calcs'!N1365</f>
        <v>6.2299050280861827</v>
      </c>
    </row>
    <row r="1366" spans="1:4" x14ac:dyDescent="0.35">
      <c r="A1366" t="s">
        <v>18</v>
      </c>
      <c r="B1366" t="s">
        <v>5</v>
      </c>
      <c r="C1366" t="s">
        <v>27</v>
      </c>
      <c r="D1366">
        <f ca="1">'2BAS Calcs'!N1366</f>
        <v>77.980579351766323</v>
      </c>
    </row>
    <row r="1367" spans="1:4" x14ac:dyDescent="0.35">
      <c r="A1367" t="s">
        <v>19</v>
      </c>
      <c r="B1367" t="s">
        <v>5</v>
      </c>
      <c r="C1367" t="s">
        <v>27</v>
      </c>
      <c r="D1367">
        <f ca="1">'2BAS Calcs'!N1367</f>
        <v>298.72581026965008</v>
      </c>
    </row>
    <row r="1368" spans="1:4" x14ac:dyDescent="0.35">
      <c r="A1368" t="s">
        <v>20</v>
      </c>
      <c r="B1368" t="s">
        <v>5</v>
      </c>
      <c r="C1368" t="s">
        <v>27</v>
      </c>
      <c r="D1368">
        <f ca="1">'2BAS Calcs'!N1368</f>
        <v>160.16766712845714</v>
      </c>
    </row>
    <row r="1369" spans="1:4" x14ac:dyDescent="0.35">
      <c r="A1369" t="s">
        <v>21</v>
      </c>
      <c r="B1369" t="s">
        <v>5</v>
      </c>
      <c r="C1369" t="s">
        <v>27</v>
      </c>
      <c r="D1369">
        <f ca="1">'2BAS Calcs'!N1369</f>
        <v>255.60958120497358</v>
      </c>
    </row>
    <row r="1370" spans="1:4" x14ac:dyDescent="0.35">
      <c r="A1370" t="s">
        <v>22</v>
      </c>
      <c r="B1370" t="s">
        <v>5</v>
      </c>
      <c r="C1370" t="s">
        <v>27</v>
      </c>
      <c r="D1370">
        <f ca="1">'2BAS Calcs'!N1370</f>
        <v>96.987137120451905</v>
      </c>
    </row>
    <row r="1371" spans="1:4" x14ac:dyDescent="0.35">
      <c r="A1371" t="s">
        <v>23</v>
      </c>
      <c r="B1371" t="s">
        <v>5</v>
      </c>
      <c r="C1371" t="s">
        <v>27</v>
      </c>
      <c r="D1371">
        <f ca="1">'2BAS Calcs'!N1371</f>
        <v>6.4838043836708416E-7</v>
      </c>
    </row>
    <row r="1372" spans="1:4" x14ac:dyDescent="0.35">
      <c r="A1372" t="s">
        <v>24</v>
      </c>
      <c r="B1372" t="s">
        <v>5</v>
      </c>
      <c r="C1372" t="s">
        <v>27</v>
      </c>
      <c r="D1372">
        <f ca="1">'2BAS Calcs'!N1372</f>
        <v>18.985791046877289</v>
      </c>
    </row>
    <row r="1373" spans="1:4" x14ac:dyDescent="0.35">
      <c r="A1373" t="s">
        <v>25</v>
      </c>
      <c r="B1373" t="s">
        <v>5</v>
      </c>
      <c r="C1373" t="s">
        <v>27</v>
      </c>
      <c r="D1373">
        <f ca="1">'2BAS Calcs'!N1373</f>
        <v>1.6611284501304659</v>
      </c>
    </row>
    <row r="1374" spans="1:4" x14ac:dyDescent="0.35">
      <c r="A1374" t="s">
        <v>26</v>
      </c>
      <c r="B1374" t="s">
        <v>5</v>
      </c>
      <c r="C1374" t="s">
        <v>27</v>
      </c>
      <c r="D1374">
        <f ca="1">'2BAS Calcs'!N1374</f>
        <v>6.4838043836708416E-7</v>
      </c>
    </row>
    <row r="1375" spans="1:4" x14ac:dyDescent="0.35">
      <c r="A1375" t="s">
        <v>27</v>
      </c>
      <c r="B1375" t="s">
        <v>5</v>
      </c>
      <c r="C1375" t="s">
        <v>27</v>
      </c>
      <c r="D1375">
        <f ca="1">'2BAS Calcs'!N1375</f>
        <v>6.4838043836708416E-7</v>
      </c>
    </row>
    <row r="1376" spans="1:4" x14ac:dyDescent="0.35">
      <c r="A1376" t="s">
        <v>28</v>
      </c>
      <c r="B1376" t="s">
        <v>5</v>
      </c>
      <c r="C1376" t="s">
        <v>27</v>
      </c>
      <c r="D1376">
        <f ca="1">'2BAS Calcs'!N1376</f>
        <v>6.4838043836708416E-7</v>
      </c>
    </row>
    <row r="1377" spans="1:4" x14ac:dyDescent="0.35">
      <c r="A1377" t="s">
        <v>29</v>
      </c>
      <c r="B1377" t="s">
        <v>5</v>
      </c>
      <c r="C1377" t="s">
        <v>27</v>
      </c>
      <c r="D1377">
        <f ca="1">'2BAS Calcs'!N1377</f>
        <v>6.4838043836708416E-7</v>
      </c>
    </row>
    <row r="1378" spans="1:4" x14ac:dyDescent="0.35">
      <c r="A1378" t="s">
        <v>30</v>
      </c>
      <c r="B1378" t="s">
        <v>5</v>
      </c>
      <c r="C1378" t="s">
        <v>27</v>
      </c>
      <c r="D1378">
        <f ca="1">'2BAS Calcs'!N1378</f>
        <v>6.4838043836708416E-7</v>
      </c>
    </row>
    <row r="1379" spans="1:4" x14ac:dyDescent="0.35">
      <c r="A1379" t="s">
        <v>31</v>
      </c>
      <c r="B1379" t="s">
        <v>5</v>
      </c>
      <c r="C1379" t="s">
        <v>27</v>
      </c>
      <c r="D1379">
        <f ca="1">'2BAS Calcs'!N1379</f>
        <v>6.4838043836708416E-7</v>
      </c>
    </row>
    <row r="1380" spans="1:4" x14ac:dyDescent="0.35">
      <c r="A1380" t="s">
        <v>32</v>
      </c>
      <c r="B1380" t="s">
        <v>5</v>
      </c>
      <c r="C1380" t="s">
        <v>27</v>
      </c>
      <c r="D1380">
        <f ca="1">'2BAS Calcs'!N1380</f>
        <v>6.4838043836708416E-7</v>
      </c>
    </row>
    <row r="1381" spans="1:4" x14ac:dyDescent="0.35">
      <c r="A1381" t="s">
        <v>33</v>
      </c>
      <c r="B1381" t="s">
        <v>5</v>
      </c>
      <c r="C1381" t="s">
        <v>27</v>
      </c>
      <c r="D1381">
        <f ca="1">'2BAS Calcs'!N1381</f>
        <v>6.4838043836708416E-7</v>
      </c>
    </row>
    <row r="1382" spans="1:4" x14ac:dyDescent="0.35">
      <c r="A1382" t="s">
        <v>34</v>
      </c>
      <c r="B1382" t="s">
        <v>5</v>
      </c>
      <c r="C1382" t="s">
        <v>27</v>
      </c>
      <c r="D1382">
        <f ca="1">'2BAS Calcs'!N1382</f>
        <v>6.4838043836708416E-7</v>
      </c>
    </row>
    <row r="1383" spans="1:4" x14ac:dyDescent="0.35">
      <c r="A1383" t="s">
        <v>35</v>
      </c>
      <c r="B1383" t="s">
        <v>5</v>
      </c>
      <c r="C1383" t="s">
        <v>27</v>
      </c>
      <c r="D1383">
        <f ca="1">'2BAS Calcs'!N1383</f>
        <v>6.4838043836708416E-7</v>
      </c>
    </row>
    <row r="1384" spans="1:4" x14ac:dyDescent="0.35">
      <c r="A1384" t="s">
        <v>36</v>
      </c>
      <c r="B1384" t="s">
        <v>5</v>
      </c>
      <c r="C1384" t="s">
        <v>27</v>
      </c>
      <c r="D1384">
        <f ca="1">'2BAS Calcs'!N1384</f>
        <v>6.4838043836708416E-7</v>
      </c>
    </row>
    <row r="1385" spans="1:4" x14ac:dyDescent="0.35">
      <c r="A1385" t="s">
        <v>37</v>
      </c>
      <c r="B1385" t="s">
        <v>5</v>
      </c>
      <c r="C1385" t="s">
        <v>27</v>
      </c>
      <c r="D1385">
        <f ca="1">'2BAS Calcs'!N1385</f>
        <v>6.4838043836708416E-7</v>
      </c>
    </row>
    <row r="1386" spans="1:4" x14ac:dyDescent="0.35">
      <c r="A1386" t="s">
        <v>38</v>
      </c>
      <c r="B1386" t="s">
        <v>5</v>
      </c>
      <c r="C1386" t="s">
        <v>27</v>
      </c>
      <c r="D1386">
        <f ca="1">'2BAS Calcs'!N1386</f>
        <v>6.4838043836708416E-7</v>
      </c>
    </row>
    <row r="1387" spans="1:4" x14ac:dyDescent="0.35">
      <c r="A1387" t="s">
        <v>39</v>
      </c>
      <c r="B1387" t="s">
        <v>5</v>
      </c>
      <c r="C1387" t="s">
        <v>27</v>
      </c>
      <c r="D1387">
        <f ca="1">'2BAS Calcs'!N1387</f>
        <v>6.4838043836708416E-7</v>
      </c>
    </row>
    <row r="1388" spans="1:4" x14ac:dyDescent="0.35">
      <c r="A1388" t="s">
        <v>7</v>
      </c>
      <c r="B1388" t="s">
        <v>4</v>
      </c>
      <c r="C1388" t="s">
        <v>28</v>
      </c>
      <c r="D1388">
        <f ca="1">'2BAS Calcs'!N1388</f>
        <v>3.9797971127332674E-2</v>
      </c>
    </row>
    <row r="1389" spans="1:4" x14ac:dyDescent="0.35">
      <c r="A1389" t="s">
        <v>8</v>
      </c>
      <c r="B1389" t="s">
        <v>4</v>
      </c>
      <c r="C1389" t="s">
        <v>28</v>
      </c>
      <c r="D1389">
        <f ca="1">'2BAS Calcs'!N1389</f>
        <v>6.942426285509691E-2</v>
      </c>
    </row>
    <row r="1390" spans="1:4" x14ac:dyDescent="0.35">
      <c r="A1390" t="s">
        <v>9</v>
      </c>
      <c r="B1390" t="s">
        <v>4</v>
      </c>
      <c r="C1390" t="s">
        <v>28</v>
      </c>
      <c r="D1390">
        <f ca="1">'2BAS Calcs'!N1390</f>
        <v>0.11689580057093941</v>
      </c>
    </row>
    <row r="1391" spans="1:4" x14ac:dyDescent="0.35">
      <c r="A1391" t="s">
        <v>10</v>
      </c>
      <c r="B1391" t="s">
        <v>4</v>
      </c>
      <c r="C1391" t="s">
        <v>28</v>
      </c>
      <c r="D1391">
        <f ca="1">'2BAS Calcs'!N1391</f>
        <v>0.60889304514698095</v>
      </c>
    </row>
    <row r="1392" spans="1:4" x14ac:dyDescent="0.35">
      <c r="A1392" t="s">
        <v>11</v>
      </c>
      <c r="B1392" t="s">
        <v>4</v>
      </c>
      <c r="C1392" t="s">
        <v>28</v>
      </c>
      <c r="D1392">
        <f ca="1">'2BAS Calcs'!N1392</f>
        <v>4.3205943160914972E-3</v>
      </c>
    </row>
    <row r="1393" spans="1:4" x14ac:dyDescent="0.35">
      <c r="A1393" t="s">
        <v>12</v>
      </c>
      <c r="B1393" t="s">
        <v>4</v>
      </c>
      <c r="C1393" t="s">
        <v>28</v>
      </c>
      <c r="D1393">
        <f ca="1">'2BAS Calcs'!N1393</f>
        <v>2.6597224529392366E-2</v>
      </c>
    </row>
    <row r="1394" spans="1:4" x14ac:dyDescent="0.35">
      <c r="A1394" t="s">
        <v>13</v>
      </c>
      <c r="B1394" t="s">
        <v>4</v>
      </c>
      <c r="C1394" t="s">
        <v>28</v>
      </c>
      <c r="D1394">
        <f ca="1">'2BAS Calcs'!N1394</f>
        <v>0.53235886887636519</v>
      </c>
    </row>
    <row r="1395" spans="1:4" x14ac:dyDescent="0.35">
      <c r="A1395" t="s">
        <v>14</v>
      </c>
      <c r="B1395" t="s">
        <v>4</v>
      </c>
      <c r="C1395" t="s">
        <v>28</v>
      </c>
      <c r="D1395">
        <f ca="1">'2BAS Calcs'!N1395</f>
        <v>8.1121238270856377E-2</v>
      </c>
    </row>
    <row r="1396" spans="1:4" x14ac:dyDescent="0.35">
      <c r="A1396" t="s">
        <v>15</v>
      </c>
      <c r="B1396" t="s">
        <v>4</v>
      </c>
      <c r="C1396" t="s">
        <v>28</v>
      </c>
      <c r="D1396">
        <f ca="1">'2BAS Calcs'!N1396</f>
        <v>0.50515822474519123</v>
      </c>
    </row>
    <row r="1397" spans="1:4" x14ac:dyDescent="0.35">
      <c r="A1397" t="s">
        <v>16</v>
      </c>
      <c r="B1397" t="s">
        <v>4</v>
      </c>
      <c r="C1397" t="s">
        <v>28</v>
      </c>
      <c r="D1397">
        <f ca="1">'2BAS Calcs'!N1397</f>
        <v>0.79077645600665425</v>
      </c>
    </row>
    <row r="1398" spans="1:4" x14ac:dyDescent="0.35">
      <c r="A1398" t="s">
        <v>17</v>
      </c>
      <c r="B1398" t="s">
        <v>4</v>
      </c>
      <c r="C1398" t="s">
        <v>28</v>
      </c>
      <c r="D1398">
        <f ca="1">'2BAS Calcs'!N1398</f>
        <v>0.73255609928734</v>
      </c>
    </row>
    <row r="1399" spans="1:4" x14ac:dyDescent="0.35">
      <c r="A1399" t="s">
        <v>18</v>
      </c>
      <c r="B1399" t="s">
        <v>4</v>
      </c>
      <c r="C1399" t="s">
        <v>28</v>
      </c>
      <c r="D1399">
        <f ca="1">'2BAS Calcs'!N1399</f>
        <v>2.142599825034349</v>
      </c>
    </row>
    <row r="1400" spans="1:4" x14ac:dyDescent="0.35">
      <c r="A1400" t="s">
        <v>19</v>
      </c>
      <c r="B1400" t="s">
        <v>4</v>
      </c>
      <c r="C1400" t="s">
        <v>28</v>
      </c>
      <c r="D1400">
        <f ca="1">'2BAS Calcs'!N1400</f>
        <v>3.1012443371831497</v>
      </c>
    </row>
    <row r="1401" spans="1:4" x14ac:dyDescent="0.35">
      <c r="A1401" t="s">
        <v>20</v>
      </c>
      <c r="B1401" t="s">
        <v>4</v>
      </c>
      <c r="C1401" t="s">
        <v>28</v>
      </c>
      <c r="D1401">
        <f ca="1">'2BAS Calcs'!N1401</f>
        <v>0.64512615595897049</v>
      </c>
    </row>
    <row r="1402" spans="1:4" x14ac:dyDescent="0.35">
      <c r="A1402" t="s">
        <v>21</v>
      </c>
      <c r="B1402" t="s">
        <v>4</v>
      </c>
      <c r="C1402" t="s">
        <v>28</v>
      </c>
      <c r="D1402">
        <f ca="1">'2BAS Calcs'!N1402</f>
        <v>0.93188984382517726</v>
      </c>
    </row>
    <row r="1403" spans="1:4" x14ac:dyDescent="0.35">
      <c r="A1403" t="s">
        <v>22</v>
      </c>
      <c r="B1403" t="s">
        <v>4</v>
      </c>
      <c r="C1403" t="s">
        <v>28</v>
      </c>
      <c r="D1403">
        <f ca="1">'2BAS Calcs'!N1403</f>
        <v>2.5374755372705255</v>
      </c>
    </row>
    <row r="1404" spans="1:4" x14ac:dyDescent="0.35">
      <c r="A1404" t="s">
        <v>23</v>
      </c>
      <c r="B1404" t="s">
        <v>4</v>
      </c>
      <c r="C1404" t="s">
        <v>28</v>
      </c>
      <c r="D1404">
        <f ca="1">'2BAS Calcs'!N1404</f>
        <v>5.7903509216587297E-8</v>
      </c>
    </row>
    <row r="1405" spans="1:4" x14ac:dyDescent="0.35">
      <c r="A1405" t="s">
        <v>24</v>
      </c>
      <c r="B1405" t="s">
        <v>4</v>
      </c>
      <c r="C1405" t="s">
        <v>28</v>
      </c>
      <c r="D1405">
        <f ca="1">'2BAS Calcs'!N1405</f>
        <v>84.290978203067155</v>
      </c>
    </row>
    <row r="1406" spans="1:4" x14ac:dyDescent="0.35">
      <c r="A1406" t="s">
        <v>25</v>
      </c>
      <c r="B1406" t="s">
        <v>4</v>
      </c>
      <c r="C1406" t="s">
        <v>28</v>
      </c>
      <c r="D1406">
        <f ca="1">'2BAS Calcs'!N1406</f>
        <v>13.477565441784979</v>
      </c>
    </row>
    <row r="1407" spans="1:4" x14ac:dyDescent="0.35">
      <c r="A1407" t="s">
        <v>26</v>
      </c>
      <c r="B1407" t="s">
        <v>4</v>
      </c>
      <c r="C1407" t="s">
        <v>28</v>
      </c>
      <c r="D1407">
        <f ca="1">'2BAS Calcs'!N1407</f>
        <v>5.7903509216587297E-8</v>
      </c>
    </row>
    <row r="1408" spans="1:4" x14ac:dyDescent="0.35">
      <c r="A1408" t="s">
        <v>27</v>
      </c>
      <c r="B1408" t="s">
        <v>4</v>
      </c>
      <c r="C1408" t="s">
        <v>28</v>
      </c>
      <c r="D1408">
        <f ca="1">'2BAS Calcs'!N1408</f>
        <v>5.7903509216587297E-8</v>
      </c>
    </row>
    <row r="1409" spans="1:4" x14ac:dyDescent="0.35">
      <c r="A1409" t="s">
        <v>28</v>
      </c>
      <c r="B1409" t="s">
        <v>4</v>
      </c>
      <c r="C1409" t="s">
        <v>28</v>
      </c>
      <c r="D1409">
        <f ca="1">'2BAS Calcs'!N1409</f>
        <v>5.7903509216587297E-8</v>
      </c>
    </row>
    <row r="1410" spans="1:4" x14ac:dyDescent="0.35">
      <c r="A1410" t="s">
        <v>29</v>
      </c>
      <c r="B1410" t="s">
        <v>4</v>
      </c>
      <c r="C1410" t="s">
        <v>28</v>
      </c>
      <c r="D1410">
        <f ca="1">'2BAS Calcs'!N1410</f>
        <v>5.7903509216587297E-8</v>
      </c>
    </row>
    <row r="1411" spans="1:4" x14ac:dyDescent="0.35">
      <c r="A1411" t="s">
        <v>30</v>
      </c>
      <c r="B1411" t="s">
        <v>4</v>
      </c>
      <c r="C1411" t="s">
        <v>28</v>
      </c>
      <c r="D1411">
        <f ca="1">'2BAS Calcs'!N1411</f>
        <v>5.7903509216587297E-8</v>
      </c>
    </row>
    <row r="1412" spans="1:4" x14ac:dyDescent="0.35">
      <c r="A1412" t="s">
        <v>31</v>
      </c>
      <c r="B1412" t="s">
        <v>4</v>
      </c>
      <c r="C1412" t="s">
        <v>28</v>
      </c>
      <c r="D1412">
        <f ca="1">'2BAS Calcs'!N1412</f>
        <v>5.7903509216587297E-8</v>
      </c>
    </row>
    <row r="1413" spans="1:4" x14ac:dyDescent="0.35">
      <c r="A1413" t="s">
        <v>32</v>
      </c>
      <c r="B1413" t="s">
        <v>4</v>
      </c>
      <c r="C1413" t="s">
        <v>28</v>
      </c>
      <c r="D1413">
        <f ca="1">'2BAS Calcs'!N1413</f>
        <v>5.7903509216587297E-8</v>
      </c>
    </row>
    <row r="1414" spans="1:4" x14ac:dyDescent="0.35">
      <c r="A1414" t="s">
        <v>33</v>
      </c>
      <c r="B1414" t="s">
        <v>4</v>
      </c>
      <c r="C1414" t="s">
        <v>28</v>
      </c>
      <c r="D1414">
        <f ca="1">'2BAS Calcs'!N1414</f>
        <v>5.7903509216587297E-8</v>
      </c>
    </row>
    <row r="1415" spans="1:4" x14ac:dyDescent="0.35">
      <c r="A1415" t="s">
        <v>34</v>
      </c>
      <c r="B1415" t="s">
        <v>4</v>
      </c>
      <c r="C1415" t="s">
        <v>28</v>
      </c>
      <c r="D1415">
        <f ca="1">'2BAS Calcs'!N1415</f>
        <v>5.7903509216587297E-8</v>
      </c>
    </row>
    <row r="1416" spans="1:4" x14ac:dyDescent="0.35">
      <c r="A1416" t="s">
        <v>35</v>
      </c>
      <c r="B1416" t="s">
        <v>4</v>
      </c>
      <c r="C1416" t="s">
        <v>28</v>
      </c>
      <c r="D1416">
        <f ca="1">'2BAS Calcs'!N1416</f>
        <v>5.7903509216587297E-8</v>
      </c>
    </row>
    <row r="1417" spans="1:4" x14ac:dyDescent="0.35">
      <c r="A1417" t="s">
        <v>36</v>
      </c>
      <c r="B1417" t="s">
        <v>4</v>
      </c>
      <c r="C1417" t="s">
        <v>28</v>
      </c>
      <c r="D1417">
        <f ca="1">'2BAS Calcs'!N1417</f>
        <v>5.7903509216587297E-8</v>
      </c>
    </row>
    <row r="1418" spans="1:4" x14ac:dyDescent="0.35">
      <c r="A1418" t="s">
        <v>37</v>
      </c>
      <c r="B1418" t="s">
        <v>4</v>
      </c>
      <c r="C1418" t="s">
        <v>28</v>
      </c>
      <c r="D1418">
        <f ca="1">'2BAS Calcs'!N1418</f>
        <v>5.7903509216587297E-8</v>
      </c>
    </row>
    <row r="1419" spans="1:4" x14ac:dyDescent="0.35">
      <c r="A1419" t="s">
        <v>38</v>
      </c>
      <c r="B1419" t="s">
        <v>4</v>
      </c>
      <c r="C1419" t="s">
        <v>28</v>
      </c>
      <c r="D1419">
        <f ca="1">'2BAS Calcs'!N1419</f>
        <v>5.7903509216587297E-8</v>
      </c>
    </row>
    <row r="1420" spans="1:4" x14ac:dyDescent="0.35">
      <c r="A1420" t="s">
        <v>39</v>
      </c>
      <c r="B1420" t="s">
        <v>4</v>
      </c>
      <c r="C1420" t="s">
        <v>28</v>
      </c>
      <c r="D1420">
        <f ca="1">'2BAS Calcs'!N1420</f>
        <v>5.7903509216587297E-8</v>
      </c>
    </row>
    <row r="1421" spans="1:4" x14ac:dyDescent="0.35">
      <c r="A1421" t="s">
        <v>7</v>
      </c>
      <c r="B1421" t="s">
        <v>5</v>
      </c>
      <c r="C1421" t="s">
        <v>28</v>
      </c>
      <c r="D1421">
        <f ca="1">'2BAS Calcs'!N1421</f>
        <v>0.53571307867230689</v>
      </c>
    </row>
    <row r="1422" spans="1:4" x14ac:dyDescent="0.35">
      <c r="A1422" t="s">
        <v>8</v>
      </c>
      <c r="B1422" t="s">
        <v>5</v>
      </c>
      <c r="C1422" t="s">
        <v>28</v>
      </c>
      <c r="D1422">
        <f ca="1">'2BAS Calcs'!N1422</f>
        <v>0.84515792976251169</v>
      </c>
    </row>
    <row r="1423" spans="1:4" x14ac:dyDescent="0.35">
      <c r="A1423" t="s">
        <v>9</v>
      </c>
      <c r="B1423" t="s">
        <v>5</v>
      </c>
      <c r="C1423" t="s">
        <v>28</v>
      </c>
      <c r="D1423">
        <f ca="1">'2BAS Calcs'!N1423</f>
        <v>0.21148443777268999</v>
      </c>
    </row>
    <row r="1424" spans="1:4" x14ac:dyDescent="0.35">
      <c r="A1424" t="s">
        <v>10</v>
      </c>
      <c r="B1424" t="s">
        <v>5</v>
      </c>
      <c r="C1424" t="s">
        <v>28</v>
      </c>
      <c r="D1424">
        <f ca="1">'2BAS Calcs'!N1424</f>
        <v>4.150173973741901</v>
      </c>
    </row>
    <row r="1425" spans="1:4" x14ac:dyDescent="0.35">
      <c r="A1425" t="s">
        <v>11</v>
      </c>
      <c r="B1425" t="s">
        <v>5</v>
      </c>
      <c r="C1425" t="s">
        <v>28</v>
      </c>
      <c r="D1425">
        <f ca="1">'2BAS Calcs'!N1425</f>
        <v>2.1629440035799905</v>
      </c>
    </row>
    <row r="1426" spans="1:4" x14ac:dyDescent="0.35">
      <c r="A1426" t="s">
        <v>12</v>
      </c>
      <c r="B1426" t="s">
        <v>5</v>
      </c>
      <c r="C1426" t="s">
        <v>28</v>
      </c>
      <c r="D1426">
        <f ca="1">'2BAS Calcs'!N1426</f>
        <v>3.8715114945069413E-2</v>
      </c>
    </row>
    <row r="1427" spans="1:4" x14ac:dyDescent="0.35">
      <c r="A1427" t="s">
        <v>13</v>
      </c>
      <c r="B1427" t="s">
        <v>5</v>
      </c>
      <c r="C1427" t="s">
        <v>28</v>
      </c>
      <c r="D1427">
        <f ca="1">'2BAS Calcs'!N1427</f>
        <v>0.55749374871947011</v>
      </c>
    </row>
    <row r="1428" spans="1:4" x14ac:dyDescent="0.35">
      <c r="A1428" t="s">
        <v>14</v>
      </c>
      <c r="B1428" t="s">
        <v>5</v>
      </c>
      <c r="C1428" t="s">
        <v>28</v>
      </c>
      <c r="D1428">
        <f ca="1">'2BAS Calcs'!N1428</f>
        <v>0.14038348144265034</v>
      </c>
    </row>
    <row r="1429" spans="1:4" x14ac:dyDescent="0.35">
      <c r="A1429" t="s">
        <v>15</v>
      </c>
      <c r="B1429" t="s">
        <v>5</v>
      </c>
      <c r="C1429" t="s">
        <v>28</v>
      </c>
      <c r="D1429">
        <f ca="1">'2BAS Calcs'!N1429</f>
        <v>1.9244231315160527</v>
      </c>
    </row>
    <row r="1430" spans="1:4" x14ac:dyDescent="0.35">
      <c r="A1430" t="s">
        <v>16</v>
      </c>
      <c r="B1430" t="s">
        <v>5</v>
      </c>
      <c r="C1430" t="s">
        <v>28</v>
      </c>
      <c r="D1430">
        <f ca="1">'2BAS Calcs'!N1430</f>
        <v>1.4738523363197891</v>
      </c>
    </row>
    <row r="1431" spans="1:4" x14ac:dyDescent="0.35">
      <c r="A1431" t="s">
        <v>17</v>
      </c>
      <c r="B1431" t="s">
        <v>5</v>
      </c>
      <c r="C1431" t="s">
        <v>28</v>
      </c>
      <c r="D1431">
        <f ca="1">'2BAS Calcs'!N1431</f>
        <v>0.55636065165806359</v>
      </c>
    </row>
    <row r="1432" spans="1:4" x14ac:dyDescent="0.35">
      <c r="A1432" t="s">
        <v>18</v>
      </c>
      <c r="B1432" t="s">
        <v>5</v>
      </c>
      <c r="C1432" t="s">
        <v>28</v>
      </c>
      <c r="D1432">
        <f ca="1">'2BAS Calcs'!N1432</f>
        <v>6.9640429106428856</v>
      </c>
    </row>
    <row r="1433" spans="1:4" x14ac:dyDescent="0.35">
      <c r="A1433" t="s">
        <v>19</v>
      </c>
      <c r="B1433" t="s">
        <v>5</v>
      </c>
      <c r="C1433" t="s">
        <v>28</v>
      </c>
      <c r="D1433">
        <f ca="1">'2BAS Calcs'!N1433</f>
        <v>26.677659726662277</v>
      </c>
    </row>
    <row r="1434" spans="1:4" x14ac:dyDescent="0.35">
      <c r="A1434" t="s">
        <v>20</v>
      </c>
      <c r="B1434" t="s">
        <v>5</v>
      </c>
      <c r="C1434" t="s">
        <v>28</v>
      </c>
      <c r="D1434">
        <f ca="1">'2BAS Calcs'!N1434</f>
        <v>14.303747369567041</v>
      </c>
    </row>
    <row r="1435" spans="1:4" x14ac:dyDescent="0.35">
      <c r="A1435" t="s">
        <v>21</v>
      </c>
      <c r="B1435" t="s">
        <v>5</v>
      </c>
      <c r="C1435" t="s">
        <v>28</v>
      </c>
      <c r="D1435">
        <f ca="1">'2BAS Calcs'!N1435</f>
        <v>22.827171927680389</v>
      </c>
    </row>
    <row r="1436" spans="1:4" x14ac:dyDescent="0.35">
      <c r="A1436" t="s">
        <v>22</v>
      </c>
      <c r="B1436" t="s">
        <v>5</v>
      </c>
      <c r="C1436" t="s">
        <v>28</v>
      </c>
      <c r="D1436">
        <f ca="1">'2BAS Calcs'!N1436</f>
        <v>8.6614204498332388</v>
      </c>
    </row>
    <row r="1437" spans="1:4" x14ac:dyDescent="0.35">
      <c r="A1437" t="s">
        <v>23</v>
      </c>
      <c r="B1437" t="s">
        <v>5</v>
      </c>
      <c r="C1437" t="s">
        <v>28</v>
      </c>
      <c r="D1437">
        <f ca="1">'2BAS Calcs'!N1437</f>
        <v>5.7903509216587297E-8</v>
      </c>
    </row>
    <row r="1438" spans="1:4" x14ac:dyDescent="0.35">
      <c r="A1438" t="s">
        <v>24</v>
      </c>
      <c r="B1438" t="s">
        <v>5</v>
      </c>
      <c r="C1438" t="s">
        <v>28</v>
      </c>
      <c r="D1438">
        <f ca="1">'2BAS Calcs'!N1438</f>
        <v>1.6955229704889092</v>
      </c>
    </row>
    <row r="1439" spans="1:4" x14ac:dyDescent="0.35">
      <c r="A1439" t="s">
        <v>25</v>
      </c>
      <c r="B1439" t="s">
        <v>5</v>
      </c>
      <c r="C1439" t="s">
        <v>28</v>
      </c>
      <c r="D1439">
        <f ca="1">'2BAS Calcs'!N1439</f>
        <v>0.14834680510149667</v>
      </c>
    </row>
    <row r="1440" spans="1:4" x14ac:dyDescent="0.35">
      <c r="A1440" t="s">
        <v>26</v>
      </c>
      <c r="B1440" t="s">
        <v>5</v>
      </c>
      <c r="C1440" t="s">
        <v>28</v>
      </c>
      <c r="D1440">
        <f ca="1">'2BAS Calcs'!N1440</f>
        <v>5.7903509216587297E-8</v>
      </c>
    </row>
    <row r="1441" spans="1:4" x14ac:dyDescent="0.35">
      <c r="A1441" t="s">
        <v>27</v>
      </c>
      <c r="B1441" t="s">
        <v>5</v>
      </c>
      <c r="C1441" t="s">
        <v>28</v>
      </c>
      <c r="D1441">
        <f ca="1">'2BAS Calcs'!N1441</f>
        <v>5.7903509216587297E-8</v>
      </c>
    </row>
    <row r="1442" spans="1:4" x14ac:dyDescent="0.35">
      <c r="A1442" t="s">
        <v>28</v>
      </c>
      <c r="B1442" t="s">
        <v>5</v>
      </c>
      <c r="C1442" t="s">
        <v>28</v>
      </c>
      <c r="D1442">
        <f ca="1">'2BAS Calcs'!N1442</f>
        <v>5.7903509216587297E-8</v>
      </c>
    </row>
    <row r="1443" spans="1:4" x14ac:dyDescent="0.35">
      <c r="A1443" t="s">
        <v>29</v>
      </c>
      <c r="B1443" t="s">
        <v>5</v>
      </c>
      <c r="C1443" t="s">
        <v>28</v>
      </c>
      <c r="D1443">
        <f ca="1">'2BAS Calcs'!N1443</f>
        <v>5.7903509216587297E-8</v>
      </c>
    </row>
    <row r="1444" spans="1:4" x14ac:dyDescent="0.35">
      <c r="A1444" t="s">
        <v>30</v>
      </c>
      <c r="B1444" t="s">
        <v>5</v>
      </c>
      <c r="C1444" t="s">
        <v>28</v>
      </c>
      <c r="D1444">
        <f ca="1">'2BAS Calcs'!N1444</f>
        <v>5.7903509216587297E-8</v>
      </c>
    </row>
    <row r="1445" spans="1:4" x14ac:dyDescent="0.35">
      <c r="A1445" t="s">
        <v>31</v>
      </c>
      <c r="B1445" t="s">
        <v>5</v>
      </c>
      <c r="C1445" t="s">
        <v>28</v>
      </c>
      <c r="D1445">
        <f ca="1">'2BAS Calcs'!N1445</f>
        <v>5.7903509216587297E-8</v>
      </c>
    </row>
    <row r="1446" spans="1:4" x14ac:dyDescent="0.35">
      <c r="A1446" t="s">
        <v>32</v>
      </c>
      <c r="B1446" t="s">
        <v>5</v>
      </c>
      <c r="C1446" t="s">
        <v>28</v>
      </c>
      <c r="D1446">
        <f ca="1">'2BAS Calcs'!N1446</f>
        <v>5.7903509216587297E-8</v>
      </c>
    </row>
    <row r="1447" spans="1:4" x14ac:dyDescent="0.35">
      <c r="A1447" t="s">
        <v>33</v>
      </c>
      <c r="B1447" t="s">
        <v>5</v>
      </c>
      <c r="C1447" t="s">
        <v>28</v>
      </c>
      <c r="D1447">
        <f ca="1">'2BAS Calcs'!N1447</f>
        <v>5.7903509216587297E-8</v>
      </c>
    </row>
    <row r="1448" spans="1:4" x14ac:dyDescent="0.35">
      <c r="A1448" t="s">
        <v>34</v>
      </c>
      <c r="B1448" t="s">
        <v>5</v>
      </c>
      <c r="C1448" t="s">
        <v>28</v>
      </c>
      <c r="D1448">
        <f ca="1">'2BAS Calcs'!N1448</f>
        <v>5.7903509216587297E-8</v>
      </c>
    </row>
    <row r="1449" spans="1:4" x14ac:dyDescent="0.35">
      <c r="A1449" t="s">
        <v>35</v>
      </c>
      <c r="B1449" t="s">
        <v>5</v>
      </c>
      <c r="C1449" t="s">
        <v>28</v>
      </c>
      <c r="D1449">
        <f ca="1">'2BAS Calcs'!N1449</f>
        <v>5.7903509216587297E-8</v>
      </c>
    </row>
    <row r="1450" spans="1:4" x14ac:dyDescent="0.35">
      <c r="A1450" t="s">
        <v>36</v>
      </c>
      <c r="B1450" t="s">
        <v>5</v>
      </c>
      <c r="C1450" t="s">
        <v>28</v>
      </c>
      <c r="D1450">
        <f ca="1">'2BAS Calcs'!N1450</f>
        <v>5.7903509216587297E-8</v>
      </c>
    </row>
    <row r="1451" spans="1:4" x14ac:dyDescent="0.35">
      <c r="A1451" t="s">
        <v>37</v>
      </c>
      <c r="B1451" t="s">
        <v>5</v>
      </c>
      <c r="C1451" t="s">
        <v>28</v>
      </c>
      <c r="D1451">
        <f ca="1">'2BAS Calcs'!N1451</f>
        <v>5.7903509216587297E-8</v>
      </c>
    </row>
    <row r="1452" spans="1:4" x14ac:dyDescent="0.35">
      <c r="A1452" t="s">
        <v>38</v>
      </c>
      <c r="B1452" t="s">
        <v>5</v>
      </c>
      <c r="C1452" t="s">
        <v>28</v>
      </c>
      <c r="D1452">
        <f ca="1">'2BAS Calcs'!N1452</f>
        <v>5.7903509216587297E-8</v>
      </c>
    </row>
    <row r="1453" spans="1:4" x14ac:dyDescent="0.35">
      <c r="A1453" t="s">
        <v>39</v>
      </c>
      <c r="B1453" t="s">
        <v>5</v>
      </c>
      <c r="C1453" t="s">
        <v>28</v>
      </c>
      <c r="D1453">
        <f ca="1">'2BAS Calcs'!N1453</f>
        <v>5.7903509216587297E-8</v>
      </c>
    </row>
    <row r="1454" spans="1:4" x14ac:dyDescent="0.35">
      <c r="A1454" t="s">
        <v>7</v>
      </c>
      <c r="B1454" t="s">
        <v>4</v>
      </c>
      <c r="C1454" t="s">
        <v>29</v>
      </c>
      <c r="D1454">
        <f ca="1">'2BAS Calcs'!N1454</f>
        <v>1.8382478772684951</v>
      </c>
    </row>
    <row r="1455" spans="1:4" x14ac:dyDescent="0.35">
      <c r="A1455" t="s">
        <v>8</v>
      </c>
      <c r="B1455" t="s">
        <v>4</v>
      </c>
      <c r="C1455" t="s">
        <v>29</v>
      </c>
      <c r="D1455">
        <f ca="1">'2BAS Calcs'!N1455</f>
        <v>3.2066710992878988</v>
      </c>
    </row>
    <row r="1456" spans="1:4" x14ac:dyDescent="0.35">
      <c r="A1456" t="s">
        <v>9</v>
      </c>
      <c r="B1456" t="s">
        <v>4</v>
      </c>
      <c r="C1456" t="s">
        <v>29</v>
      </c>
      <c r="D1456">
        <f ca="1">'2BAS Calcs'!N1456</f>
        <v>5.3993570821390913</v>
      </c>
    </row>
    <row r="1457" spans="1:4" x14ac:dyDescent="0.35">
      <c r="A1457" t="s">
        <v>10</v>
      </c>
      <c r="B1457" t="s">
        <v>4</v>
      </c>
      <c r="C1457" t="s">
        <v>29</v>
      </c>
      <c r="D1457">
        <f ca="1">'2BAS Calcs'!N1457</f>
        <v>28.124457504223656</v>
      </c>
    </row>
    <row r="1458" spans="1:4" x14ac:dyDescent="0.35">
      <c r="A1458" t="s">
        <v>11</v>
      </c>
      <c r="B1458" t="s">
        <v>4</v>
      </c>
      <c r="C1458" t="s">
        <v>29</v>
      </c>
      <c r="D1458">
        <f ca="1">'2BAS Calcs'!N1458</f>
        <v>0.19956603578313686</v>
      </c>
    </row>
    <row r="1459" spans="1:4" x14ac:dyDescent="0.35">
      <c r="A1459" t="s">
        <v>12</v>
      </c>
      <c r="B1459" t="s">
        <v>4</v>
      </c>
      <c r="C1459" t="s">
        <v>29</v>
      </c>
      <c r="D1459">
        <f ca="1">'2BAS Calcs'!N1459</f>
        <v>1.2285121614858037</v>
      </c>
    </row>
    <row r="1460" spans="1:4" x14ac:dyDescent="0.35">
      <c r="A1460" t="s">
        <v>13</v>
      </c>
      <c r="B1460" t="s">
        <v>4</v>
      </c>
      <c r="C1460" t="s">
        <v>29</v>
      </c>
      <c r="D1460">
        <f ca="1">'2BAS Calcs'!N1460</f>
        <v>24.589383150362202</v>
      </c>
    </row>
    <row r="1461" spans="1:4" x14ac:dyDescent="0.35">
      <c r="A1461" t="s">
        <v>14</v>
      </c>
      <c r="B1461" t="s">
        <v>4</v>
      </c>
      <c r="C1461" t="s">
        <v>29</v>
      </c>
      <c r="D1461">
        <f ca="1">'2BAS Calcs'!N1461</f>
        <v>3.7469483953260982</v>
      </c>
    </row>
    <row r="1462" spans="1:4" x14ac:dyDescent="0.35">
      <c r="A1462" t="s">
        <v>15</v>
      </c>
      <c r="B1462" t="s">
        <v>4</v>
      </c>
      <c r="C1462" t="s">
        <v>29</v>
      </c>
      <c r="D1462">
        <f ca="1">'2BAS Calcs'!N1462</f>
        <v>23.332999346914342</v>
      </c>
    </row>
    <row r="1463" spans="1:4" x14ac:dyDescent="0.35">
      <c r="A1463" t="s">
        <v>16</v>
      </c>
      <c r="B1463" t="s">
        <v>4</v>
      </c>
      <c r="C1463" t="s">
        <v>29</v>
      </c>
      <c r="D1463">
        <f ca="1">'2BAS Calcs'!N1463</f>
        <v>36.525558978804185</v>
      </c>
    </row>
    <row r="1464" spans="1:4" x14ac:dyDescent="0.35">
      <c r="A1464" t="s">
        <v>17</v>
      </c>
      <c r="B1464" t="s">
        <v>4</v>
      </c>
      <c r="C1464" t="s">
        <v>29</v>
      </c>
      <c r="D1464">
        <f ca="1">'2BAS Calcs'!N1464</f>
        <v>33.836390558367</v>
      </c>
    </row>
    <row r="1465" spans="1:4" x14ac:dyDescent="0.35">
      <c r="A1465" t="s">
        <v>18</v>
      </c>
      <c r="B1465" t="s">
        <v>4</v>
      </c>
      <c r="C1465" t="s">
        <v>29</v>
      </c>
      <c r="D1465">
        <f ca="1">'2BAS Calcs'!N1465</f>
        <v>98.965587155277049</v>
      </c>
    </row>
    <row r="1466" spans="1:4" x14ac:dyDescent="0.35">
      <c r="A1466" t="s">
        <v>19</v>
      </c>
      <c r="B1466" t="s">
        <v>4</v>
      </c>
      <c r="C1466" t="s">
        <v>29</v>
      </c>
      <c r="D1466">
        <f ca="1">'2BAS Calcs'!N1466</f>
        <v>143.24488556158082</v>
      </c>
    </row>
    <row r="1467" spans="1:4" x14ac:dyDescent="0.35">
      <c r="A1467" t="s">
        <v>20</v>
      </c>
      <c r="B1467" t="s">
        <v>4</v>
      </c>
      <c r="C1467" t="s">
        <v>29</v>
      </c>
      <c r="D1467">
        <f ca="1">'2BAS Calcs'!N1467</f>
        <v>29.798046311649827</v>
      </c>
    </row>
    <row r="1468" spans="1:4" x14ac:dyDescent="0.35">
      <c r="A1468" t="s">
        <v>21</v>
      </c>
      <c r="B1468" t="s">
        <v>4</v>
      </c>
      <c r="C1468" t="s">
        <v>29</v>
      </c>
      <c r="D1468">
        <f ca="1">'2BAS Calcs'!N1468</f>
        <v>43.043513996702394</v>
      </c>
    </row>
    <row r="1469" spans="1:4" x14ac:dyDescent="0.35">
      <c r="A1469" t="s">
        <v>22</v>
      </c>
      <c r="B1469" t="s">
        <v>4</v>
      </c>
      <c r="C1469" t="s">
        <v>29</v>
      </c>
      <c r="D1469">
        <f ca="1">'2BAS Calcs'!N1469</f>
        <v>117.20469380422159</v>
      </c>
    </row>
    <row r="1470" spans="1:4" x14ac:dyDescent="0.35">
      <c r="A1470" t="s">
        <v>23</v>
      </c>
      <c r="B1470" t="s">
        <v>4</v>
      </c>
      <c r="C1470" t="s">
        <v>29</v>
      </c>
      <c r="D1470">
        <f ca="1">'2BAS Calcs'!N1470</f>
        <v>2.674533396771229E-6</v>
      </c>
    </row>
    <row r="1471" spans="1:4" x14ac:dyDescent="0.35">
      <c r="A1471" t="s">
        <v>24</v>
      </c>
      <c r="B1471" t="s">
        <v>4</v>
      </c>
      <c r="C1471" t="s">
        <v>29</v>
      </c>
      <c r="D1471">
        <f ca="1">'2BAS Calcs'!N1471</f>
        <v>3893.3570572962535</v>
      </c>
    </row>
    <row r="1472" spans="1:4" x14ac:dyDescent="0.35">
      <c r="A1472" t="s">
        <v>25</v>
      </c>
      <c r="B1472" t="s">
        <v>4</v>
      </c>
      <c r="C1472" t="s">
        <v>29</v>
      </c>
      <c r="D1472">
        <f ca="1">'2BAS Calcs'!N1472</f>
        <v>622.52183622228119</v>
      </c>
    </row>
    <row r="1473" spans="1:4" x14ac:dyDescent="0.35">
      <c r="A1473" t="s">
        <v>26</v>
      </c>
      <c r="B1473" t="s">
        <v>4</v>
      </c>
      <c r="C1473" t="s">
        <v>29</v>
      </c>
      <c r="D1473">
        <f ca="1">'2BAS Calcs'!N1473</f>
        <v>2.674533396771229E-6</v>
      </c>
    </row>
    <row r="1474" spans="1:4" x14ac:dyDescent="0.35">
      <c r="A1474" t="s">
        <v>27</v>
      </c>
      <c r="B1474" t="s">
        <v>4</v>
      </c>
      <c r="C1474" t="s">
        <v>29</v>
      </c>
      <c r="D1474">
        <f ca="1">'2BAS Calcs'!N1474</f>
        <v>2.674533396771229E-6</v>
      </c>
    </row>
    <row r="1475" spans="1:4" x14ac:dyDescent="0.35">
      <c r="A1475" t="s">
        <v>28</v>
      </c>
      <c r="B1475" t="s">
        <v>4</v>
      </c>
      <c r="C1475" t="s">
        <v>29</v>
      </c>
      <c r="D1475">
        <f ca="1">'2BAS Calcs'!N1475</f>
        <v>2.674533396771229E-6</v>
      </c>
    </row>
    <row r="1476" spans="1:4" x14ac:dyDescent="0.35">
      <c r="A1476" t="s">
        <v>29</v>
      </c>
      <c r="B1476" t="s">
        <v>4</v>
      </c>
      <c r="C1476" t="s">
        <v>29</v>
      </c>
      <c r="D1476">
        <f ca="1">'2BAS Calcs'!N1476</f>
        <v>2.674533396771229E-6</v>
      </c>
    </row>
    <row r="1477" spans="1:4" x14ac:dyDescent="0.35">
      <c r="A1477" t="s">
        <v>30</v>
      </c>
      <c r="B1477" t="s">
        <v>4</v>
      </c>
      <c r="C1477" t="s">
        <v>29</v>
      </c>
      <c r="D1477">
        <f ca="1">'2BAS Calcs'!N1477</f>
        <v>2.674533396771229E-6</v>
      </c>
    </row>
    <row r="1478" spans="1:4" x14ac:dyDescent="0.35">
      <c r="A1478" t="s">
        <v>31</v>
      </c>
      <c r="B1478" t="s">
        <v>4</v>
      </c>
      <c r="C1478" t="s">
        <v>29</v>
      </c>
      <c r="D1478">
        <f ca="1">'2BAS Calcs'!N1478</f>
        <v>2.674533396771229E-6</v>
      </c>
    </row>
    <row r="1479" spans="1:4" x14ac:dyDescent="0.35">
      <c r="A1479" t="s">
        <v>32</v>
      </c>
      <c r="B1479" t="s">
        <v>4</v>
      </c>
      <c r="C1479" t="s">
        <v>29</v>
      </c>
      <c r="D1479">
        <f ca="1">'2BAS Calcs'!N1479</f>
        <v>2.674533396771229E-6</v>
      </c>
    </row>
    <row r="1480" spans="1:4" x14ac:dyDescent="0.35">
      <c r="A1480" t="s">
        <v>33</v>
      </c>
      <c r="B1480" t="s">
        <v>4</v>
      </c>
      <c r="C1480" t="s">
        <v>29</v>
      </c>
      <c r="D1480">
        <f ca="1">'2BAS Calcs'!N1480</f>
        <v>2.674533396771229E-6</v>
      </c>
    </row>
    <row r="1481" spans="1:4" x14ac:dyDescent="0.35">
      <c r="A1481" t="s">
        <v>34</v>
      </c>
      <c r="B1481" t="s">
        <v>4</v>
      </c>
      <c r="C1481" t="s">
        <v>29</v>
      </c>
      <c r="D1481">
        <f ca="1">'2BAS Calcs'!N1481</f>
        <v>2.674533396771229E-6</v>
      </c>
    </row>
    <row r="1482" spans="1:4" x14ac:dyDescent="0.35">
      <c r="A1482" t="s">
        <v>35</v>
      </c>
      <c r="B1482" t="s">
        <v>4</v>
      </c>
      <c r="C1482" t="s">
        <v>29</v>
      </c>
      <c r="D1482">
        <f ca="1">'2BAS Calcs'!N1482</f>
        <v>2.674533396771229E-6</v>
      </c>
    </row>
    <row r="1483" spans="1:4" x14ac:dyDescent="0.35">
      <c r="A1483" t="s">
        <v>36</v>
      </c>
      <c r="B1483" t="s">
        <v>4</v>
      </c>
      <c r="C1483" t="s">
        <v>29</v>
      </c>
      <c r="D1483">
        <f ca="1">'2BAS Calcs'!N1483</f>
        <v>2.674533396771229E-6</v>
      </c>
    </row>
    <row r="1484" spans="1:4" x14ac:dyDescent="0.35">
      <c r="A1484" t="s">
        <v>37</v>
      </c>
      <c r="B1484" t="s">
        <v>4</v>
      </c>
      <c r="C1484" t="s">
        <v>29</v>
      </c>
      <c r="D1484">
        <f ca="1">'2BAS Calcs'!N1484</f>
        <v>2.674533396771229E-6</v>
      </c>
    </row>
    <row r="1485" spans="1:4" x14ac:dyDescent="0.35">
      <c r="A1485" t="s">
        <v>38</v>
      </c>
      <c r="B1485" t="s">
        <v>4</v>
      </c>
      <c r="C1485" t="s">
        <v>29</v>
      </c>
      <c r="D1485">
        <f ca="1">'2BAS Calcs'!N1485</f>
        <v>2.674533396771229E-6</v>
      </c>
    </row>
    <row r="1486" spans="1:4" x14ac:dyDescent="0.35">
      <c r="A1486" t="s">
        <v>39</v>
      </c>
      <c r="B1486" t="s">
        <v>4</v>
      </c>
      <c r="C1486" t="s">
        <v>29</v>
      </c>
      <c r="D1486">
        <f ca="1">'2BAS Calcs'!N1486</f>
        <v>2.674533396771229E-6</v>
      </c>
    </row>
    <row r="1487" spans="1:4" x14ac:dyDescent="0.35">
      <c r="A1487" t="s">
        <v>7</v>
      </c>
      <c r="B1487" t="s">
        <v>5</v>
      </c>
      <c r="C1487" t="s">
        <v>29</v>
      </c>
      <c r="D1487">
        <f ca="1">'2BAS Calcs'!N1487</f>
        <v>24.744312380738684</v>
      </c>
    </row>
    <row r="1488" spans="1:4" x14ac:dyDescent="0.35">
      <c r="A1488" t="s">
        <v>8</v>
      </c>
      <c r="B1488" t="s">
        <v>5</v>
      </c>
      <c r="C1488" t="s">
        <v>29</v>
      </c>
      <c r="D1488">
        <f ca="1">'2BAS Calcs'!N1488</f>
        <v>39.037411363806342</v>
      </c>
    </row>
    <row r="1489" spans="1:4" x14ac:dyDescent="0.35">
      <c r="A1489" t="s">
        <v>9</v>
      </c>
      <c r="B1489" t="s">
        <v>5</v>
      </c>
      <c r="C1489" t="s">
        <v>29</v>
      </c>
      <c r="D1489">
        <f ca="1">'2BAS Calcs'!N1489</f>
        <v>9.7683577277629912</v>
      </c>
    </row>
    <row r="1490" spans="1:4" x14ac:dyDescent="0.35">
      <c r="A1490" t="s">
        <v>10</v>
      </c>
      <c r="B1490" t="s">
        <v>5</v>
      </c>
      <c r="C1490" t="s">
        <v>29</v>
      </c>
      <c r="D1490">
        <f ca="1">'2BAS Calcs'!N1490</f>
        <v>191.69440756457266</v>
      </c>
    </row>
    <row r="1491" spans="1:4" x14ac:dyDescent="0.35">
      <c r="A1491" t="s">
        <v>11</v>
      </c>
      <c r="B1491" t="s">
        <v>5</v>
      </c>
      <c r="C1491" t="s">
        <v>29</v>
      </c>
      <c r="D1491">
        <f ca="1">'2BAS Calcs'!N1491</f>
        <v>99.905274329445916</v>
      </c>
    </row>
    <row r="1492" spans="1:4" x14ac:dyDescent="0.35">
      <c r="A1492" t="s">
        <v>12</v>
      </c>
      <c r="B1492" t="s">
        <v>5</v>
      </c>
      <c r="C1492" t="s">
        <v>29</v>
      </c>
      <c r="D1492">
        <f ca="1">'2BAS Calcs'!N1492</f>
        <v>1.7882313055175445</v>
      </c>
    </row>
    <row r="1493" spans="1:4" x14ac:dyDescent="0.35">
      <c r="A1493" t="s">
        <v>13</v>
      </c>
      <c r="B1493" t="s">
        <v>5</v>
      </c>
      <c r="C1493" t="s">
        <v>29</v>
      </c>
      <c r="D1493">
        <f ca="1">'2BAS Calcs'!N1493</f>
        <v>25.750350360704594</v>
      </c>
    </row>
    <row r="1494" spans="1:4" x14ac:dyDescent="0.35">
      <c r="A1494" t="s">
        <v>14</v>
      </c>
      <c r="B1494" t="s">
        <v>5</v>
      </c>
      <c r="C1494" t="s">
        <v>29</v>
      </c>
      <c r="D1494">
        <f ca="1">'2BAS Calcs'!N1494</f>
        <v>6.4842410167055355</v>
      </c>
    </row>
    <row r="1495" spans="1:4" x14ac:dyDescent="0.35">
      <c r="A1495" t="s">
        <v>15</v>
      </c>
      <c r="B1495" t="s">
        <v>5</v>
      </c>
      <c r="C1495" t="s">
        <v>29</v>
      </c>
      <c r="D1495">
        <f ca="1">'2BAS Calcs'!N1495</f>
        <v>88.888117566531534</v>
      </c>
    </row>
    <row r="1496" spans="1:4" x14ac:dyDescent="0.35">
      <c r="A1496" t="s">
        <v>16</v>
      </c>
      <c r="B1496" t="s">
        <v>5</v>
      </c>
      <c r="C1496" t="s">
        <v>29</v>
      </c>
      <c r="D1496">
        <f ca="1">'2BAS Calcs'!N1496</f>
        <v>68.076483597083481</v>
      </c>
    </row>
    <row r="1497" spans="1:4" x14ac:dyDescent="0.35">
      <c r="A1497" t="s">
        <v>17</v>
      </c>
      <c r="B1497" t="s">
        <v>5</v>
      </c>
      <c r="C1497" t="s">
        <v>29</v>
      </c>
      <c r="D1497">
        <f ca="1">'2BAS Calcs'!N1497</f>
        <v>25.698013188510423</v>
      </c>
    </row>
    <row r="1498" spans="1:4" x14ac:dyDescent="0.35">
      <c r="A1498" t="s">
        <v>18</v>
      </c>
      <c r="B1498" t="s">
        <v>5</v>
      </c>
      <c r="C1498" t="s">
        <v>29</v>
      </c>
      <c r="D1498">
        <f ca="1">'2BAS Calcs'!N1498</f>
        <v>321.66557075830474</v>
      </c>
    </row>
    <row r="1499" spans="1:4" x14ac:dyDescent="0.35">
      <c r="A1499" t="s">
        <v>19</v>
      </c>
      <c r="B1499" t="s">
        <v>5</v>
      </c>
      <c r="C1499" t="s">
        <v>29</v>
      </c>
      <c r="D1499">
        <f ca="1">'2BAS Calcs'!N1499</f>
        <v>1232.22742199911</v>
      </c>
    </row>
    <row r="1500" spans="1:4" x14ac:dyDescent="0.35">
      <c r="A1500" t="s">
        <v>20</v>
      </c>
      <c r="B1500" t="s">
        <v>5</v>
      </c>
      <c r="C1500" t="s">
        <v>29</v>
      </c>
      <c r="D1500">
        <f ca="1">'2BAS Calcs'!N1500</f>
        <v>660.68275578583984</v>
      </c>
    </row>
    <row r="1501" spans="1:4" x14ac:dyDescent="0.35">
      <c r="A1501" t="s">
        <v>21</v>
      </c>
      <c r="B1501" t="s">
        <v>5</v>
      </c>
      <c r="C1501" t="s">
        <v>29</v>
      </c>
      <c r="D1501">
        <f ca="1">'2BAS Calcs'!N1501</f>
        <v>1054.3753651623351</v>
      </c>
    </row>
    <row r="1502" spans="1:4" x14ac:dyDescent="0.35">
      <c r="A1502" t="s">
        <v>22</v>
      </c>
      <c r="B1502" t="s">
        <v>5</v>
      </c>
      <c r="C1502" t="s">
        <v>29</v>
      </c>
      <c r="D1502">
        <f ca="1">'2BAS Calcs'!N1502</f>
        <v>400.06656884830488</v>
      </c>
    </row>
    <row r="1503" spans="1:4" x14ac:dyDescent="0.35">
      <c r="A1503" t="s">
        <v>23</v>
      </c>
      <c r="B1503" t="s">
        <v>5</v>
      </c>
      <c r="C1503" t="s">
        <v>29</v>
      </c>
      <c r="D1503">
        <f ca="1">'2BAS Calcs'!N1503</f>
        <v>2.674533396771229E-6</v>
      </c>
    </row>
    <row r="1504" spans="1:4" x14ac:dyDescent="0.35">
      <c r="A1504" t="s">
        <v>24</v>
      </c>
      <c r="B1504" t="s">
        <v>5</v>
      </c>
      <c r="C1504" t="s">
        <v>29</v>
      </c>
      <c r="D1504">
        <f ca="1">'2BAS Calcs'!N1504</f>
        <v>78.315336512736025</v>
      </c>
    </row>
    <row r="1505" spans="1:4" x14ac:dyDescent="0.35">
      <c r="A1505" t="s">
        <v>25</v>
      </c>
      <c r="B1505" t="s">
        <v>5</v>
      </c>
      <c r="C1505" t="s">
        <v>29</v>
      </c>
      <c r="D1505">
        <f ca="1">'2BAS Calcs'!N1505</f>
        <v>6.8520628527745284</v>
      </c>
    </row>
    <row r="1506" spans="1:4" x14ac:dyDescent="0.35">
      <c r="A1506" t="s">
        <v>26</v>
      </c>
      <c r="B1506" t="s">
        <v>5</v>
      </c>
      <c r="C1506" t="s">
        <v>29</v>
      </c>
      <c r="D1506">
        <f ca="1">'2BAS Calcs'!N1506</f>
        <v>2.674533396771229E-6</v>
      </c>
    </row>
    <row r="1507" spans="1:4" x14ac:dyDescent="0.35">
      <c r="A1507" t="s">
        <v>27</v>
      </c>
      <c r="B1507" t="s">
        <v>5</v>
      </c>
      <c r="C1507" t="s">
        <v>29</v>
      </c>
      <c r="D1507">
        <f ca="1">'2BAS Calcs'!N1507</f>
        <v>2.674533396771229E-6</v>
      </c>
    </row>
    <row r="1508" spans="1:4" x14ac:dyDescent="0.35">
      <c r="A1508" t="s">
        <v>28</v>
      </c>
      <c r="B1508" t="s">
        <v>5</v>
      </c>
      <c r="C1508" t="s">
        <v>29</v>
      </c>
      <c r="D1508">
        <f ca="1">'2BAS Calcs'!N1508</f>
        <v>2.674533396771229E-6</v>
      </c>
    </row>
    <row r="1509" spans="1:4" x14ac:dyDescent="0.35">
      <c r="A1509" t="s">
        <v>29</v>
      </c>
      <c r="B1509" t="s">
        <v>5</v>
      </c>
      <c r="C1509" t="s">
        <v>29</v>
      </c>
      <c r="D1509">
        <f ca="1">'2BAS Calcs'!N1509</f>
        <v>2.674533396771229E-6</v>
      </c>
    </row>
    <row r="1510" spans="1:4" x14ac:dyDescent="0.35">
      <c r="A1510" t="s">
        <v>30</v>
      </c>
      <c r="B1510" t="s">
        <v>5</v>
      </c>
      <c r="C1510" t="s">
        <v>29</v>
      </c>
      <c r="D1510">
        <f ca="1">'2BAS Calcs'!N1510</f>
        <v>2.674533396771229E-6</v>
      </c>
    </row>
    <row r="1511" spans="1:4" x14ac:dyDescent="0.35">
      <c r="A1511" t="s">
        <v>31</v>
      </c>
      <c r="B1511" t="s">
        <v>5</v>
      </c>
      <c r="C1511" t="s">
        <v>29</v>
      </c>
      <c r="D1511">
        <f ca="1">'2BAS Calcs'!N1511</f>
        <v>2.674533396771229E-6</v>
      </c>
    </row>
    <row r="1512" spans="1:4" x14ac:dyDescent="0.35">
      <c r="A1512" t="s">
        <v>32</v>
      </c>
      <c r="B1512" t="s">
        <v>5</v>
      </c>
      <c r="C1512" t="s">
        <v>29</v>
      </c>
      <c r="D1512">
        <f ca="1">'2BAS Calcs'!N1512</f>
        <v>2.674533396771229E-6</v>
      </c>
    </row>
    <row r="1513" spans="1:4" x14ac:dyDescent="0.35">
      <c r="A1513" t="s">
        <v>33</v>
      </c>
      <c r="B1513" t="s">
        <v>5</v>
      </c>
      <c r="C1513" t="s">
        <v>29</v>
      </c>
      <c r="D1513">
        <f ca="1">'2BAS Calcs'!N1513</f>
        <v>2.674533396771229E-6</v>
      </c>
    </row>
    <row r="1514" spans="1:4" x14ac:dyDescent="0.35">
      <c r="A1514" t="s">
        <v>34</v>
      </c>
      <c r="B1514" t="s">
        <v>5</v>
      </c>
      <c r="C1514" t="s">
        <v>29</v>
      </c>
      <c r="D1514">
        <f ca="1">'2BAS Calcs'!N1514</f>
        <v>2.674533396771229E-6</v>
      </c>
    </row>
    <row r="1515" spans="1:4" x14ac:dyDescent="0.35">
      <c r="A1515" t="s">
        <v>35</v>
      </c>
      <c r="B1515" t="s">
        <v>5</v>
      </c>
      <c r="C1515" t="s">
        <v>29</v>
      </c>
      <c r="D1515">
        <f ca="1">'2BAS Calcs'!N1515</f>
        <v>2.674533396771229E-6</v>
      </c>
    </row>
    <row r="1516" spans="1:4" x14ac:dyDescent="0.35">
      <c r="A1516" t="s">
        <v>36</v>
      </c>
      <c r="B1516" t="s">
        <v>5</v>
      </c>
      <c r="C1516" t="s">
        <v>29</v>
      </c>
      <c r="D1516">
        <f ca="1">'2BAS Calcs'!N1516</f>
        <v>2.674533396771229E-6</v>
      </c>
    </row>
    <row r="1517" spans="1:4" x14ac:dyDescent="0.35">
      <c r="A1517" t="s">
        <v>37</v>
      </c>
      <c r="B1517" t="s">
        <v>5</v>
      </c>
      <c r="C1517" t="s">
        <v>29</v>
      </c>
      <c r="D1517">
        <f ca="1">'2BAS Calcs'!N1517</f>
        <v>2.674533396771229E-6</v>
      </c>
    </row>
    <row r="1518" spans="1:4" x14ac:dyDescent="0.35">
      <c r="A1518" t="s">
        <v>38</v>
      </c>
      <c r="B1518" t="s">
        <v>5</v>
      </c>
      <c r="C1518" t="s">
        <v>29</v>
      </c>
      <c r="D1518">
        <f ca="1">'2BAS Calcs'!N1518</f>
        <v>2.674533396771229E-6</v>
      </c>
    </row>
    <row r="1519" spans="1:4" x14ac:dyDescent="0.35">
      <c r="A1519" t="s">
        <v>39</v>
      </c>
      <c r="B1519" t="s">
        <v>5</v>
      </c>
      <c r="C1519" t="s">
        <v>29</v>
      </c>
      <c r="D1519">
        <f ca="1">'2BAS Calcs'!N1519</f>
        <v>2.674533396771229E-6</v>
      </c>
    </row>
    <row r="1520" spans="1:4" x14ac:dyDescent="0.35">
      <c r="A1520" t="s">
        <v>7</v>
      </c>
      <c r="B1520" t="s">
        <v>4</v>
      </c>
      <c r="C1520" t="s">
        <v>30</v>
      </c>
      <c r="D1520">
        <f ca="1">'2BAS Calcs'!N1520</f>
        <v>1.0692514129670474</v>
      </c>
    </row>
    <row r="1521" spans="1:4" x14ac:dyDescent="0.35">
      <c r="A1521" t="s">
        <v>8</v>
      </c>
      <c r="B1521" t="s">
        <v>4</v>
      </c>
      <c r="C1521" t="s">
        <v>30</v>
      </c>
      <c r="D1521">
        <f ca="1">'2BAS Calcs'!N1521</f>
        <v>1.8652204886149737</v>
      </c>
    </row>
    <row r="1522" spans="1:4" x14ac:dyDescent="0.35">
      <c r="A1522" t="s">
        <v>9</v>
      </c>
      <c r="B1522" t="s">
        <v>4</v>
      </c>
      <c r="C1522" t="s">
        <v>30</v>
      </c>
      <c r="D1522">
        <f ca="1">'2BAS Calcs'!N1522</f>
        <v>3.1406374845211427</v>
      </c>
    </row>
    <row r="1523" spans="1:4" x14ac:dyDescent="0.35">
      <c r="A1523" t="s">
        <v>10</v>
      </c>
      <c r="B1523" t="s">
        <v>4</v>
      </c>
      <c r="C1523" t="s">
        <v>30</v>
      </c>
      <c r="D1523">
        <f ca="1">'2BAS Calcs'!N1523</f>
        <v>16.359119081376466</v>
      </c>
    </row>
    <row r="1524" spans="1:4" x14ac:dyDescent="0.35">
      <c r="A1524" t="s">
        <v>11</v>
      </c>
      <c r="B1524" t="s">
        <v>4</v>
      </c>
      <c r="C1524" t="s">
        <v>30</v>
      </c>
      <c r="D1524">
        <f ca="1">'2BAS Calcs'!N1524</f>
        <v>0.11608133395939407</v>
      </c>
    </row>
    <row r="1525" spans="1:4" x14ac:dyDescent="0.35">
      <c r="A1525" t="s">
        <v>12</v>
      </c>
      <c r="B1525" t="s">
        <v>4</v>
      </c>
      <c r="C1525" t="s">
        <v>30</v>
      </c>
      <c r="D1525">
        <f ca="1">'2BAS Calcs'!N1525</f>
        <v>0.71458717878015199</v>
      </c>
    </row>
    <row r="1526" spans="1:4" x14ac:dyDescent="0.35">
      <c r="A1526" t="s">
        <v>13</v>
      </c>
      <c r="B1526" t="s">
        <v>4</v>
      </c>
      <c r="C1526" t="s">
        <v>30</v>
      </c>
      <c r="D1526">
        <f ca="1">'2BAS Calcs'!N1526</f>
        <v>14.302876670028455</v>
      </c>
    </row>
    <row r="1527" spans="1:4" x14ac:dyDescent="0.35">
      <c r="A1527" t="s">
        <v>14</v>
      </c>
      <c r="B1527" t="s">
        <v>4</v>
      </c>
      <c r="C1527" t="s">
        <v>30</v>
      </c>
      <c r="D1527">
        <f ca="1">'2BAS Calcs'!N1527</f>
        <v>2.179482928042495</v>
      </c>
    </row>
    <row r="1528" spans="1:4" x14ac:dyDescent="0.35">
      <c r="A1528" t="s">
        <v>15</v>
      </c>
      <c r="B1528" t="s">
        <v>4</v>
      </c>
      <c r="C1528" t="s">
        <v>30</v>
      </c>
      <c r="D1528">
        <f ca="1">'2BAS Calcs'!N1528</f>
        <v>13.572077427076673</v>
      </c>
    </row>
    <row r="1529" spans="1:4" x14ac:dyDescent="0.35">
      <c r="A1529" t="s">
        <v>16</v>
      </c>
      <c r="B1529" t="s">
        <v>4</v>
      </c>
      <c r="C1529" t="s">
        <v>30</v>
      </c>
      <c r="D1529">
        <f ca="1">'2BAS Calcs'!N1529</f>
        <v>21.245777585518308</v>
      </c>
    </row>
    <row r="1530" spans="1:4" x14ac:dyDescent="0.35">
      <c r="A1530" t="s">
        <v>17</v>
      </c>
      <c r="B1530" t="s">
        <v>4</v>
      </c>
      <c r="C1530" t="s">
        <v>30</v>
      </c>
      <c r="D1530">
        <f ca="1">'2BAS Calcs'!N1530</f>
        <v>19.68157225237713</v>
      </c>
    </row>
    <row r="1531" spans="1:4" x14ac:dyDescent="0.35">
      <c r="A1531" t="s">
        <v>18</v>
      </c>
      <c r="B1531" t="s">
        <v>4</v>
      </c>
      <c r="C1531" t="s">
        <v>30</v>
      </c>
      <c r="D1531">
        <f ca="1">'2BAS Calcs'!N1531</f>
        <v>57.565193034865928</v>
      </c>
    </row>
    <row r="1532" spans="1:4" x14ac:dyDescent="0.35">
      <c r="A1532" t="s">
        <v>19</v>
      </c>
      <c r="B1532" t="s">
        <v>4</v>
      </c>
      <c r="C1532" t="s">
        <v>30</v>
      </c>
      <c r="D1532">
        <f ca="1">'2BAS Calcs'!N1532</f>
        <v>83.321078827853853</v>
      </c>
    </row>
    <row r="1533" spans="1:4" x14ac:dyDescent="0.35">
      <c r="A1533" t="s">
        <v>20</v>
      </c>
      <c r="B1533" t="s">
        <v>4</v>
      </c>
      <c r="C1533" t="s">
        <v>30</v>
      </c>
      <c r="D1533">
        <f ca="1">'2BAS Calcs'!N1533</f>
        <v>17.332593452920591</v>
      </c>
    </row>
    <row r="1534" spans="1:4" x14ac:dyDescent="0.35">
      <c r="A1534" t="s">
        <v>21</v>
      </c>
      <c r="B1534" t="s">
        <v>4</v>
      </c>
      <c r="C1534" t="s">
        <v>30</v>
      </c>
      <c r="D1534">
        <f ca="1">'2BAS Calcs'!N1534</f>
        <v>25.037068574467654</v>
      </c>
    </row>
    <row r="1535" spans="1:4" x14ac:dyDescent="0.35">
      <c r="A1535" t="s">
        <v>22</v>
      </c>
      <c r="B1535" t="s">
        <v>4</v>
      </c>
      <c r="C1535" t="s">
        <v>30</v>
      </c>
      <c r="D1535">
        <f ca="1">'2BAS Calcs'!N1535</f>
        <v>68.174312075231413</v>
      </c>
    </row>
    <row r="1536" spans="1:4" x14ac:dyDescent="0.35">
      <c r="A1536" t="s">
        <v>23</v>
      </c>
      <c r="B1536" t="s">
        <v>4</v>
      </c>
      <c r="C1536" t="s">
        <v>30</v>
      </c>
      <c r="D1536">
        <f ca="1">'2BAS Calcs'!N1536</f>
        <v>1.5556925966777532E-6</v>
      </c>
    </row>
    <row r="1537" spans="1:4" x14ac:dyDescent="0.35">
      <c r="A1537" t="s">
        <v>24</v>
      </c>
      <c r="B1537" t="s">
        <v>4</v>
      </c>
      <c r="C1537" t="s">
        <v>30</v>
      </c>
      <c r="D1537">
        <f ca="1">'2BAS Calcs'!N1537</f>
        <v>2264.6442768562483</v>
      </c>
    </row>
    <row r="1538" spans="1:4" x14ac:dyDescent="0.35">
      <c r="A1538" t="s">
        <v>25</v>
      </c>
      <c r="B1538" t="s">
        <v>4</v>
      </c>
      <c r="C1538" t="s">
        <v>30</v>
      </c>
      <c r="D1538">
        <f ca="1">'2BAS Calcs'!N1538</f>
        <v>362.10152135336455</v>
      </c>
    </row>
    <row r="1539" spans="1:4" x14ac:dyDescent="0.35">
      <c r="A1539" t="s">
        <v>26</v>
      </c>
      <c r="B1539" t="s">
        <v>4</v>
      </c>
      <c r="C1539" t="s">
        <v>30</v>
      </c>
      <c r="D1539">
        <f ca="1">'2BAS Calcs'!N1539</f>
        <v>1.5556925966777532E-6</v>
      </c>
    </row>
    <row r="1540" spans="1:4" x14ac:dyDescent="0.35">
      <c r="A1540" t="s">
        <v>27</v>
      </c>
      <c r="B1540" t="s">
        <v>4</v>
      </c>
      <c r="C1540" t="s">
        <v>30</v>
      </c>
      <c r="D1540">
        <f ca="1">'2BAS Calcs'!N1540</f>
        <v>1.5556925966777532E-6</v>
      </c>
    </row>
    <row r="1541" spans="1:4" x14ac:dyDescent="0.35">
      <c r="A1541" t="s">
        <v>28</v>
      </c>
      <c r="B1541" t="s">
        <v>4</v>
      </c>
      <c r="C1541" t="s">
        <v>30</v>
      </c>
      <c r="D1541">
        <f ca="1">'2BAS Calcs'!N1541</f>
        <v>1.5556925966777532E-6</v>
      </c>
    </row>
    <row r="1542" spans="1:4" x14ac:dyDescent="0.35">
      <c r="A1542" t="s">
        <v>29</v>
      </c>
      <c r="B1542" t="s">
        <v>4</v>
      </c>
      <c r="C1542" t="s">
        <v>30</v>
      </c>
      <c r="D1542">
        <f ca="1">'2BAS Calcs'!N1542</f>
        <v>1.5556925966777532E-6</v>
      </c>
    </row>
    <row r="1543" spans="1:4" x14ac:dyDescent="0.35">
      <c r="A1543" t="s">
        <v>30</v>
      </c>
      <c r="B1543" t="s">
        <v>4</v>
      </c>
      <c r="C1543" t="s">
        <v>30</v>
      </c>
      <c r="D1543">
        <f ca="1">'2BAS Calcs'!N1543</f>
        <v>1.5556925966777532E-6</v>
      </c>
    </row>
    <row r="1544" spans="1:4" x14ac:dyDescent="0.35">
      <c r="A1544" t="s">
        <v>31</v>
      </c>
      <c r="B1544" t="s">
        <v>4</v>
      </c>
      <c r="C1544" t="s">
        <v>30</v>
      </c>
      <c r="D1544">
        <f ca="1">'2BAS Calcs'!N1544</f>
        <v>1.5556925966777532E-6</v>
      </c>
    </row>
    <row r="1545" spans="1:4" x14ac:dyDescent="0.35">
      <c r="A1545" t="s">
        <v>32</v>
      </c>
      <c r="B1545" t="s">
        <v>4</v>
      </c>
      <c r="C1545" t="s">
        <v>30</v>
      </c>
      <c r="D1545">
        <f ca="1">'2BAS Calcs'!N1545</f>
        <v>1.5556925966777532E-6</v>
      </c>
    </row>
    <row r="1546" spans="1:4" x14ac:dyDescent="0.35">
      <c r="A1546" t="s">
        <v>33</v>
      </c>
      <c r="B1546" t="s">
        <v>4</v>
      </c>
      <c r="C1546" t="s">
        <v>30</v>
      </c>
      <c r="D1546">
        <f ca="1">'2BAS Calcs'!N1546</f>
        <v>1.5556925966777532E-6</v>
      </c>
    </row>
    <row r="1547" spans="1:4" x14ac:dyDescent="0.35">
      <c r="A1547" t="s">
        <v>34</v>
      </c>
      <c r="B1547" t="s">
        <v>4</v>
      </c>
      <c r="C1547" t="s">
        <v>30</v>
      </c>
      <c r="D1547">
        <f ca="1">'2BAS Calcs'!N1547</f>
        <v>1.5556925966777532E-6</v>
      </c>
    </row>
    <row r="1548" spans="1:4" x14ac:dyDescent="0.35">
      <c r="A1548" t="s">
        <v>35</v>
      </c>
      <c r="B1548" t="s">
        <v>4</v>
      </c>
      <c r="C1548" t="s">
        <v>30</v>
      </c>
      <c r="D1548">
        <f ca="1">'2BAS Calcs'!N1548</f>
        <v>1.5556925966777532E-6</v>
      </c>
    </row>
    <row r="1549" spans="1:4" x14ac:dyDescent="0.35">
      <c r="A1549" t="s">
        <v>36</v>
      </c>
      <c r="B1549" t="s">
        <v>4</v>
      </c>
      <c r="C1549" t="s">
        <v>30</v>
      </c>
      <c r="D1549">
        <f ca="1">'2BAS Calcs'!N1549</f>
        <v>1.5556925966777532E-6</v>
      </c>
    </row>
    <row r="1550" spans="1:4" x14ac:dyDescent="0.35">
      <c r="A1550" t="s">
        <v>37</v>
      </c>
      <c r="B1550" t="s">
        <v>4</v>
      </c>
      <c r="C1550" t="s">
        <v>30</v>
      </c>
      <c r="D1550">
        <f ca="1">'2BAS Calcs'!N1550</f>
        <v>1.5556925966777532E-6</v>
      </c>
    </row>
    <row r="1551" spans="1:4" x14ac:dyDescent="0.35">
      <c r="A1551" t="s">
        <v>38</v>
      </c>
      <c r="B1551" t="s">
        <v>4</v>
      </c>
      <c r="C1551" t="s">
        <v>30</v>
      </c>
      <c r="D1551">
        <f ca="1">'2BAS Calcs'!N1551</f>
        <v>1.5556925966777532E-6</v>
      </c>
    </row>
    <row r="1552" spans="1:4" x14ac:dyDescent="0.35">
      <c r="A1552" t="s">
        <v>39</v>
      </c>
      <c r="B1552" t="s">
        <v>4</v>
      </c>
      <c r="C1552" t="s">
        <v>30</v>
      </c>
      <c r="D1552">
        <f ca="1">'2BAS Calcs'!N1552</f>
        <v>1.5556925966777532E-6</v>
      </c>
    </row>
    <row r="1553" spans="1:4" x14ac:dyDescent="0.35">
      <c r="A1553" t="s">
        <v>7</v>
      </c>
      <c r="B1553" t="s">
        <v>5</v>
      </c>
      <c r="C1553" t="s">
        <v>30</v>
      </c>
      <c r="D1553">
        <f ca="1">'2BAS Calcs'!N1553</f>
        <v>14.392994167531624</v>
      </c>
    </row>
    <row r="1554" spans="1:4" x14ac:dyDescent="0.35">
      <c r="A1554" t="s">
        <v>8</v>
      </c>
      <c r="B1554" t="s">
        <v>5</v>
      </c>
      <c r="C1554" t="s">
        <v>30</v>
      </c>
      <c r="D1554">
        <f ca="1">'2BAS Calcs'!N1554</f>
        <v>22.706843715413211</v>
      </c>
    </row>
    <row r="1555" spans="1:4" x14ac:dyDescent="0.35">
      <c r="A1555" t="s">
        <v>9</v>
      </c>
      <c r="B1555" t="s">
        <v>5</v>
      </c>
      <c r="C1555" t="s">
        <v>30</v>
      </c>
      <c r="D1555">
        <f ca="1">'2BAS Calcs'!N1555</f>
        <v>5.681948790441921</v>
      </c>
    </row>
    <row r="1556" spans="1:4" x14ac:dyDescent="0.35">
      <c r="A1556" t="s">
        <v>10</v>
      </c>
      <c r="B1556" t="s">
        <v>5</v>
      </c>
      <c r="C1556" t="s">
        <v>30</v>
      </c>
      <c r="D1556">
        <f ca="1">'2BAS Calcs'!N1556</f>
        <v>111.50265352182558</v>
      </c>
    </row>
    <row r="1557" spans="1:4" x14ac:dyDescent="0.35">
      <c r="A1557" t="s">
        <v>11</v>
      </c>
      <c r="B1557" t="s">
        <v>5</v>
      </c>
      <c r="C1557" t="s">
        <v>30</v>
      </c>
      <c r="D1557">
        <f ca="1">'2BAS Calcs'!N1557</f>
        <v>58.111779733619564</v>
      </c>
    </row>
    <row r="1558" spans="1:4" x14ac:dyDescent="0.35">
      <c r="A1558" t="s">
        <v>12</v>
      </c>
      <c r="B1558" t="s">
        <v>5</v>
      </c>
      <c r="C1558" t="s">
        <v>30</v>
      </c>
      <c r="D1558">
        <f ca="1">'2BAS Calcs'!N1558</f>
        <v>1.0401583343470195</v>
      </c>
    </row>
    <row r="1559" spans="1:4" x14ac:dyDescent="0.35">
      <c r="A1559" t="s">
        <v>13</v>
      </c>
      <c r="B1559" t="s">
        <v>5</v>
      </c>
      <c r="C1559" t="s">
        <v>30</v>
      </c>
      <c r="D1559">
        <f ca="1">'2BAS Calcs'!N1559</f>
        <v>14.978175059009377</v>
      </c>
    </row>
    <row r="1560" spans="1:4" x14ac:dyDescent="0.35">
      <c r="A1560" t="s">
        <v>14</v>
      </c>
      <c r="B1560" t="s">
        <v>5</v>
      </c>
      <c r="C1560" t="s">
        <v>30</v>
      </c>
      <c r="D1560">
        <f ca="1">'2BAS Calcs'!N1560</f>
        <v>3.771680606770857</v>
      </c>
    </row>
    <row r="1561" spans="1:4" x14ac:dyDescent="0.35">
      <c r="A1561" t="s">
        <v>15</v>
      </c>
      <c r="B1561" t="s">
        <v>5</v>
      </c>
      <c r="C1561" t="s">
        <v>30</v>
      </c>
      <c r="D1561">
        <f ca="1">'2BAS Calcs'!N1561</f>
        <v>51.703443523200512</v>
      </c>
    </row>
    <row r="1562" spans="1:4" x14ac:dyDescent="0.35">
      <c r="A1562" t="s">
        <v>16</v>
      </c>
      <c r="B1562" t="s">
        <v>5</v>
      </c>
      <c r="C1562" t="s">
        <v>30</v>
      </c>
      <c r="D1562">
        <f ca="1">'2BAS Calcs'!N1562</f>
        <v>39.597965636806052</v>
      </c>
    </row>
    <row r="1563" spans="1:4" x14ac:dyDescent="0.35">
      <c r="A1563" t="s">
        <v>17</v>
      </c>
      <c r="B1563" t="s">
        <v>5</v>
      </c>
      <c r="C1563" t="s">
        <v>30</v>
      </c>
      <c r="D1563">
        <f ca="1">'2BAS Calcs'!N1563</f>
        <v>14.94773215954444</v>
      </c>
    </row>
    <row r="1564" spans="1:4" x14ac:dyDescent="0.35">
      <c r="A1564" t="s">
        <v>18</v>
      </c>
      <c r="B1564" t="s">
        <v>5</v>
      </c>
      <c r="C1564" t="s">
        <v>30</v>
      </c>
      <c r="D1564">
        <f ca="1">'2BAS Calcs'!N1564</f>
        <v>187.10282236106337</v>
      </c>
    </row>
    <row r="1565" spans="1:4" x14ac:dyDescent="0.35">
      <c r="A1565" t="s">
        <v>19</v>
      </c>
      <c r="B1565" t="s">
        <v>5</v>
      </c>
      <c r="C1565" t="s">
        <v>30</v>
      </c>
      <c r="D1565">
        <f ca="1">'2BAS Calcs'!N1565</f>
        <v>716.7482298562976</v>
      </c>
    </row>
    <row r="1566" spans="1:4" x14ac:dyDescent="0.35">
      <c r="A1566" t="s">
        <v>20</v>
      </c>
      <c r="B1566" t="s">
        <v>5</v>
      </c>
      <c r="C1566" t="s">
        <v>30</v>
      </c>
      <c r="D1566">
        <f ca="1">'2BAS Calcs'!N1566</f>
        <v>384.29853714651648</v>
      </c>
    </row>
    <row r="1567" spans="1:4" x14ac:dyDescent="0.35">
      <c r="A1567" t="s">
        <v>21</v>
      </c>
      <c r="B1567" t="s">
        <v>5</v>
      </c>
      <c r="C1567" t="s">
        <v>30</v>
      </c>
      <c r="D1567">
        <f ca="1">'2BAS Calcs'!N1567</f>
        <v>613.29723969147062</v>
      </c>
    </row>
    <row r="1568" spans="1:4" x14ac:dyDescent="0.35">
      <c r="A1568" t="s">
        <v>22</v>
      </c>
      <c r="B1568" t="s">
        <v>5</v>
      </c>
      <c r="C1568" t="s">
        <v>30</v>
      </c>
      <c r="D1568">
        <f ca="1">'2BAS Calcs'!N1568</f>
        <v>232.7062358192774</v>
      </c>
    </row>
    <row r="1569" spans="1:4" x14ac:dyDescent="0.35">
      <c r="A1569" t="s">
        <v>23</v>
      </c>
      <c r="B1569" t="s">
        <v>5</v>
      </c>
      <c r="C1569" t="s">
        <v>30</v>
      </c>
      <c r="D1569">
        <f ca="1">'2BAS Calcs'!N1569</f>
        <v>1.5556925966777532E-6</v>
      </c>
    </row>
    <row r="1570" spans="1:4" x14ac:dyDescent="0.35">
      <c r="A1570" t="s">
        <v>24</v>
      </c>
      <c r="B1570" t="s">
        <v>5</v>
      </c>
      <c r="C1570" t="s">
        <v>30</v>
      </c>
      <c r="D1570">
        <f ca="1">'2BAS Calcs'!N1570</f>
        <v>45.553586792474711</v>
      </c>
    </row>
    <row r="1571" spans="1:4" x14ac:dyDescent="0.35">
      <c r="A1571" t="s">
        <v>25</v>
      </c>
      <c r="B1571" t="s">
        <v>5</v>
      </c>
      <c r="C1571" t="s">
        <v>30</v>
      </c>
      <c r="D1571">
        <f ca="1">'2BAS Calcs'!N1571</f>
        <v>3.9856310879874113</v>
      </c>
    </row>
    <row r="1572" spans="1:4" x14ac:dyDescent="0.35">
      <c r="A1572" t="s">
        <v>26</v>
      </c>
      <c r="B1572" t="s">
        <v>5</v>
      </c>
      <c r="C1572" t="s">
        <v>30</v>
      </c>
      <c r="D1572">
        <f ca="1">'2BAS Calcs'!N1572</f>
        <v>1.5556925966777532E-6</v>
      </c>
    </row>
    <row r="1573" spans="1:4" x14ac:dyDescent="0.35">
      <c r="A1573" t="s">
        <v>27</v>
      </c>
      <c r="B1573" t="s">
        <v>5</v>
      </c>
      <c r="C1573" t="s">
        <v>30</v>
      </c>
      <c r="D1573">
        <f ca="1">'2BAS Calcs'!N1573</f>
        <v>1.5556925966777532E-6</v>
      </c>
    </row>
    <row r="1574" spans="1:4" x14ac:dyDescent="0.35">
      <c r="A1574" t="s">
        <v>28</v>
      </c>
      <c r="B1574" t="s">
        <v>5</v>
      </c>
      <c r="C1574" t="s">
        <v>30</v>
      </c>
      <c r="D1574">
        <f ca="1">'2BAS Calcs'!N1574</f>
        <v>1.5556925966777532E-6</v>
      </c>
    </row>
    <row r="1575" spans="1:4" x14ac:dyDescent="0.35">
      <c r="A1575" t="s">
        <v>29</v>
      </c>
      <c r="B1575" t="s">
        <v>5</v>
      </c>
      <c r="C1575" t="s">
        <v>30</v>
      </c>
      <c r="D1575">
        <f ca="1">'2BAS Calcs'!N1575</f>
        <v>1.5556925966777532E-6</v>
      </c>
    </row>
    <row r="1576" spans="1:4" x14ac:dyDescent="0.35">
      <c r="A1576" t="s">
        <v>30</v>
      </c>
      <c r="B1576" t="s">
        <v>5</v>
      </c>
      <c r="C1576" t="s">
        <v>30</v>
      </c>
      <c r="D1576">
        <f ca="1">'2BAS Calcs'!N1576</f>
        <v>1.5556925966777532E-6</v>
      </c>
    </row>
    <row r="1577" spans="1:4" x14ac:dyDescent="0.35">
      <c r="A1577" t="s">
        <v>31</v>
      </c>
      <c r="B1577" t="s">
        <v>5</v>
      </c>
      <c r="C1577" t="s">
        <v>30</v>
      </c>
      <c r="D1577">
        <f ca="1">'2BAS Calcs'!N1577</f>
        <v>1.5556925966777532E-6</v>
      </c>
    </row>
    <row r="1578" spans="1:4" x14ac:dyDescent="0.35">
      <c r="A1578" t="s">
        <v>32</v>
      </c>
      <c r="B1578" t="s">
        <v>5</v>
      </c>
      <c r="C1578" t="s">
        <v>30</v>
      </c>
      <c r="D1578">
        <f ca="1">'2BAS Calcs'!N1578</f>
        <v>1.5556925966777532E-6</v>
      </c>
    </row>
    <row r="1579" spans="1:4" x14ac:dyDescent="0.35">
      <c r="A1579" t="s">
        <v>33</v>
      </c>
      <c r="B1579" t="s">
        <v>5</v>
      </c>
      <c r="C1579" t="s">
        <v>30</v>
      </c>
      <c r="D1579">
        <f ca="1">'2BAS Calcs'!N1579</f>
        <v>1.5556925966777532E-6</v>
      </c>
    </row>
    <row r="1580" spans="1:4" x14ac:dyDescent="0.35">
      <c r="A1580" t="s">
        <v>34</v>
      </c>
      <c r="B1580" t="s">
        <v>5</v>
      </c>
      <c r="C1580" t="s">
        <v>30</v>
      </c>
      <c r="D1580">
        <f ca="1">'2BAS Calcs'!N1580</f>
        <v>1.5556925966777532E-6</v>
      </c>
    </row>
    <row r="1581" spans="1:4" x14ac:dyDescent="0.35">
      <c r="A1581" t="s">
        <v>35</v>
      </c>
      <c r="B1581" t="s">
        <v>5</v>
      </c>
      <c r="C1581" t="s">
        <v>30</v>
      </c>
      <c r="D1581">
        <f ca="1">'2BAS Calcs'!N1581</f>
        <v>1.5556925966777532E-6</v>
      </c>
    </row>
    <row r="1582" spans="1:4" x14ac:dyDescent="0.35">
      <c r="A1582" t="s">
        <v>36</v>
      </c>
      <c r="B1582" t="s">
        <v>5</v>
      </c>
      <c r="C1582" t="s">
        <v>30</v>
      </c>
      <c r="D1582">
        <f ca="1">'2BAS Calcs'!N1582</f>
        <v>1.5556925966777532E-6</v>
      </c>
    </row>
    <row r="1583" spans="1:4" x14ac:dyDescent="0.35">
      <c r="A1583" t="s">
        <v>37</v>
      </c>
      <c r="B1583" t="s">
        <v>5</v>
      </c>
      <c r="C1583" t="s">
        <v>30</v>
      </c>
      <c r="D1583">
        <f ca="1">'2BAS Calcs'!N1583</f>
        <v>1.5556925966777532E-6</v>
      </c>
    </row>
    <row r="1584" spans="1:4" x14ac:dyDescent="0.35">
      <c r="A1584" t="s">
        <v>38</v>
      </c>
      <c r="B1584" t="s">
        <v>5</v>
      </c>
      <c r="C1584" t="s">
        <v>30</v>
      </c>
      <c r="D1584">
        <f ca="1">'2BAS Calcs'!N1584</f>
        <v>1.5556925966777532E-6</v>
      </c>
    </row>
    <row r="1585" spans="1:4" x14ac:dyDescent="0.35">
      <c r="A1585" t="s">
        <v>39</v>
      </c>
      <c r="B1585" t="s">
        <v>5</v>
      </c>
      <c r="C1585" t="s">
        <v>30</v>
      </c>
      <c r="D1585">
        <f ca="1">'2BAS Calcs'!N1585</f>
        <v>1.5556925966777532E-6</v>
      </c>
    </row>
    <row r="1586" spans="1:4" x14ac:dyDescent="0.35">
      <c r="A1586" t="s">
        <v>7</v>
      </c>
      <c r="B1586" t="s">
        <v>4</v>
      </c>
      <c r="C1586" t="s">
        <v>31</v>
      </c>
      <c r="D1586">
        <f ca="1">'2BAS Calcs'!N1586</f>
        <v>0.29300406274281504</v>
      </c>
    </row>
    <row r="1587" spans="1:4" x14ac:dyDescent="0.35">
      <c r="A1587" t="s">
        <v>8</v>
      </c>
      <c r="B1587" t="s">
        <v>4</v>
      </c>
      <c r="C1587" t="s">
        <v>31</v>
      </c>
      <c r="D1587">
        <f ca="1">'2BAS Calcs'!N1587</f>
        <v>0.51112130827941094</v>
      </c>
    </row>
    <row r="1588" spans="1:4" x14ac:dyDescent="0.35">
      <c r="A1588" t="s">
        <v>9</v>
      </c>
      <c r="B1588" t="s">
        <v>4</v>
      </c>
      <c r="C1588" t="s">
        <v>31</v>
      </c>
      <c r="D1588">
        <f ca="1">'2BAS Calcs'!N1588</f>
        <v>0.8606203661808296</v>
      </c>
    </row>
    <row r="1589" spans="1:4" x14ac:dyDescent="0.35">
      <c r="A1589" t="s">
        <v>10</v>
      </c>
      <c r="B1589" t="s">
        <v>4</v>
      </c>
      <c r="C1589" t="s">
        <v>31</v>
      </c>
      <c r="D1589">
        <f ca="1">'2BAS Calcs'!N1589</f>
        <v>4.4828450031559921</v>
      </c>
    </row>
    <row r="1590" spans="1:4" x14ac:dyDescent="0.35">
      <c r="A1590" t="s">
        <v>11</v>
      </c>
      <c r="B1590" t="s">
        <v>4</v>
      </c>
      <c r="C1590" t="s">
        <v>31</v>
      </c>
      <c r="D1590">
        <f ca="1">'2BAS Calcs'!N1590</f>
        <v>3.1809452899695327E-2</v>
      </c>
    </row>
    <row r="1591" spans="1:4" x14ac:dyDescent="0.35">
      <c r="A1591" t="s">
        <v>12</v>
      </c>
      <c r="B1591" t="s">
        <v>4</v>
      </c>
      <c r="C1591" t="s">
        <v>31</v>
      </c>
      <c r="D1591">
        <f ca="1">'2BAS Calcs'!N1591</f>
        <v>0.19581638520870817</v>
      </c>
    </row>
    <row r="1592" spans="1:4" x14ac:dyDescent="0.35">
      <c r="A1592" t="s">
        <v>13</v>
      </c>
      <c r="B1592" t="s">
        <v>4</v>
      </c>
      <c r="C1592" t="s">
        <v>31</v>
      </c>
      <c r="D1592">
        <f ca="1">'2BAS Calcs'!N1592</f>
        <v>3.9193784758242982</v>
      </c>
    </row>
    <row r="1593" spans="1:4" x14ac:dyDescent="0.35">
      <c r="A1593" t="s">
        <v>14</v>
      </c>
      <c r="B1593" t="s">
        <v>4</v>
      </c>
      <c r="C1593" t="s">
        <v>31</v>
      </c>
      <c r="D1593">
        <f ca="1">'2BAS Calcs'!N1593</f>
        <v>0.59723779164623658</v>
      </c>
    </row>
    <row r="1594" spans="1:4" x14ac:dyDescent="0.35">
      <c r="A1594" t="s">
        <v>15</v>
      </c>
      <c r="B1594" t="s">
        <v>4</v>
      </c>
      <c r="C1594" t="s">
        <v>31</v>
      </c>
      <c r="D1594">
        <f ca="1">'2BAS Calcs'!N1594</f>
        <v>3.7191195426702444</v>
      </c>
    </row>
    <row r="1595" spans="1:4" x14ac:dyDescent="0.35">
      <c r="A1595" t="s">
        <v>16</v>
      </c>
      <c r="B1595" t="s">
        <v>4</v>
      </c>
      <c r="C1595" t="s">
        <v>31</v>
      </c>
      <c r="D1595">
        <f ca="1">'2BAS Calcs'!N1595</f>
        <v>5.8219227706355596</v>
      </c>
    </row>
    <row r="1596" spans="1:4" x14ac:dyDescent="0.35">
      <c r="A1596" t="s">
        <v>17</v>
      </c>
      <c r="B1596" t="s">
        <v>4</v>
      </c>
      <c r="C1596" t="s">
        <v>31</v>
      </c>
      <c r="D1596">
        <f ca="1">'2BAS Calcs'!N1596</f>
        <v>5.3932878284543166</v>
      </c>
    </row>
    <row r="1597" spans="1:4" x14ac:dyDescent="0.35">
      <c r="A1597" t="s">
        <v>18</v>
      </c>
      <c r="B1597" t="s">
        <v>4</v>
      </c>
      <c r="C1597" t="s">
        <v>31</v>
      </c>
      <c r="D1597">
        <f ca="1">'2BAS Calcs'!N1597</f>
        <v>15.774433615183753</v>
      </c>
    </row>
    <row r="1598" spans="1:4" x14ac:dyDescent="0.35">
      <c r="A1598" t="s">
        <v>19</v>
      </c>
      <c r="B1598" t="s">
        <v>4</v>
      </c>
      <c r="C1598" t="s">
        <v>31</v>
      </c>
      <c r="D1598">
        <f ca="1">'2BAS Calcs'!N1598</f>
        <v>22.832249097460778</v>
      </c>
    </row>
    <row r="1599" spans="1:4" x14ac:dyDescent="0.35">
      <c r="A1599" t="s">
        <v>20</v>
      </c>
      <c r="B1599" t="s">
        <v>4</v>
      </c>
      <c r="C1599" t="s">
        <v>31</v>
      </c>
      <c r="D1599">
        <f ca="1">'2BAS Calcs'!N1599</f>
        <v>4.7496035431769519</v>
      </c>
    </row>
    <row r="1600" spans="1:4" x14ac:dyDescent="0.35">
      <c r="A1600" t="s">
        <v>21</v>
      </c>
      <c r="B1600" t="s">
        <v>4</v>
      </c>
      <c r="C1600" t="s">
        <v>31</v>
      </c>
      <c r="D1600">
        <f ca="1">'2BAS Calcs'!N1600</f>
        <v>6.8608399507586775</v>
      </c>
    </row>
    <row r="1601" spans="1:4" x14ac:dyDescent="0.35">
      <c r="A1601" t="s">
        <v>22</v>
      </c>
      <c r="B1601" t="s">
        <v>4</v>
      </c>
      <c r="C1601" t="s">
        <v>31</v>
      </c>
      <c r="D1601">
        <f ca="1">'2BAS Calcs'!N1601</f>
        <v>18.681621712624256</v>
      </c>
    </row>
    <row r="1602" spans="1:4" x14ac:dyDescent="0.35">
      <c r="A1602" t="s">
        <v>23</v>
      </c>
      <c r="B1602" t="s">
        <v>4</v>
      </c>
      <c r="C1602" t="s">
        <v>31</v>
      </c>
      <c r="D1602">
        <f ca="1">'2BAS Calcs'!N1602</f>
        <v>4.2630222011177188E-7</v>
      </c>
    </row>
    <row r="1603" spans="1:4" x14ac:dyDescent="0.35">
      <c r="A1603" t="s">
        <v>24</v>
      </c>
      <c r="B1603" t="s">
        <v>4</v>
      </c>
      <c r="C1603" t="s">
        <v>31</v>
      </c>
      <c r="D1603">
        <f ca="1">'2BAS Calcs'!N1603</f>
        <v>620.57432493343333</v>
      </c>
    </row>
    <row r="1604" spans="1:4" x14ac:dyDescent="0.35">
      <c r="A1604" t="s">
        <v>25</v>
      </c>
      <c r="B1604" t="s">
        <v>4</v>
      </c>
      <c r="C1604" t="s">
        <v>31</v>
      </c>
      <c r="D1604">
        <f ca="1">'2BAS Calcs'!N1604</f>
        <v>99.225697151507774</v>
      </c>
    </row>
    <row r="1605" spans="1:4" x14ac:dyDescent="0.35">
      <c r="A1605" t="s">
        <v>26</v>
      </c>
      <c r="B1605" t="s">
        <v>4</v>
      </c>
      <c r="C1605" t="s">
        <v>31</v>
      </c>
      <c r="D1605">
        <f ca="1">'2BAS Calcs'!N1605</f>
        <v>4.2630222011177188E-7</v>
      </c>
    </row>
    <row r="1606" spans="1:4" x14ac:dyDescent="0.35">
      <c r="A1606" t="s">
        <v>27</v>
      </c>
      <c r="B1606" t="s">
        <v>4</v>
      </c>
      <c r="C1606" t="s">
        <v>31</v>
      </c>
      <c r="D1606">
        <f ca="1">'2BAS Calcs'!N1606</f>
        <v>4.2630222011177188E-7</v>
      </c>
    </row>
    <row r="1607" spans="1:4" x14ac:dyDescent="0.35">
      <c r="A1607" t="s">
        <v>28</v>
      </c>
      <c r="B1607" t="s">
        <v>4</v>
      </c>
      <c r="C1607" t="s">
        <v>31</v>
      </c>
      <c r="D1607">
        <f ca="1">'2BAS Calcs'!N1607</f>
        <v>4.2630222011177188E-7</v>
      </c>
    </row>
    <row r="1608" spans="1:4" x14ac:dyDescent="0.35">
      <c r="A1608" t="s">
        <v>29</v>
      </c>
      <c r="B1608" t="s">
        <v>4</v>
      </c>
      <c r="C1608" t="s">
        <v>31</v>
      </c>
      <c r="D1608">
        <f ca="1">'2BAS Calcs'!N1608</f>
        <v>4.2630222011177188E-7</v>
      </c>
    </row>
    <row r="1609" spans="1:4" x14ac:dyDescent="0.35">
      <c r="A1609" t="s">
        <v>30</v>
      </c>
      <c r="B1609" t="s">
        <v>4</v>
      </c>
      <c r="C1609" t="s">
        <v>31</v>
      </c>
      <c r="D1609">
        <f ca="1">'2BAS Calcs'!N1609</f>
        <v>4.2630222011177188E-7</v>
      </c>
    </row>
    <row r="1610" spans="1:4" x14ac:dyDescent="0.35">
      <c r="A1610" t="s">
        <v>31</v>
      </c>
      <c r="B1610" t="s">
        <v>4</v>
      </c>
      <c r="C1610" t="s">
        <v>31</v>
      </c>
      <c r="D1610">
        <f ca="1">'2BAS Calcs'!N1610</f>
        <v>4.2630222011177188E-7</v>
      </c>
    </row>
    <row r="1611" spans="1:4" x14ac:dyDescent="0.35">
      <c r="A1611" t="s">
        <v>32</v>
      </c>
      <c r="B1611" t="s">
        <v>4</v>
      </c>
      <c r="C1611" t="s">
        <v>31</v>
      </c>
      <c r="D1611">
        <f ca="1">'2BAS Calcs'!N1611</f>
        <v>4.2630222011177188E-7</v>
      </c>
    </row>
    <row r="1612" spans="1:4" x14ac:dyDescent="0.35">
      <c r="A1612" t="s">
        <v>33</v>
      </c>
      <c r="B1612" t="s">
        <v>4</v>
      </c>
      <c r="C1612" t="s">
        <v>31</v>
      </c>
      <c r="D1612">
        <f ca="1">'2BAS Calcs'!N1612</f>
        <v>4.2630222011177188E-7</v>
      </c>
    </row>
    <row r="1613" spans="1:4" x14ac:dyDescent="0.35">
      <c r="A1613" t="s">
        <v>34</v>
      </c>
      <c r="B1613" t="s">
        <v>4</v>
      </c>
      <c r="C1613" t="s">
        <v>31</v>
      </c>
      <c r="D1613">
        <f ca="1">'2BAS Calcs'!N1613</f>
        <v>4.2630222011177188E-7</v>
      </c>
    </row>
    <row r="1614" spans="1:4" x14ac:dyDescent="0.35">
      <c r="A1614" t="s">
        <v>35</v>
      </c>
      <c r="B1614" t="s">
        <v>4</v>
      </c>
      <c r="C1614" t="s">
        <v>31</v>
      </c>
      <c r="D1614">
        <f ca="1">'2BAS Calcs'!N1614</f>
        <v>4.2630222011177188E-7</v>
      </c>
    </row>
    <row r="1615" spans="1:4" x14ac:dyDescent="0.35">
      <c r="A1615" t="s">
        <v>36</v>
      </c>
      <c r="B1615" t="s">
        <v>4</v>
      </c>
      <c r="C1615" t="s">
        <v>31</v>
      </c>
      <c r="D1615">
        <f ca="1">'2BAS Calcs'!N1615</f>
        <v>4.2630222011177188E-7</v>
      </c>
    </row>
    <row r="1616" spans="1:4" x14ac:dyDescent="0.35">
      <c r="A1616" t="s">
        <v>37</v>
      </c>
      <c r="B1616" t="s">
        <v>4</v>
      </c>
      <c r="C1616" t="s">
        <v>31</v>
      </c>
      <c r="D1616">
        <f ca="1">'2BAS Calcs'!N1616</f>
        <v>4.2630222011177188E-7</v>
      </c>
    </row>
    <row r="1617" spans="1:4" x14ac:dyDescent="0.35">
      <c r="A1617" t="s">
        <v>38</v>
      </c>
      <c r="B1617" t="s">
        <v>4</v>
      </c>
      <c r="C1617" t="s">
        <v>31</v>
      </c>
      <c r="D1617">
        <f ca="1">'2BAS Calcs'!N1617</f>
        <v>4.2630222011177188E-7</v>
      </c>
    </row>
    <row r="1618" spans="1:4" x14ac:dyDescent="0.35">
      <c r="A1618" t="s">
        <v>39</v>
      </c>
      <c r="B1618" t="s">
        <v>4</v>
      </c>
      <c r="C1618" t="s">
        <v>31</v>
      </c>
      <c r="D1618">
        <f ca="1">'2BAS Calcs'!N1618</f>
        <v>4.2630222011177188E-7</v>
      </c>
    </row>
    <row r="1619" spans="1:4" x14ac:dyDescent="0.35">
      <c r="A1619" t="s">
        <v>7</v>
      </c>
      <c r="B1619" t="s">
        <v>5</v>
      </c>
      <c r="C1619" t="s">
        <v>31</v>
      </c>
      <c r="D1619">
        <f ca="1">'2BAS Calcs'!N1619</f>
        <v>3.9440731290858486</v>
      </c>
    </row>
    <row r="1620" spans="1:4" x14ac:dyDescent="0.35">
      <c r="A1620" t="s">
        <v>8</v>
      </c>
      <c r="B1620" t="s">
        <v>5</v>
      </c>
      <c r="C1620" t="s">
        <v>31</v>
      </c>
      <c r="D1620">
        <f ca="1">'2BAS Calcs'!N1620</f>
        <v>6.2222947568714311</v>
      </c>
    </row>
    <row r="1621" spans="1:4" x14ac:dyDescent="0.35">
      <c r="A1621" t="s">
        <v>9</v>
      </c>
      <c r="B1621" t="s">
        <v>5</v>
      </c>
      <c r="C1621" t="s">
        <v>31</v>
      </c>
      <c r="D1621">
        <f ca="1">'2BAS Calcs'!N1621</f>
        <v>1.5570090062134099</v>
      </c>
    </row>
    <row r="1622" spans="1:4" x14ac:dyDescent="0.35">
      <c r="A1622" t="s">
        <v>10</v>
      </c>
      <c r="B1622" t="s">
        <v>5</v>
      </c>
      <c r="C1622" t="s">
        <v>31</v>
      </c>
      <c r="D1622">
        <f ca="1">'2BAS Calcs'!N1622</f>
        <v>30.554769525945165</v>
      </c>
    </row>
    <row r="1623" spans="1:4" x14ac:dyDescent="0.35">
      <c r="A1623" t="s">
        <v>11</v>
      </c>
      <c r="B1623" t="s">
        <v>5</v>
      </c>
      <c r="C1623" t="s">
        <v>31</v>
      </c>
      <c r="D1623">
        <f ca="1">'2BAS Calcs'!N1623</f>
        <v>15.924213284804759</v>
      </c>
    </row>
    <row r="1624" spans="1:4" x14ac:dyDescent="0.35">
      <c r="A1624" t="s">
        <v>12</v>
      </c>
      <c r="B1624" t="s">
        <v>5</v>
      </c>
      <c r="C1624" t="s">
        <v>31</v>
      </c>
      <c r="D1624">
        <f ca="1">'2BAS Calcs'!N1624</f>
        <v>0.28503176536729874</v>
      </c>
    </row>
    <row r="1625" spans="1:4" x14ac:dyDescent="0.35">
      <c r="A1625" t="s">
        <v>13</v>
      </c>
      <c r="B1625" t="s">
        <v>5</v>
      </c>
      <c r="C1625" t="s">
        <v>31</v>
      </c>
      <c r="D1625">
        <f ca="1">'2BAS Calcs'!N1625</f>
        <v>4.1044286605942535</v>
      </c>
    </row>
    <row r="1626" spans="1:4" x14ac:dyDescent="0.35">
      <c r="A1626" t="s">
        <v>14</v>
      </c>
      <c r="B1626" t="s">
        <v>5</v>
      </c>
      <c r="C1626" t="s">
        <v>31</v>
      </c>
      <c r="D1626">
        <f ca="1">'2BAS Calcs'!N1626</f>
        <v>1.0335434003174002</v>
      </c>
    </row>
    <row r="1627" spans="1:4" x14ac:dyDescent="0.35">
      <c r="A1627" t="s">
        <v>15</v>
      </c>
      <c r="B1627" t="s">
        <v>5</v>
      </c>
      <c r="C1627" t="s">
        <v>31</v>
      </c>
      <c r="D1627">
        <f ca="1">'2BAS Calcs'!N1627</f>
        <v>14.168154305313333</v>
      </c>
    </row>
    <row r="1628" spans="1:4" x14ac:dyDescent="0.35">
      <c r="A1628" t="s">
        <v>16</v>
      </c>
      <c r="B1628" t="s">
        <v>5</v>
      </c>
      <c r="C1628" t="s">
        <v>31</v>
      </c>
      <c r="D1628">
        <f ca="1">'2BAS Calcs'!N1628</f>
        <v>10.850923054419308</v>
      </c>
    </row>
    <row r="1629" spans="1:4" x14ac:dyDescent="0.35">
      <c r="A1629" t="s">
        <v>17</v>
      </c>
      <c r="B1629" t="s">
        <v>5</v>
      </c>
      <c r="C1629" t="s">
        <v>31</v>
      </c>
      <c r="D1629">
        <f ca="1">'2BAS Calcs'!N1629</f>
        <v>4.0960864754760262</v>
      </c>
    </row>
    <row r="1630" spans="1:4" x14ac:dyDescent="0.35">
      <c r="A1630" t="s">
        <v>18</v>
      </c>
      <c r="B1630" t="s">
        <v>5</v>
      </c>
      <c r="C1630" t="s">
        <v>31</v>
      </c>
      <c r="D1630">
        <f ca="1">'2BAS Calcs'!N1630</f>
        <v>51.271278613805599</v>
      </c>
    </row>
    <row r="1631" spans="1:4" x14ac:dyDescent="0.35">
      <c r="A1631" t="s">
        <v>19</v>
      </c>
      <c r="B1631" t="s">
        <v>5</v>
      </c>
      <c r="C1631" t="s">
        <v>31</v>
      </c>
      <c r="D1631">
        <f ca="1">'2BAS Calcs'!N1631</f>
        <v>196.40857217000323</v>
      </c>
    </row>
    <row r="1632" spans="1:4" x14ac:dyDescent="0.35">
      <c r="A1632" t="s">
        <v>20</v>
      </c>
      <c r="B1632" t="s">
        <v>5</v>
      </c>
      <c r="C1632" t="s">
        <v>31</v>
      </c>
      <c r="D1632">
        <f ca="1">'2BAS Calcs'!N1632</f>
        <v>105.30828514651694</v>
      </c>
    </row>
    <row r="1633" spans="1:4" x14ac:dyDescent="0.35">
      <c r="A1633" t="s">
        <v>21</v>
      </c>
      <c r="B1633" t="s">
        <v>5</v>
      </c>
      <c r="C1633" t="s">
        <v>31</v>
      </c>
      <c r="D1633">
        <f ca="1">'2BAS Calcs'!N1633</f>
        <v>168.06017810153034</v>
      </c>
    </row>
    <row r="1634" spans="1:4" x14ac:dyDescent="0.35">
      <c r="A1634" t="s">
        <v>22</v>
      </c>
      <c r="B1634" t="s">
        <v>5</v>
      </c>
      <c r="C1634" t="s">
        <v>31</v>
      </c>
      <c r="D1634">
        <f ca="1">'2BAS Calcs'!N1634</f>
        <v>63.7678582359163</v>
      </c>
    </row>
    <row r="1635" spans="1:4" x14ac:dyDescent="0.35">
      <c r="A1635" t="s">
        <v>23</v>
      </c>
      <c r="B1635" t="s">
        <v>5</v>
      </c>
      <c r="C1635" t="s">
        <v>31</v>
      </c>
      <c r="D1635">
        <f ca="1">'2BAS Calcs'!N1635</f>
        <v>4.2630222011177188E-7</v>
      </c>
    </row>
    <row r="1636" spans="1:4" x14ac:dyDescent="0.35">
      <c r="A1636" t="s">
        <v>24</v>
      </c>
      <c r="B1636" t="s">
        <v>5</v>
      </c>
      <c r="C1636" t="s">
        <v>31</v>
      </c>
      <c r="D1636">
        <f ca="1">'2BAS Calcs'!N1636</f>
        <v>12.482925756127925</v>
      </c>
    </row>
    <row r="1637" spans="1:4" x14ac:dyDescent="0.35">
      <c r="A1637" t="s">
        <v>25</v>
      </c>
      <c r="B1637" t="s">
        <v>5</v>
      </c>
      <c r="C1637" t="s">
        <v>31</v>
      </c>
      <c r="D1637">
        <f ca="1">'2BAS Calcs'!N1637</f>
        <v>1.0921716700227242</v>
      </c>
    </row>
    <row r="1638" spans="1:4" x14ac:dyDescent="0.35">
      <c r="A1638" t="s">
        <v>26</v>
      </c>
      <c r="B1638" t="s">
        <v>5</v>
      </c>
      <c r="C1638" t="s">
        <v>31</v>
      </c>
      <c r="D1638">
        <f ca="1">'2BAS Calcs'!N1638</f>
        <v>4.2630222011177188E-7</v>
      </c>
    </row>
    <row r="1639" spans="1:4" x14ac:dyDescent="0.35">
      <c r="A1639" t="s">
        <v>27</v>
      </c>
      <c r="B1639" t="s">
        <v>5</v>
      </c>
      <c r="C1639" t="s">
        <v>31</v>
      </c>
      <c r="D1639">
        <f ca="1">'2BAS Calcs'!N1639</f>
        <v>4.2630222011177188E-7</v>
      </c>
    </row>
    <row r="1640" spans="1:4" x14ac:dyDescent="0.35">
      <c r="A1640" t="s">
        <v>28</v>
      </c>
      <c r="B1640" t="s">
        <v>5</v>
      </c>
      <c r="C1640" t="s">
        <v>31</v>
      </c>
      <c r="D1640">
        <f ca="1">'2BAS Calcs'!N1640</f>
        <v>4.2630222011177188E-7</v>
      </c>
    </row>
    <row r="1641" spans="1:4" x14ac:dyDescent="0.35">
      <c r="A1641" t="s">
        <v>29</v>
      </c>
      <c r="B1641" t="s">
        <v>5</v>
      </c>
      <c r="C1641" t="s">
        <v>31</v>
      </c>
      <c r="D1641">
        <f ca="1">'2BAS Calcs'!N1641</f>
        <v>4.2630222011177188E-7</v>
      </c>
    </row>
    <row r="1642" spans="1:4" x14ac:dyDescent="0.35">
      <c r="A1642" t="s">
        <v>30</v>
      </c>
      <c r="B1642" t="s">
        <v>5</v>
      </c>
      <c r="C1642" t="s">
        <v>31</v>
      </c>
      <c r="D1642">
        <f ca="1">'2BAS Calcs'!N1642</f>
        <v>4.2630222011177188E-7</v>
      </c>
    </row>
    <row r="1643" spans="1:4" x14ac:dyDescent="0.35">
      <c r="A1643" t="s">
        <v>31</v>
      </c>
      <c r="B1643" t="s">
        <v>5</v>
      </c>
      <c r="C1643" t="s">
        <v>31</v>
      </c>
      <c r="D1643">
        <f ca="1">'2BAS Calcs'!N1643</f>
        <v>4.2630222011177188E-7</v>
      </c>
    </row>
    <row r="1644" spans="1:4" x14ac:dyDescent="0.35">
      <c r="A1644" t="s">
        <v>32</v>
      </c>
      <c r="B1644" t="s">
        <v>5</v>
      </c>
      <c r="C1644" t="s">
        <v>31</v>
      </c>
      <c r="D1644">
        <f ca="1">'2BAS Calcs'!N1644</f>
        <v>4.2630222011177188E-7</v>
      </c>
    </row>
    <row r="1645" spans="1:4" x14ac:dyDescent="0.35">
      <c r="A1645" t="s">
        <v>33</v>
      </c>
      <c r="B1645" t="s">
        <v>5</v>
      </c>
      <c r="C1645" t="s">
        <v>31</v>
      </c>
      <c r="D1645">
        <f ca="1">'2BAS Calcs'!N1645</f>
        <v>4.2630222011177188E-7</v>
      </c>
    </row>
    <row r="1646" spans="1:4" x14ac:dyDescent="0.35">
      <c r="A1646" t="s">
        <v>34</v>
      </c>
      <c r="B1646" t="s">
        <v>5</v>
      </c>
      <c r="C1646" t="s">
        <v>31</v>
      </c>
      <c r="D1646">
        <f ca="1">'2BAS Calcs'!N1646</f>
        <v>4.2630222011177188E-7</v>
      </c>
    </row>
    <row r="1647" spans="1:4" x14ac:dyDescent="0.35">
      <c r="A1647" t="s">
        <v>35</v>
      </c>
      <c r="B1647" t="s">
        <v>5</v>
      </c>
      <c r="C1647" t="s">
        <v>31</v>
      </c>
      <c r="D1647">
        <f ca="1">'2BAS Calcs'!N1647</f>
        <v>4.2630222011177188E-7</v>
      </c>
    </row>
    <row r="1648" spans="1:4" x14ac:dyDescent="0.35">
      <c r="A1648" t="s">
        <v>36</v>
      </c>
      <c r="B1648" t="s">
        <v>5</v>
      </c>
      <c r="C1648" t="s">
        <v>31</v>
      </c>
      <c r="D1648">
        <f ca="1">'2BAS Calcs'!N1648</f>
        <v>4.2630222011177188E-7</v>
      </c>
    </row>
    <row r="1649" spans="1:4" x14ac:dyDescent="0.35">
      <c r="A1649" t="s">
        <v>37</v>
      </c>
      <c r="B1649" t="s">
        <v>5</v>
      </c>
      <c r="C1649" t="s">
        <v>31</v>
      </c>
      <c r="D1649">
        <f ca="1">'2BAS Calcs'!N1649</f>
        <v>4.2630222011177188E-7</v>
      </c>
    </row>
    <row r="1650" spans="1:4" x14ac:dyDescent="0.35">
      <c r="A1650" t="s">
        <v>38</v>
      </c>
      <c r="B1650" t="s">
        <v>5</v>
      </c>
      <c r="C1650" t="s">
        <v>31</v>
      </c>
      <c r="D1650">
        <f ca="1">'2BAS Calcs'!N1650</f>
        <v>4.2630222011177188E-7</v>
      </c>
    </row>
    <row r="1651" spans="1:4" x14ac:dyDescent="0.35">
      <c r="A1651" t="s">
        <v>39</v>
      </c>
      <c r="B1651" t="s">
        <v>5</v>
      </c>
      <c r="C1651" t="s">
        <v>31</v>
      </c>
      <c r="D1651">
        <f ca="1">'2BAS Calcs'!N1651</f>
        <v>4.2630222011177188E-7</v>
      </c>
    </row>
    <row r="1652" spans="1:4" x14ac:dyDescent="0.35">
      <c r="A1652" t="s">
        <v>7</v>
      </c>
      <c r="B1652" t="s">
        <v>4</v>
      </c>
      <c r="C1652" t="s">
        <v>32</v>
      </c>
      <c r="D1652">
        <f ca="1">'2BAS Calcs'!N1652</f>
        <v>3.7551115218015947</v>
      </c>
    </row>
    <row r="1653" spans="1:4" x14ac:dyDescent="0.35">
      <c r="A1653" t="s">
        <v>8</v>
      </c>
      <c r="B1653" t="s">
        <v>4</v>
      </c>
      <c r="C1653" t="s">
        <v>32</v>
      </c>
      <c r="D1653">
        <f ca="1">'2BAS Calcs'!N1653</f>
        <v>6.5504808902360026</v>
      </c>
    </row>
    <row r="1654" spans="1:4" x14ac:dyDescent="0.35">
      <c r="A1654" t="s">
        <v>9</v>
      </c>
      <c r="B1654" t="s">
        <v>4</v>
      </c>
      <c r="C1654" t="s">
        <v>32</v>
      </c>
      <c r="D1654">
        <f ca="1">'2BAS Calcs'!N1654</f>
        <v>11.029626765890255</v>
      </c>
    </row>
    <row r="1655" spans="1:4" x14ac:dyDescent="0.35">
      <c r="A1655" t="s">
        <v>10</v>
      </c>
      <c r="B1655" t="s">
        <v>4</v>
      </c>
      <c r="C1655" t="s">
        <v>32</v>
      </c>
      <c r="D1655">
        <f ca="1">'2BAS Calcs'!N1655</f>
        <v>57.451704813313413</v>
      </c>
    </row>
    <row r="1656" spans="1:4" x14ac:dyDescent="0.35">
      <c r="A1656" t="s">
        <v>11</v>
      </c>
      <c r="B1656" t="s">
        <v>4</v>
      </c>
      <c r="C1656" t="s">
        <v>32</v>
      </c>
      <c r="D1656">
        <f ca="1">'2BAS Calcs'!N1656</f>
        <v>0.40766684928426006</v>
      </c>
    </row>
    <row r="1657" spans="1:4" x14ac:dyDescent="0.35">
      <c r="A1657" t="s">
        <v>12</v>
      </c>
      <c r="B1657" t="s">
        <v>4</v>
      </c>
      <c r="C1657" t="s">
        <v>32</v>
      </c>
      <c r="D1657">
        <f ca="1">'2BAS Calcs'!N1657</f>
        <v>2.5095637151631625</v>
      </c>
    </row>
    <row r="1658" spans="1:4" x14ac:dyDescent="0.35">
      <c r="A1658" t="s">
        <v>13</v>
      </c>
      <c r="B1658" t="s">
        <v>4</v>
      </c>
      <c r="C1658" t="s">
        <v>32</v>
      </c>
      <c r="D1658">
        <f ca="1">'2BAS Calcs'!N1658</f>
        <v>50.230372695505899</v>
      </c>
    </row>
    <row r="1659" spans="1:4" x14ac:dyDescent="0.35">
      <c r="A1659" t="s">
        <v>14</v>
      </c>
      <c r="B1659" t="s">
        <v>4</v>
      </c>
      <c r="C1659" t="s">
        <v>32</v>
      </c>
      <c r="D1659">
        <f ca="1">'2BAS Calcs'!N1659</f>
        <v>7.6541413510523677</v>
      </c>
    </row>
    <row r="1660" spans="1:4" x14ac:dyDescent="0.35">
      <c r="A1660" t="s">
        <v>15</v>
      </c>
      <c r="B1660" t="s">
        <v>4</v>
      </c>
      <c r="C1660" t="s">
        <v>32</v>
      </c>
      <c r="D1660">
        <f ca="1">'2BAS Calcs'!N1660</f>
        <v>47.663873718696323</v>
      </c>
    </row>
    <row r="1661" spans="1:4" x14ac:dyDescent="0.35">
      <c r="A1661" t="s">
        <v>16</v>
      </c>
      <c r="B1661" t="s">
        <v>4</v>
      </c>
      <c r="C1661" t="s">
        <v>32</v>
      </c>
      <c r="D1661">
        <f ca="1">'2BAS Calcs'!N1661</f>
        <v>74.613195019899919</v>
      </c>
    </row>
    <row r="1662" spans="1:4" x14ac:dyDescent="0.35">
      <c r="A1662" t="s">
        <v>17</v>
      </c>
      <c r="B1662" t="s">
        <v>4</v>
      </c>
      <c r="C1662" t="s">
        <v>32</v>
      </c>
      <c r="D1662">
        <f ca="1">'2BAS Calcs'!N1662</f>
        <v>69.119851361234169</v>
      </c>
    </row>
    <row r="1663" spans="1:4" x14ac:dyDescent="0.35">
      <c r="A1663" t="s">
        <v>18</v>
      </c>
      <c r="B1663" t="s">
        <v>4</v>
      </c>
      <c r="C1663" t="s">
        <v>32</v>
      </c>
      <c r="D1663">
        <f ca="1">'2BAS Calcs'!N1663</f>
        <v>202.16360436702996</v>
      </c>
    </row>
    <row r="1664" spans="1:4" x14ac:dyDescent="0.35">
      <c r="A1664" t="s">
        <v>19</v>
      </c>
      <c r="B1664" t="s">
        <v>4</v>
      </c>
      <c r="C1664" t="s">
        <v>32</v>
      </c>
      <c r="D1664">
        <f ca="1">'2BAS Calcs'!N1664</f>
        <v>292.61587997083654</v>
      </c>
    </row>
    <row r="1665" spans="1:4" x14ac:dyDescent="0.35">
      <c r="A1665" t="s">
        <v>20</v>
      </c>
      <c r="B1665" t="s">
        <v>4</v>
      </c>
      <c r="C1665" t="s">
        <v>32</v>
      </c>
      <c r="D1665">
        <f ca="1">'2BAS Calcs'!N1665</f>
        <v>60.870456272916641</v>
      </c>
    </row>
    <row r="1666" spans="1:4" x14ac:dyDescent="0.35">
      <c r="A1666" t="s">
        <v>21</v>
      </c>
      <c r="B1666" t="s">
        <v>4</v>
      </c>
      <c r="C1666" t="s">
        <v>32</v>
      </c>
      <c r="D1666">
        <f ca="1">'2BAS Calcs'!N1666</f>
        <v>87.927856382470424</v>
      </c>
    </row>
    <row r="1667" spans="1:4" x14ac:dyDescent="0.35">
      <c r="A1667" t="s">
        <v>22</v>
      </c>
      <c r="B1667" t="s">
        <v>4</v>
      </c>
      <c r="C1667" t="s">
        <v>32</v>
      </c>
      <c r="D1667">
        <f ca="1">'2BAS Calcs'!N1667</f>
        <v>239.42184378716237</v>
      </c>
    </row>
    <row r="1668" spans="1:4" x14ac:dyDescent="0.35">
      <c r="A1668" t="s">
        <v>23</v>
      </c>
      <c r="B1668" t="s">
        <v>4</v>
      </c>
      <c r="C1668" t="s">
        <v>32</v>
      </c>
      <c r="D1668">
        <f ca="1">'2BAS Calcs'!N1668</f>
        <v>5.4634477198919605E-6</v>
      </c>
    </row>
    <row r="1669" spans="1:4" x14ac:dyDescent="0.35">
      <c r="A1669" t="s">
        <v>24</v>
      </c>
      <c r="B1669" t="s">
        <v>4</v>
      </c>
      <c r="C1669" t="s">
        <v>32</v>
      </c>
      <c r="D1669">
        <f ca="1">'2BAS Calcs'!N1669</f>
        <v>7953.2200880683031</v>
      </c>
    </row>
    <row r="1670" spans="1:4" x14ac:dyDescent="0.35">
      <c r="A1670" t="s">
        <v>25</v>
      </c>
      <c r="B1670" t="s">
        <v>4</v>
      </c>
      <c r="C1670" t="s">
        <v>32</v>
      </c>
      <c r="D1670">
        <f ca="1">'2BAS Calcs'!N1670</f>
        <v>1271.6668674982711</v>
      </c>
    </row>
    <row r="1671" spans="1:4" x14ac:dyDescent="0.35">
      <c r="A1671" t="s">
        <v>26</v>
      </c>
      <c r="B1671" t="s">
        <v>4</v>
      </c>
      <c r="C1671" t="s">
        <v>32</v>
      </c>
      <c r="D1671">
        <f ca="1">'2BAS Calcs'!N1671</f>
        <v>5.4634477198919605E-6</v>
      </c>
    </row>
    <row r="1672" spans="1:4" x14ac:dyDescent="0.35">
      <c r="A1672" t="s">
        <v>27</v>
      </c>
      <c r="B1672" t="s">
        <v>4</v>
      </c>
      <c r="C1672" t="s">
        <v>32</v>
      </c>
      <c r="D1672">
        <f ca="1">'2BAS Calcs'!N1672</f>
        <v>5.4634477198919605E-6</v>
      </c>
    </row>
    <row r="1673" spans="1:4" x14ac:dyDescent="0.35">
      <c r="A1673" t="s">
        <v>28</v>
      </c>
      <c r="B1673" t="s">
        <v>4</v>
      </c>
      <c r="C1673" t="s">
        <v>32</v>
      </c>
      <c r="D1673">
        <f ca="1">'2BAS Calcs'!N1673</f>
        <v>5.4634477198919605E-6</v>
      </c>
    </row>
    <row r="1674" spans="1:4" x14ac:dyDescent="0.35">
      <c r="A1674" t="s">
        <v>29</v>
      </c>
      <c r="B1674" t="s">
        <v>4</v>
      </c>
      <c r="C1674" t="s">
        <v>32</v>
      </c>
      <c r="D1674">
        <f ca="1">'2BAS Calcs'!N1674</f>
        <v>5.4634477198919605E-6</v>
      </c>
    </row>
    <row r="1675" spans="1:4" x14ac:dyDescent="0.35">
      <c r="A1675" t="s">
        <v>30</v>
      </c>
      <c r="B1675" t="s">
        <v>4</v>
      </c>
      <c r="C1675" t="s">
        <v>32</v>
      </c>
      <c r="D1675">
        <f ca="1">'2BAS Calcs'!N1675</f>
        <v>5.4634477198919605E-6</v>
      </c>
    </row>
    <row r="1676" spans="1:4" x14ac:dyDescent="0.35">
      <c r="A1676" t="s">
        <v>31</v>
      </c>
      <c r="B1676" t="s">
        <v>4</v>
      </c>
      <c r="C1676" t="s">
        <v>32</v>
      </c>
      <c r="D1676">
        <f ca="1">'2BAS Calcs'!N1676</f>
        <v>5.4634477198919605E-6</v>
      </c>
    </row>
    <row r="1677" spans="1:4" x14ac:dyDescent="0.35">
      <c r="A1677" t="s">
        <v>32</v>
      </c>
      <c r="B1677" t="s">
        <v>4</v>
      </c>
      <c r="C1677" t="s">
        <v>32</v>
      </c>
      <c r="D1677">
        <f ca="1">'2BAS Calcs'!N1677</f>
        <v>5.4634477198919605E-6</v>
      </c>
    </row>
    <row r="1678" spans="1:4" x14ac:dyDescent="0.35">
      <c r="A1678" t="s">
        <v>33</v>
      </c>
      <c r="B1678" t="s">
        <v>4</v>
      </c>
      <c r="C1678" t="s">
        <v>32</v>
      </c>
      <c r="D1678">
        <f ca="1">'2BAS Calcs'!N1678</f>
        <v>5.4634477198919605E-6</v>
      </c>
    </row>
    <row r="1679" spans="1:4" x14ac:dyDescent="0.35">
      <c r="A1679" t="s">
        <v>34</v>
      </c>
      <c r="B1679" t="s">
        <v>4</v>
      </c>
      <c r="C1679" t="s">
        <v>32</v>
      </c>
      <c r="D1679">
        <f ca="1">'2BAS Calcs'!N1679</f>
        <v>5.4634477198919605E-6</v>
      </c>
    </row>
    <row r="1680" spans="1:4" x14ac:dyDescent="0.35">
      <c r="A1680" t="s">
        <v>35</v>
      </c>
      <c r="B1680" t="s">
        <v>4</v>
      </c>
      <c r="C1680" t="s">
        <v>32</v>
      </c>
      <c r="D1680">
        <f ca="1">'2BAS Calcs'!N1680</f>
        <v>5.4634477198919605E-6</v>
      </c>
    </row>
    <row r="1681" spans="1:4" x14ac:dyDescent="0.35">
      <c r="A1681" t="s">
        <v>36</v>
      </c>
      <c r="B1681" t="s">
        <v>4</v>
      </c>
      <c r="C1681" t="s">
        <v>32</v>
      </c>
      <c r="D1681">
        <f ca="1">'2BAS Calcs'!N1681</f>
        <v>5.4634477198919605E-6</v>
      </c>
    </row>
    <row r="1682" spans="1:4" x14ac:dyDescent="0.35">
      <c r="A1682" t="s">
        <v>37</v>
      </c>
      <c r="B1682" t="s">
        <v>4</v>
      </c>
      <c r="C1682" t="s">
        <v>32</v>
      </c>
      <c r="D1682">
        <f ca="1">'2BAS Calcs'!N1682</f>
        <v>5.4634477198919605E-6</v>
      </c>
    </row>
    <row r="1683" spans="1:4" x14ac:dyDescent="0.35">
      <c r="A1683" t="s">
        <v>38</v>
      </c>
      <c r="B1683" t="s">
        <v>4</v>
      </c>
      <c r="C1683" t="s">
        <v>32</v>
      </c>
      <c r="D1683">
        <f ca="1">'2BAS Calcs'!N1683</f>
        <v>5.4634477198919605E-6</v>
      </c>
    </row>
    <row r="1684" spans="1:4" x14ac:dyDescent="0.35">
      <c r="A1684" t="s">
        <v>39</v>
      </c>
      <c r="B1684" t="s">
        <v>4</v>
      </c>
      <c r="C1684" t="s">
        <v>32</v>
      </c>
      <c r="D1684">
        <f ca="1">'2BAS Calcs'!N1684</f>
        <v>5.4634477198919605E-6</v>
      </c>
    </row>
    <row r="1685" spans="1:4" x14ac:dyDescent="0.35">
      <c r="A1685" t="s">
        <v>7</v>
      </c>
      <c r="B1685" t="s">
        <v>5</v>
      </c>
      <c r="C1685" t="s">
        <v>32</v>
      </c>
      <c r="D1685">
        <f ca="1">'2BAS Calcs'!N1685</f>
        <v>50.546856965796508</v>
      </c>
    </row>
    <row r="1686" spans="1:4" x14ac:dyDescent="0.35">
      <c r="A1686" t="s">
        <v>8</v>
      </c>
      <c r="B1686" t="s">
        <v>5</v>
      </c>
      <c r="C1686" t="s">
        <v>32</v>
      </c>
      <c r="D1686">
        <f ca="1">'2BAS Calcs'!N1686</f>
        <v>79.744323388725846</v>
      </c>
    </row>
    <row r="1687" spans="1:4" x14ac:dyDescent="0.35">
      <c r="A1687" t="s">
        <v>9</v>
      </c>
      <c r="B1687" t="s">
        <v>5</v>
      </c>
      <c r="C1687" t="s">
        <v>32</v>
      </c>
      <c r="D1687">
        <f ca="1">'2BAS Calcs'!N1687</f>
        <v>19.954475729958791</v>
      </c>
    </row>
    <row r="1688" spans="1:4" x14ac:dyDescent="0.35">
      <c r="A1688" t="s">
        <v>10</v>
      </c>
      <c r="B1688" t="s">
        <v>5</v>
      </c>
      <c r="C1688" t="s">
        <v>32</v>
      </c>
      <c r="D1688">
        <f ca="1">'2BAS Calcs'!N1688</f>
        <v>391.58694940547366</v>
      </c>
    </row>
    <row r="1689" spans="1:4" x14ac:dyDescent="0.35">
      <c r="A1689" t="s">
        <v>11</v>
      </c>
      <c r="B1689" t="s">
        <v>5</v>
      </c>
      <c r="C1689" t="s">
        <v>32</v>
      </c>
      <c r="D1689">
        <f ca="1">'2BAS Calcs'!N1689</f>
        <v>204.08316602040938</v>
      </c>
    </row>
    <row r="1690" spans="1:4" x14ac:dyDescent="0.35">
      <c r="A1690" t="s">
        <v>12</v>
      </c>
      <c r="B1690" t="s">
        <v>5</v>
      </c>
      <c r="C1690" t="s">
        <v>32</v>
      </c>
      <c r="D1690">
        <f ca="1">'2BAS Calcs'!N1690</f>
        <v>3.6529393353486475</v>
      </c>
    </row>
    <row r="1691" spans="1:4" x14ac:dyDescent="0.35">
      <c r="A1691" t="s">
        <v>13</v>
      </c>
      <c r="B1691" t="s">
        <v>5</v>
      </c>
      <c r="C1691" t="s">
        <v>32</v>
      </c>
      <c r="D1691">
        <f ca="1">'2BAS Calcs'!N1691</f>
        <v>52.601957834757393</v>
      </c>
    </row>
    <row r="1692" spans="1:4" x14ac:dyDescent="0.35">
      <c r="A1692" t="s">
        <v>14</v>
      </c>
      <c r="B1692" t="s">
        <v>5</v>
      </c>
      <c r="C1692" t="s">
        <v>32</v>
      </c>
      <c r="D1692">
        <f ca="1">'2BAS Calcs'!N1692</f>
        <v>13.245791524128066</v>
      </c>
    </row>
    <row r="1693" spans="1:4" x14ac:dyDescent="0.35">
      <c r="A1693" t="s">
        <v>15</v>
      </c>
      <c r="B1693" t="s">
        <v>5</v>
      </c>
      <c r="C1693" t="s">
        <v>32</v>
      </c>
      <c r="D1693">
        <f ca="1">'2BAS Calcs'!N1693</f>
        <v>181.57768522562779</v>
      </c>
    </row>
    <row r="1694" spans="1:4" x14ac:dyDescent="0.35">
      <c r="A1694" t="s">
        <v>16</v>
      </c>
      <c r="B1694" t="s">
        <v>5</v>
      </c>
      <c r="C1694" t="s">
        <v>32</v>
      </c>
      <c r="D1694">
        <f ca="1">'2BAS Calcs'!N1694</f>
        <v>139.06437269983439</v>
      </c>
    </row>
    <row r="1695" spans="1:4" x14ac:dyDescent="0.35">
      <c r="A1695" t="s">
        <v>17</v>
      </c>
      <c r="B1695" t="s">
        <v>5</v>
      </c>
      <c r="C1695" t="s">
        <v>32</v>
      </c>
      <c r="D1695">
        <f ca="1">'2BAS Calcs'!N1695</f>
        <v>52.495045203030664</v>
      </c>
    </row>
    <row r="1696" spans="1:4" x14ac:dyDescent="0.35">
      <c r="A1696" t="s">
        <v>18</v>
      </c>
      <c r="B1696" t="s">
        <v>5</v>
      </c>
      <c r="C1696" t="s">
        <v>32</v>
      </c>
      <c r="D1696">
        <f ca="1">'2BAS Calcs'!N1696</f>
        <v>657.08771154205522</v>
      </c>
    </row>
    <row r="1697" spans="1:4" x14ac:dyDescent="0.35">
      <c r="A1697" t="s">
        <v>19</v>
      </c>
      <c r="B1697" t="s">
        <v>5</v>
      </c>
      <c r="C1697" t="s">
        <v>32</v>
      </c>
      <c r="D1697">
        <f ca="1">'2BAS Calcs'!N1697</f>
        <v>2517.1531255645186</v>
      </c>
    </row>
    <row r="1698" spans="1:4" x14ac:dyDescent="0.35">
      <c r="A1698" t="s">
        <v>20</v>
      </c>
      <c r="B1698" t="s">
        <v>5</v>
      </c>
      <c r="C1698" t="s">
        <v>32</v>
      </c>
      <c r="D1698">
        <f ca="1">'2BAS Calcs'!N1698</f>
        <v>1349.620722638087</v>
      </c>
    </row>
    <row r="1699" spans="1:4" x14ac:dyDescent="0.35">
      <c r="A1699" t="s">
        <v>21</v>
      </c>
      <c r="B1699" t="s">
        <v>5</v>
      </c>
      <c r="C1699" t="s">
        <v>32</v>
      </c>
      <c r="D1699">
        <f ca="1">'2BAS Calcs'!N1699</f>
        <v>2153.8428690629471</v>
      </c>
    </row>
    <row r="1700" spans="1:4" x14ac:dyDescent="0.35">
      <c r="A1700" t="s">
        <v>22</v>
      </c>
      <c r="B1700" t="s">
        <v>5</v>
      </c>
      <c r="C1700" t="s">
        <v>32</v>
      </c>
      <c r="D1700">
        <f ca="1">'2BAS Calcs'!N1700</f>
        <v>817.2426584831436</v>
      </c>
    </row>
    <row r="1701" spans="1:4" x14ac:dyDescent="0.35">
      <c r="A1701" t="s">
        <v>23</v>
      </c>
      <c r="B1701" t="s">
        <v>5</v>
      </c>
      <c r="C1701" t="s">
        <v>32</v>
      </c>
      <c r="D1701">
        <f ca="1">'2BAS Calcs'!N1701</f>
        <v>5.4634477198919605E-6</v>
      </c>
    </row>
    <row r="1702" spans="1:4" x14ac:dyDescent="0.35">
      <c r="A1702" t="s">
        <v>24</v>
      </c>
      <c r="B1702" t="s">
        <v>5</v>
      </c>
      <c r="C1702" t="s">
        <v>32</v>
      </c>
      <c r="D1702">
        <f ca="1">'2BAS Calcs'!N1702</f>
        <v>159.97996032489928</v>
      </c>
    </row>
    <row r="1703" spans="1:4" x14ac:dyDescent="0.35">
      <c r="A1703" t="s">
        <v>25</v>
      </c>
      <c r="B1703" t="s">
        <v>5</v>
      </c>
      <c r="C1703" t="s">
        <v>32</v>
      </c>
      <c r="D1703">
        <f ca="1">'2BAS Calcs'!N1703</f>
        <v>13.997165716734383</v>
      </c>
    </row>
    <row r="1704" spans="1:4" x14ac:dyDescent="0.35">
      <c r="A1704" t="s">
        <v>26</v>
      </c>
      <c r="B1704" t="s">
        <v>5</v>
      </c>
      <c r="C1704" t="s">
        <v>32</v>
      </c>
      <c r="D1704">
        <f ca="1">'2BAS Calcs'!N1704</f>
        <v>5.4634477198919605E-6</v>
      </c>
    </row>
    <row r="1705" spans="1:4" x14ac:dyDescent="0.35">
      <c r="A1705" t="s">
        <v>27</v>
      </c>
      <c r="B1705" t="s">
        <v>5</v>
      </c>
      <c r="C1705" t="s">
        <v>32</v>
      </c>
      <c r="D1705">
        <f ca="1">'2BAS Calcs'!N1705</f>
        <v>5.4634477198919605E-6</v>
      </c>
    </row>
    <row r="1706" spans="1:4" x14ac:dyDescent="0.35">
      <c r="A1706" t="s">
        <v>28</v>
      </c>
      <c r="B1706" t="s">
        <v>5</v>
      </c>
      <c r="C1706" t="s">
        <v>32</v>
      </c>
      <c r="D1706">
        <f ca="1">'2BAS Calcs'!N1706</f>
        <v>5.4634477198919605E-6</v>
      </c>
    </row>
    <row r="1707" spans="1:4" x14ac:dyDescent="0.35">
      <c r="A1707" t="s">
        <v>29</v>
      </c>
      <c r="B1707" t="s">
        <v>5</v>
      </c>
      <c r="C1707" t="s">
        <v>32</v>
      </c>
      <c r="D1707">
        <f ca="1">'2BAS Calcs'!N1707</f>
        <v>5.4634477198919605E-6</v>
      </c>
    </row>
    <row r="1708" spans="1:4" x14ac:dyDescent="0.35">
      <c r="A1708" t="s">
        <v>30</v>
      </c>
      <c r="B1708" t="s">
        <v>5</v>
      </c>
      <c r="C1708" t="s">
        <v>32</v>
      </c>
      <c r="D1708">
        <f ca="1">'2BAS Calcs'!N1708</f>
        <v>5.4634477198919605E-6</v>
      </c>
    </row>
    <row r="1709" spans="1:4" x14ac:dyDescent="0.35">
      <c r="A1709" t="s">
        <v>31</v>
      </c>
      <c r="B1709" t="s">
        <v>5</v>
      </c>
      <c r="C1709" t="s">
        <v>32</v>
      </c>
      <c r="D1709">
        <f ca="1">'2BAS Calcs'!N1709</f>
        <v>5.4634477198919605E-6</v>
      </c>
    </row>
    <row r="1710" spans="1:4" x14ac:dyDescent="0.35">
      <c r="A1710" t="s">
        <v>32</v>
      </c>
      <c r="B1710" t="s">
        <v>5</v>
      </c>
      <c r="C1710" t="s">
        <v>32</v>
      </c>
      <c r="D1710">
        <f ca="1">'2BAS Calcs'!N1710</f>
        <v>5.4634477198919605E-6</v>
      </c>
    </row>
    <row r="1711" spans="1:4" x14ac:dyDescent="0.35">
      <c r="A1711" t="s">
        <v>33</v>
      </c>
      <c r="B1711" t="s">
        <v>5</v>
      </c>
      <c r="C1711" t="s">
        <v>32</v>
      </c>
      <c r="D1711">
        <f ca="1">'2BAS Calcs'!N1711</f>
        <v>5.4634477198919605E-6</v>
      </c>
    </row>
    <row r="1712" spans="1:4" x14ac:dyDescent="0.35">
      <c r="A1712" t="s">
        <v>34</v>
      </c>
      <c r="B1712" t="s">
        <v>5</v>
      </c>
      <c r="C1712" t="s">
        <v>32</v>
      </c>
      <c r="D1712">
        <f ca="1">'2BAS Calcs'!N1712</f>
        <v>5.4634477198919605E-6</v>
      </c>
    </row>
    <row r="1713" spans="1:4" x14ac:dyDescent="0.35">
      <c r="A1713" t="s">
        <v>35</v>
      </c>
      <c r="B1713" t="s">
        <v>5</v>
      </c>
      <c r="C1713" t="s">
        <v>32</v>
      </c>
      <c r="D1713">
        <f ca="1">'2BAS Calcs'!N1713</f>
        <v>5.4634477198919605E-6</v>
      </c>
    </row>
    <row r="1714" spans="1:4" x14ac:dyDescent="0.35">
      <c r="A1714" t="s">
        <v>36</v>
      </c>
      <c r="B1714" t="s">
        <v>5</v>
      </c>
      <c r="C1714" t="s">
        <v>32</v>
      </c>
      <c r="D1714">
        <f ca="1">'2BAS Calcs'!N1714</f>
        <v>5.4634477198919605E-6</v>
      </c>
    </row>
    <row r="1715" spans="1:4" x14ac:dyDescent="0.35">
      <c r="A1715" t="s">
        <v>37</v>
      </c>
      <c r="B1715" t="s">
        <v>5</v>
      </c>
      <c r="C1715" t="s">
        <v>32</v>
      </c>
      <c r="D1715">
        <f ca="1">'2BAS Calcs'!N1715</f>
        <v>5.4634477198919605E-6</v>
      </c>
    </row>
    <row r="1716" spans="1:4" x14ac:dyDescent="0.35">
      <c r="A1716" t="s">
        <v>38</v>
      </c>
      <c r="B1716" t="s">
        <v>5</v>
      </c>
      <c r="C1716" t="s">
        <v>32</v>
      </c>
      <c r="D1716">
        <f ca="1">'2BAS Calcs'!N1716</f>
        <v>5.4634477198919605E-6</v>
      </c>
    </row>
    <row r="1717" spans="1:4" x14ac:dyDescent="0.35">
      <c r="A1717" t="s">
        <v>39</v>
      </c>
      <c r="B1717" t="s">
        <v>5</v>
      </c>
      <c r="C1717" t="s">
        <v>32</v>
      </c>
      <c r="D1717">
        <f ca="1">'2BAS Calcs'!N1717</f>
        <v>5.4634477198919605E-6</v>
      </c>
    </row>
    <row r="1718" spans="1:4" x14ac:dyDescent="0.35">
      <c r="A1718" t="s">
        <v>7</v>
      </c>
      <c r="B1718" t="s">
        <v>4</v>
      </c>
      <c r="C1718" t="s">
        <v>33</v>
      </c>
      <c r="D1718">
        <f ca="1">'2BAS Calcs'!N1718</f>
        <v>1.3193765145945007</v>
      </c>
    </row>
    <row r="1719" spans="1:4" x14ac:dyDescent="0.35">
      <c r="A1719" t="s">
        <v>8</v>
      </c>
      <c r="B1719" t="s">
        <v>4</v>
      </c>
      <c r="C1719" t="s">
        <v>33</v>
      </c>
      <c r="D1719">
        <f ca="1">'2BAS Calcs'!N1719</f>
        <v>2.3015430023050318</v>
      </c>
    </row>
    <row r="1720" spans="1:4" x14ac:dyDescent="0.35">
      <c r="A1720" t="s">
        <v>9</v>
      </c>
      <c r="B1720" t="s">
        <v>4</v>
      </c>
      <c r="C1720" t="s">
        <v>33</v>
      </c>
      <c r="D1720">
        <f ca="1">'2BAS Calcs'!N1720</f>
        <v>3.8753124734566486</v>
      </c>
    </row>
    <row r="1721" spans="1:4" x14ac:dyDescent="0.35">
      <c r="A1721" t="s">
        <v>10</v>
      </c>
      <c r="B1721" t="s">
        <v>4</v>
      </c>
      <c r="C1721" t="s">
        <v>33</v>
      </c>
      <c r="D1721">
        <f ca="1">'2BAS Calcs'!N1721</f>
        <v>20.185933124493378</v>
      </c>
    </row>
    <row r="1722" spans="1:4" x14ac:dyDescent="0.35">
      <c r="A1722" t="s">
        <v>11</v>
      </c>
      <c r="B1722" t="s">
        <v>4</v>
      </c>
      <c r="C1722" t="s">
        <v>33</v>
      </c>
      <c r="D1722">
        <f ca="1">'2BAS Calcs'!N1722</f>
        <v>0.14323571047134598</v>
      </c>
    </row>
    <row r="1723" spans="1:4" x14ac:dyDescent="0.35">
      <c r="A1723" t="s">
        <v>12</v>
      </c>
      <c r="B1723" t="s">
        <v>4</v>
      </c>
      <c r="C1723" t="s">
        <v>33</v>
      </c>
      <c r="D1723">
        <f ca="1">'2BAS Calcs'!N1723</f>
        <v>0.88174729523778517</v>
      </c>
    </row>
    <row r="1724" spans="1:4" x14ac:dyDescent="0.35">
      <c r="A1724" t="s">
        <v>13</v>
      </c>
      <c r="B1724" t="s">
        <v>4</v>
      </c>
      <c r="C1724" t="s">
        <v>33</v>
      </c>
      <c r="D1724">
        <f ca="1">'2BAS Calcs'!N1724</f>
        <v>17.648683313134615</v>
      </c>
    </row>
    <row r="1725" spans="1:4" x14ac:dyDescent="0.35">
      <c r="A1725" t="s">
        <v>14</v>
      </c>
      <c r="B1725" t="s">
        <v>4</v>
      </c>
      <c r="C1725" t="s">
        <v>33</v>
      </c>
      <c r="D1725">
        <f ca="1">'2BAS Calcs'!N1725</f>
        <v>2.6893194194989052</v>
      </c>
    </row>
    <row r="1726" spans="1:4" x14ac:dyDescent="0.35">
      <c r="A1726" t="s">
        <v>15</v>
      </c>
      <c r="B1726" t="s">
        <v>4</v>
      </c>
      <c r="C1726" t="s">
        <v>33</v>
      </c>
      <c r="D1726">
        <f ca="1">'2BAS Calcs'!N1726</f>
        <v>16.746931539565779</v>
      </c>
    </row>
    <row r="1727" spans="1:4" x14ac:dyDescent="0.35">
      <c r="A1727" t="s">
        <v>16</v>
      </c>
      <c r="B1727" t="s">
        <v>4</v>
      </c>
      <c r="C1727" t="s">
        <v>33</v>
      </c>
      <c r="D1727">
        <f ca="1">'2BAS Calcs'!N1727</f>
        <v>26.215705343655209</v>
      </c>
    </row>
    <row r="1728" spans="1:4" x14ac:dyDescent="0.35">
      <c r="A1728" t="s">
        <v>17</v>
      </c>
      <c r="B1728" t="s">
        <v>4</v>
      </c>
      <c r="C1728" t="s">
        <v>33</v>
      </c>
      <c r="D1728">
        <f ca="1">'2BAS Calcs'!N1728</f>
        <v>24.285592597932293</v>
      </c>
    </row>
    <row r="1729" spans="1:4" x14ac:dyDescent="0.35">
      <c r="A1729" t="s">
        <v>18</v>
      </c>
      <c r="B1729" t="s">
        <v>4</v>
      </c>
      <c r="C1729" t="s">
        <v>33</v>
      </c>
      <c r="D1729">
        <f ca="1">'2BAS Calcs'!N1729</f>
        <v>71.031155841588486</v>
      </c>
    </row>
    <row r="1730" spans="1:4" x14ac:dyDescent="0.35">
      <c r="A1730" t="s">
        <v>19</v>
      </c>
      <c r="B1730" t="s">
        <v>4</v>
      </c>
      <c r="C1730" t="s">
        <v>33</v>
      </c>
      <c r="D1730">
        <f ca="1">'2BAS Calcs'!N1730</f>
        <v>102.8119984158818</v>
      </c>
    </row>
    <row r="1731" spans="1:4" x14ac:dyDescent="0.35">
      <c r="A1731" t="s">
        <v>20</v>
      </c>
      <c r="B1731" t="s">
        <v>4</v>
      </c>
      <c r="C1731" t="s">
        <v>33</v>
      </c>
      <c r="D1731">
        <f ca="1">'2BAS Calcs'!N1731</f>
        <v>21.387127911611739</v>
      </c>
    </row>
    <row r="1732" spans="1:4" x14ac:dyDescent="0.35">
      <c r="A1732" t="s">
        <v>21</v>
      </c>
      <c r="B1732" t="s">
        <v>4</v>
      </c>
      <c r="C1732" t="s">
        <v>33</v>
      </c>
      <c r="D1732">
        <f ca="1">'2BAS Calcs'!N1732</f>
        <v>30.893875725430224</v>
      </c>
    </row>
    <row r="1733" spans="1:4" x14ac:dyDescent="0.35">
      <c r="A1733" t="s">
        <v>22</v>
      </c>
      <c r="B1733" t="s">
        <v>4</v>
      </c>
      <c r="C1733" t="s">
        <v>33</v>
      </c>
      <c r="D1733">
        <f ca="1">'2BAS Calcs'!N1733</f>
        <v>84.122017665707432</v>
      </c>
    </row>
    <row r="1734" spans="1:4" x14ac:dyDescent="0.35">
      <c r="A1734" t="s">
        <v>23</v>
      </c>
      <c r="B1734" t="s">
        <v>4</v>
      </c>
      <c r="C1734" t="s">
        <v>33</v>
      </c>
      <c r="D1734">
        <f ca="1">'2BAS Calcs'!N1734</f>
        <v>1.9196086636814371E-6</v>
      </c>
    </row>
    <row r="1735" spans="1:4" x14ac:dyDescent="0.35">
      <c r="A1735" t="s">
        <v>24</v>
      </c>
      <c r="B1735" t="s">
        <v>4</v>
      </c>
      <c r="C1735" t="s">
        <v>33</v>
      </c>
      <c r="D1735">
        <f ca="1">'2BAS Calcs'!N1735</f>
        <v>2794.4021738571814</v>
      </c>
    </row>
    <row r="1736" spans="1:4" x14ac:dyDescent="0.35">
      <c r="A1736" t="s">
        <v>25</v>
      </c>
      <c r="B1736" t="s">
        <v>4</v>
      </c>
      <c r="C1736" t="s">
        <v>33</v>
      </c>
      <c r="D1736">
        <f ca="1">'2BAS Calcs'!N1736</f>
        <v>446.80627715690628</v>
      </c>
    </row>
    <row r="1737" spans="1:4" x14ac:dyDescent="0.35">
      <c r="A1737" t="s">
        <v>26</v>
      </c>
      <c r="B1737" t="s">
        <v>4</v>
      </c>
      <c r="C1737" t="s">
        <v>33</v>
      </c>
      <c r="D1737">
        <f ca="1">'2BAS Calcs'!N1737</f>
        <v>1.9196086636814371E-6</v>
      </c>
    </row>
    <row r="1738" spans="1:4" x14ac:dyDescent="0.35">
      <c r="A1738" t="s">
        <v>27</v>
      </c>
      <c r="B1738" t="s">
        <v>4</v>
      </c>
      <c r="C1738" t="s">
        <v>33</v>
      </c>
      <c r="D1738">
        <f ca="1">'2BAS Calcs'!N1738</f>
        <v>1.9196086636814371E-6</v>
      </c>
    </row>
    <row r="1739" spans="1:4" x14ac:dyDescent="0.35">
      <c r="A1739" t="s">
        <v>28</v>
      </c>
      <c r="B1739" t="s">
        <v>4</v>
      </c>
      <c r="C1739" t="s">
        <v>33</v>
      </c>
      <c r="D1739">
        <f ca="1">'2BAS Calcs'!N1739</f>
        <v>1.9196086636814371E-6</v>
      </c>
    </row>
    <row r="1740" spans="1:4" x14ac:dyDescent="0.35">
      <c r="A1740" t="s">
        <v>29</v>
      </c>
      <c r="B1740" t="s">
        <v>4</v>
      </c>
      <c r="C1740" t="s">
        <v>33</v>
      </c>
      <c r="D1740">
        <f ca="1">'2BAS Calcs'!N1740</f>
        <v>1.9196086636814371E-6</v>
      </c>
    </row>
    <row r="1741" spans="1:4" x14ac:dyDescent="0.35">
      <c r="A1741" t="s">
        <v>30</v>
      </c>
      <c r="B1741" t="s">
        <v>4</v>
      </c>
      <c r="C1741" t="s">
        <v>33</v>
      </c>
      <c r="D1741">
        <f ca="1">'2BAS Calcs'!N1741</f>
        <v>1.9196086636814371E-6</v>
      </c>
    </row>
    <row r="1742" spans="1:4" x14ac:dyDescent="0.35">
      <c r="A1742" t="s">
        <v>31</v>
      </c>
      <c r="B1742" t="s">
        <v>4</v>
      </c>
      <c r="C1742" t="s">
        <v>33</v>
      </c>
      <c r="D1742">
        <f ca="1">'2BAS Calcs'!N1742</f>
        <v>1.9196086636814371E-6</v>
      </c>
    </row>
    <row r="1743" spans="1:4" x14ac:dyDescent="0.35">
      <c r="A1743" t="s">
        <v>32</v>
      </c>
      <c r="B1743" t="s">
        <v>4</v>
      </c>
      <c r="C1743" t="s">
        <v>33</v>
      </c>
      <c r="D1743">
        <f ca="1">'2BAS Calcs'!N1743</f>
        <v>1.9196086636814371E-6</v>
      </c>
    </row>
    <row r="1744" spans="1:4" x14ac:dyDescent="0.35">
      <c r="A1744" t="s">
        <v>33</v>
      </c>
      <c r="B1744" t="s">
        <v>4</v>
      </c>
      <c r="C1744" t="s">
        <v>33</v>
      </c>
      <c r="D1744">
        <f ca="1">'2BAS Calcs'!N1744</f>
        <v>1.9196086636814371E-6</v>
      </c>
    </row>
    <row r="1745" spans="1:4" x14ac:dyDescent="0.35">
      <c r="A1745" t="s">
        <v>34</v>
      </c>
      <c r="B1745" t="s">
        <v>4</v>
      </c>
      <c r="C1745" t="s">
        <v>33</v>
      </c>
      <c r="D1745">
        <f ca="1">'2BAS Calcs'!N1745</f>
        <v>1.9196086636814371E-6</v>
      </c>
    </row>
    <row r="1746" spans="1:4" x14ac:dyDescent="0.35">
      <c r="A1746" t="s">
        <v>35</v>
      </c>
      <c r="B1746" t="s">
        <v>4</v>
      </c>
      <c r="C1746" t="s">
        <v>33</v>
      </c>
      <c r="D1746">
        <f ca="1">'2BAS Calcs'!N1746</f>
        <v>1.9196086636814371E-6</v>
      </c>
    </row>
    <row r="1747" spans="1:4" x14ac:dyDescent="0.35">
      <c r="A1747" t="s">
        <v>36</v>
      </c>
      <c r="B1747" t="s">
        <v>4</v>
      </c>
      <c r="C1747" t="s">
        <v>33</v>
      </c>
      <c r="D1747">
        <f ca="1">'2BAS Calcs'!N1747</f>
        <v>1.9196086636814371E-6</v>
      </c>
    </row>
    <row r="1748" spans="1:4" x14ac:dyDescent="0.35">
      <c r="A1748" t="s">
        <v>37</v>
      </c>
      <c r="B1748" t="s">
        <v>4</v>
      </c>
      <c r="C1748" t="s">
        <v>33</v>
      </c>
      <c r="D1748">
        <f ca="1">'2BAS Calcs'!N1748</f>
        <v>1.9196086636814371E-6</v>
      </c>
    </row>
    <row r="1749" spans="1:4" x14ac:dyDescent="0.35">
      <c r="A1749" t="s">
        <v>38</v>
      </c>
      <c r="B1749" t="s">
        <v>4</v>
      </c>
      <c r="C1749" t="s">
        <v>33</v>
      </c>
      <c r="D1749">
        <f ca="1">'2BAS Calcs'!N1749</f>
        <v>1.9196086636814371E-6</v>
      </c>
    </row>
    <row r="1750" spans="1:4" x14ac:dyDescent="0.35">
      <c r="A1750" t="s">
        <v>39</v>
      </c>
      <c r="B1750" t="s">
        <v>4</v>
      </c>
      <c r="C1750" t="s">
        <v>33</v>
      </c>
      <c r="D1750">
        <f ca="1">'2BAS Calcs'!N1750</f>
        <v>1.9196086636814371E-6</v>
      </c>
    </row>
    <row r="1751" spans="1:4" x14ac:dyDescent="0.35">
      <c r="A1751" t="s">
        <v>7</v>
      </c>
      <c r="B1751" t="s">
        <v>5</v>
      </c>
      <c r="C1751" t="s">
        <v>33</v>
      </c>
      <c r="D1751">
        <f ca="1">'2BAS Calcs'!N1751</f>
        <v>17.75988158541913</v>
      </c>
    </row>
    <row r="1752" spans="1:4" x14ac:dyDescent="0.35">
      <c r="A1752" t="s">
        <v>8</v>
      </c>
      <c r="B1752" t="s">
        <v>5</v>
      </c>
      <c r="C1752" t="s">
        <v>33</v>
      </c>
      <c r="D1752">
        <f ca="1">'2BAS Calcs'!N1752</f>
        <v>28.018552003173461</v>
      </c>
    </row>
    <row r="1753" spans="1:4" x14ac:dyDescent="0.35">
      <c r="A1753" t="s">
        <v>9</v>
      </c>
      <c r="B1753" t="s">
        <v>5</v>
      </c>
      <c r="C1753" t="s">
        <v>33</v>
      </c>
      <c r="D1753">
        <f ca="1">'2BAS Calcs'!N1753</f>
        <v>7.0111011314312233</v>
      </c>
    </row>
    <row r="1754" spans="1:4" x14ac:dyDescent="0.35">
      <c r="A1754" t="s">
        <v>10</v>
      </c>
      <c r="B1754" t="s">
        <v>5</v>
      </c>
      <c r="C1754" t="s">
        <v>33</v>
      </c>
      <c r="D1754">
        <f ca="1">'2BAS Calcs'!N1754</f>
        <v>137.58596022187186</v>
      </c>
    </row>
    <row r="1755" spans="1:4" x14ac:dyDescent="0.35">
      <c r="A1755" t="s">
        <v>11</v>
      </c>
      <c r="B1755" t="s">
        <v>5</v>
      </c>
      <c r="C1755" t="s">
        <v>33</v>
      </c>
      <c r="D1755">
        <f ca="1">'2BAS Calcs'!N1755</f>
        <v>71.705603071472595</v>
      </c>
    </row>
    <row r="1756" spans="1:4" x14ac:dyDescent="0.35">
      <c r="A1756" t="s">
        <v>12</v>
      </c>
      <c r="B1756" t="s">
        <v>5</v>
      </c>
      <c r="C1756" t="s">
        <v>33</v>
      </c>
      <c r="D1756">
        <f ca="1">'2BAS Calcs'!N1756</f>
        <v>1.2834778249102821</v>
      </c>
    </row>
    <row r="1757" spans="1:4" x14ac:dyDescent="0.35">
      <c r="A1757" t="s">
        <v>13</v>
      </c>
      <c r="B1757" t="s">
        <v>5</v>
      </c>
      <c r="C1757" t="s">
        <v>33</v>
      </c>
      <c r="D1757">
        <f ca="1">'2BAS Calcs'!N1757</f>
        <v>18.481951171338874</v>
      </c>
    </row>
    <row r="1758" spans="1:4" x14ac:dyDescent="0.35">
      <c r="A1758" t="s">
        <v>14</v>
      </c>
      <c r="B1758" t="s">
        <v>5</v>
      </c>
      <c r="C1758" t="s">
        <v>33</v>
      </c>
      <c r="D1758">
        <f ca="1">'2BAS Calcs'!N1758</f>
        <v>4.6539726324199533</v>
      </c>
    </row>
    <row r="1759" spans="1:4" x14ac:dyDescent="0.35">
      <c r="A1759" t="s">
        <v>15</v>
      </c>
      <c r="B1759" t="s">
        <v>5</v>
      </c>
      <c r="C1759" t="s">
        <v>33</v>
      </c>
      <c r="D1759">
        <f ca="1">'2BAS Calcs'!N1759</f>
        <v>63.798194027054528</v>
      </c>
    </row>
    <row r="1760" spans="1:4" x14ac:dyDescent="0.35">
      <c r="A1760" t="s">
        <v>16</v>
      </c>
      <c r="B1760" t="s">
        <v>5</v>
      </c>
      <c r="C1760" t="s">
        <v>33</v>
      </c>
      <c r="D1760">
        <f ca="1">'2BAS Calcs'!N1760</f>
        <v>48.860936963318338</v>
      </c>
    </row>
    <row r="1761" spans="1:4" x14ac:dyDescent="0.35">
      <c r="A1761" t="s">
        <v>17</v>
      </c>
      <c r="B1761" t="s">
        <v>5</v>
      </c>
      <c r="C1761" t="s">
        <v>33</v>
      </c>
      <c r="D1761">
        <f ca="1">'2BAS Calcs'!N1761</f>
        <v>18.44438690338178</v>
      </c>
    </row>
    <row r="1762" spans="1:4" x14ac:dyDescent="0.35">
      <c r="A1762" t="s">
        <v>18</v>
      </c>
      <c r="B1762" t="s">
        <v>5</v>
      </c>
      <c r="C1762" t="s">
        <v>33</v>
      </c>
      <c r="D1762">
        <f ca="1">'2BAS Calcs'!N1762</f>
        <v>230.87093142344213</v>
      </c>
    </row>
    <row r="1763" spans="1:4" x14ac:dyDescent="0.35">
      <c r="A1763" t="s">
        <v>19</v>
      </c>
      <c r="B1763" t="s">
        <v>5</v>
      </c>
      <c r="C1763" t="s">
        <v>33</v>
      </c>
      <c r="D1763">
        <f ca="1">'2BAS Calcs'!N1763</f>
        <v>884.41387112641928</v>
      </c>
    </row>
    <row r="1764" spans="1:4" x14ac:dyDescent="0.35">
      <c r="A1764" t="s">
        <v>20</v>
      </c>
      <c r="B1764" t="s">
        <v>5</v>
      </c>
      <c r="C1764" t="s">
        <v>33</v>
      </c>
      <c r="D1764">
        <f ca="1">'2BAS Calcs'!N1764</f>
        <v>474.19573951945961</v>
      </c>
    </row>
    <row r="1765" spans="1:4" x14ac:dyDescent="0.35">
      <c r="A1765" t="s">
        <v>21</v>
      </c>
      <c r="B1765" t="s">
        <v>5</v>
      </c>
      <c r="C1765" t="s">
        <v>33</v>
      </c>
      <c r="D1765">
        <f ca="1">'2BAS Calcs'!N1765</f>
        <v>756.76306311273288</v>
      </c>
    </row>
    <row r="1766" spans="1:4" x14ac:dyDescent="0.35">
      <c r="A1766" t="s">
        <v>22</v>
      </c>
      <c r="B1766" t="s">
        <v>5</v>
      </c>
      <c r="C1766" t="s">
        <v>33</v>
      </c>
      <c r="D1766">
        <f ca="1">'2BAS Calcs'!N1766</f>
        <v>287.14214320061529</v>
      </c>
    </row>
    <row r="1767" spans="1:4" x14ac:dyDescent="0.35">
      <c r="A1767" t="s">
        <v>23</v>
      </c>
      <c r="B1767" t="s">
        <v>5</v>
      </c>
      <c r="C1767" t="s">
        <v>33</v>
      </c>
      <c r="D1767">
        <f ca="1">'2BAS Calcs'!N1767</f>
        <v>1.9196086636814371E-6</v>
      </c>
    </row>
    <row r="1768" spans="1:4" x14ac:dyDescent="0.35">
      <c r="A1768" t="s">
        <v>24</v>
      </c>
      <c r="B1768" t="s">
        <v>5</v>
      </c>
      <c r="C1768" t="s">
        <v>33</v>
      </c>
      <c r="D1768">
        <f ca="1">'2BAS Calcs'!N1768</f>
        <v>56.209729386989004</v>
      </c>
    </row>
    <row r="1769" spans="1:4" x14ac:dyDescent="0.35">
      <c r="A1769" t="s">
        <v>25</v>
      </c>
      <c r="B1769" t="s">
        <v>5</v>
      </c>
      <c r="C1769" t="s">
        <v>33</v>
      </c>
      <c r="D1769">
        <f ca="1">'2BAS Calcs'!N1769</f>
        <v>4.9179715729684785</v>
      </c>
    </row>
    <row r="1770" spans="1:4" x14ac:dyDescent="0.35">
      <c r="A1770" t="s">
        <v>26</v>
      </c>
      <c r="B1770" t="s">
        <v>5</v>
      </c>
      <c r="C1770" t="s">
        <v>33</v>
      </c>
      <c r="D1770">
        <f ca="1">'2BAS Calcs'!N1770</f>
        <v>1.9196086636814371E-6</v>
      </c>
    </row>
    <row r="1771" spans="1:4" x14ac:dyDescent="0.35">
      <c r="A1771" t="s">
        <v>27</v>
      </c>
      <c r="B1771" t="s">
        <v>5</v>
      </c>
      <c r="C1771" t="s">
        <v>33</v>
      </c>
      <c r="D1771">
        <f ca="1">'2BAS Calcs'!N1771</f>
        <v>1.9196086636814371E-6</v>
      </c>
    </row>
    <row r="1772" spans="1:4" x14ac:dyDescent="0.35">
      <c r="A1772" t="s">
        <v>28</v>
      </c>
      <c r="B1772" t="s">
        <v>5</v>
      </c>
      <c r="C1772" t="s">
        <v>33</v>
      </c>
      <c r="D1772">
        <f ca="1">'2BAS Calcs'!N1772</f>
        <v>1.9196086636814371E-6</v>
      </c>
    </row>
    <row r="1773" spans="1:4" x14ac:dyDescent="0.35">
      <c r="A1773" t="s">
        <v>29</v>
      </c>
      <c r="B1773" t="s">
        <v>5</v>
      </c>
      <c r="C1773" t="s">
        <v>33</v>
      </c>
      <c r="D1773">
        <f ca="1">'2BAS Calcs'!N1773</f>
        <v>1.9196086636814371E-6</v>
      </c>
    </row>
    <row r="1774" spans="1:4" x14ac:dyDescent="0.35">
      <c r="A1774" t="s">
        <v>30</v>
      </c>
      <c r="B1774" t="s">
        <v>5</v>
      </c>
      <c r="C1774" t="s">
        <v>33</v>
      </c>
      <c r="D1774">
        <f ca="1">'2BAS Calcs'!N1774</f>
        <v>1.9196086636814371E-6</v>
      </c>
    </row>
    <row r="1775" spans="1:4" x14ac:dyDescent="0.35">
      <c r="A1775" t="s">
        <v>31</v>
      </c>
      <c r="B1775" t="s">
        <v>5</v>
      </c>
      <c r="C1775" t="s">
        <v>33</v>
      </c>
      <c r="D1775">
        <f ca="1">'2BAS Calcs'!N1775</f>
        <v>1.9196086636814371E-6</v>
      </c>
    </row>
    <row r="1776" spans="1:4" x14ac:dyDescent="0.35">
      <c r="A1776" t="s">
        <v>32</v>
      </c>
      <c r="B1776" t="s">
        <v>5</v>
      </c>
      <c r="C1776" t="s">
        <v>33</v>
      </c>
      <c r="D1776">
        <f ca="1">'2BAS Calcs'!N1776</f>
        <v>1.9196086636814371E-6</v>
      </c>
    </row>
    <row r="1777" spans="1:4" x14ac:dyDescent="0.35">
      <c r="A1777" t="s">
        <v>33</v>
      </c>
      <c r="B1777" t="s">
        <v>5</v>
      </c>
      <c r="C1777" t="s">
        <v>33</v>
      </c>
      <c r="D1777">
        <f ca="1">'2BAS Calcs'!N1777</f>
        <v>1.9196086636814371E-6</v>
      </c>
    </row>
    <row r="1778" spans="1:4" x14ac:dyDescent="0.35">
      <c r="A1778" t="s">
        <v>34</v>
      </c>
      <c r="B1778" t="s">
        <v>5</v>
      </c>
      <c r="C1778" t="s">
        <v>33</v>
      </c>
      <c r="D1778">
        <f ca="1">'2BAS Calcs'!N1778</f>
        <v>1.9196086636814371E-6</v>
      </c>
    </row>
    <row r="1779" spans="1:4" x14ac:dyDescent="0.35">
      <c r="A1779" t="s">
        <v>35</v>
      </c>
      <c r="B1779" t="s">
        <v>5</v>
      </c>
      <c r="C1779" t="s">
        <v>33</v>
      </c>
      <c r="D1779">
        <f ca="1">'2BAS Calcs'!N1779</f>
        <v>1.9196086636814371E-6</v>
      </c>
    </row>
    <row r="1780" spans="1:4" x14ac:dyDescent="0.35">
      <c r="A1780" t="s">
        <v>36</v>
      </c>
      <c r="B1780" t="s">
        <v>5</v>
      </c>
      <c r="C1780" t="s">
        <v>33</v>
      </c>
      <c r="D1780">
        <f ca="1">'2BAS Calcs'!N1780</f>
        <v>1.9196086636814371E-6</v>
      </c>
    </row>
    <row r="1781" spans="1:4" x14ac:dyDescent="0.35">
      <c r="A1781" t="s">
        <v>37</v>
      </c>
      <c r="B1781" t="s">
        <v>5</v>
      </c>
      <c r="C1781" t="s">
        <v>33</v>
      </c>
      <c r="D1781">
        <f ca="1">'2BAS Calcs'!N1781</f>
        <v>1.9196086636814371E-6</v>
      </c>
    </row>
    <row r="1782" spans="1:4" x14ac:dyDescent="0.35">
      <c r="A1782" t="s">
        <v>38</v>
      </c>
      <c r="B1782" t="s">
        <v>5</v>
      </c>
      <c r="C1782" t="s">
        <v>33</v>
      </c>
      <c r="D1782">
        <f ca="1">'2BAS Calcs'!N1782</f>
        <v>1.9196086636814371E-6</v>
      </c>
    </row>
    <row r="1783" spans="1:4" x14ac:dyDescent="0.35">
      <c r="A1783" t="s">
        <v>39</v>
      </c>
      <c r="B1783" t="s">
        <v>5</v>
      </c>
      <c r="C1783" t="s">
        <v>33</v>
      </c>
      <c r="D1783">
        <f ca="1">'2BAS Calcs'!N1783</f>
        <v>1.9196086636814371E-6</v>
      </c>
    </row>
    <row r="1784" spans="1:4" x14ac:dyDescent="0.35">
      <c r="A1784" t="s">
        <v>7</v>
      </c>
      <c r="B1784" t="s">
        <v>4</v>
      </c>
      <c r="C1784" t="s">
        <v>34</v>
      </c>
      <c r="D1784">
        <f ca="1">'2BAS Calcs'!N1784</f>
        <v>0.74452854084380016</v>
      </c>
    </row>
    <row r="1785" spans="1:4" x14ac:dyDescent="0.35">
      <c r="A1785" t="s">
        <v>8</v>
      </c>
      <c r="B1785" t="s">
        <v>4</v>
      </c>
      <c r="C1785" t="s">
        <v>34</v>
      </c>
      <c r="D1785">
        <f ca="1">'2BAS Calcs'!N1785</f>
        <v>1.2987683456849117</v>
      </c>
    </row>
    <row r="1786" spans="1:4" x14ac:dyDescent="0.35">
      <c r="A1786" t="s">
        <v>9</v>
      </c>
      <c r="B1786" t="s">
        <v>4</v>
      </c>
      <c r="C1786" t="s">
        <v>34</v>
      </c>
      <c r="D1786">
        <f ca="1">'2BAS Calcs'!N1786</f>
        <v>2.1868516752120786</v>
      </c>
    </row>
    <row r="1787" spans="1:4" x14ac:dyDescent="0.35">
      <c r="A1787" t="s">
        <v>10</v>
      </c>
      <c r="B1787" t="s">
        <v>4</v>
      </c>
      <c r="C1787" t="s">
        <v>34</v>
      </c>
      <c r="D1787">
        <f ca="1">'2BAS Calcs'!N1787</f>
        <v>11.390988977372109</v>
      </c>
    </row>
    <row r="1788" spans="1:4" x14ac:dyDescent="0.35">
      <c r="A1788" t="s">
        <v>11</v>
      </c>
      <c r="B1788" t="s">
        <v>4</v>
      </c>
      <c r="C1788" t="s">
        <v>34</v>
      </c>
      <c r="D1788">
        <f ca="1">'2BAS Calcs'!N1788</f>
        <v>8.0828386237216082E-2</v>
      </c>
    </row>
    <row r="1789" spans="1:4" x14ac:dyDescent="0.35">
      <c r="A1789" t="s">
        <v>12</v>
      </c>
      <c r="B1789" t="s">
        <v>4</v>
      </c>
      <c r="C1789" t="s">
        <v>34</v>
      </c>
      <c r="D1789">
        <f ca="1">'2BAS Calcs'!N1789</f>
        <v>0.49757292164482803</v>
      </c>
    </row>
    <row r="1790" spans="1:4" x14ac:dyDescent="0.35">
      <c r="A1790" t="s">
        <v>13</v>
      </c>
      <c r="B1790" t="s">
        <v>4</v>
      </c>
      <c r="C1790" t="s">
        <v>34</v>
      </c>
      <c r="D1790">
        <f ca="1">'2BAS Calcs'!N1790</f>
        <v>9.9592104979835092</v>
      </c>
    </row>
    <row r="1791" spans="1:4" x14ac:dyDescent="0.35">
      <c r="A1791" t="s">
        <v>14</v>
      </c>
      <c r="B1791" t="s">
        <v>4</v>
      </c>
      <c r="C1791" t="s">
        <v>34</v>
      </c>
      <c r="D1791">
        <f ca="1">'2BAS Calcs'!N1791</f>
        <v>1.5175918633641878</v>
      </c>
    </row>
    <row r="1792" spans="1:4" x14ac:dyDescent="0.35">
      <c r="A1792" t="s">
        <v>15</v>
      </c>
      <c r="B1792" t="s">
        <v>4</v>
      </c>
      <c r="C1792" t="s">
        <v>34</v>
      </c>
      <c r="D1792">
        <f ca="1">'2BAS Calcs'!N1792</f>
        <v>9.4503489829027583</v>
      </c>
    </row>
    <row r="1793" spans="1:4" x14ac:dyDescent="0.35">
      <c r="A1793" t="s">
        <v>16</v>
      </c>
      <c r="B1793" t="s">
        <v>4</v>
      </c>
      <c r="C1793" t="s">
        <v>34</v>
      </c>
      <c r="D1793">
        <f ca="1">'2BAS Calcs'!N1793</f>
        <v>14.793609428997172</v>
      </c>
    </row>
    <row r="1794" spans="1:4" x14ac:dyDescent="0.35">
      <c r="A1794" t="s">
        <v>17</v>
      </c>
      <c r="B1794" t="s">
        <v>4</v>
      </c>
      <c r="C1794" t="s">
        <v>34</v>
      </c>
      <c r="D1794">
        <f ca="1">'2BAS Calcs'!N1794</f>
        <v>13.704440408371729</v>
      </c>
    </row>
    <row r="1795" spans="1:4" x14ac:dyDescent="0.35">
      <c r="A1795" t="s">
        <v>18</v>
      </c>
      <c r="B1795" t="s">
        <v>4</v>
      </c>
      <c r="C1795" t="s">
        <v>34</v>
      </c>
      <c r="D1795">
        <f ca="1">'2BAS Calcs'!N1795</f>
        <v>40.083116705651022</v>
      </c>
    </row>
    <row r="1796" spans="1:4" x14ac:dyDescent="0.35">
      <c r="A1796" t="s">
        <v>19</v>
      </c>
      <c r="B1796" t="s">
        <v>4</v>
      </c>
      <c r="C1796" t="s">
        <v>34</v>
      </c>
      <c r="D1796">
        <f ca="1">'2BAS Calcs'!N1796</f>
        <v>58.017151522010757</v>
      </c>
    </row>
    <row r="1797" spans="1:4" x14ac:dyDescent="0.35">
      <c r="A1797" t="s">
        <v>20</v>
      </c>
      <c r="B1797" t="s">
        <v>4</v>
      </c>
      <c r="C1797" t="s">
        <v>34</v>
      </c>
      <c r="D1797">
        <f ca="1">'2BAS Calcs'!N1797</f>
        <v>12.068827177635416</v>
      </c>
    </row>
    <row r="1798" spans="1:4" x14ac:dyDescent="0.35">
      <c r="A1798" t="s">
        <v>21</v>
      </c>
      <c r="B1798" t="s">
        <v>4</v>
      </c>
      <c r="C1798" t="s">
        <v>34</v>
      </c>
      <c r="D1798">
        <f ca="1">'2BAS Calcs'!N1798</f>
        <v>17.43351648330162</v>
      </c>
    </row>
    <row r="1799" spans="1:4" x14ac:dyDescent="0.35">
      <c r="A1799" t="s">
        <v>22</v>
      </c>
      <c r="B1799" t="s">
        <v>4</v>
      </c>
      <c r="C1799" t="s">
        <v>34</v>
      </c>
      <c r="D1799">
        <f ca="1">'2BAS Calcs'!N1799</f>
        <v>47.470333428463924</v>
      </c>
    </row>
    <row r="1800" spans="1:4" x14ac:dyDescent="0.35">
      <c r="A1800" t="s">
        <v>23</v>
      </c>
      <c r="B1800" t="s">
        <v>4</v>
      </c>
      <c r="C1800" t="s">
        <v>34</v>
      </c>
      <c r="D1800">
        <f ca="1">'2BAS Calcs'!N1800</f>
        <v>1.0832415323090022E-6</v>
      </c>
    </row>
    <row r="1801" spans="1:4" x14ac:dyDescent="0.35">
      <c r="A1801" t="s">
        <v>24</v>
      </c>
      <c r="B1801" t="s">
        <v>4</v>
      </c>
      <c r="C1801" t="s">
        <v>34</v>
      </c>
      <c r="D1801">
        <f ca="1">'2BAS Calcs'!N1801</f>
        <v>1576.8904099919187</v>
      </c>
    </row>
    <row r="1802" spans="1:4" x14ac:dyDescent="0.35">
      <c r="A1802" t="s">
        <v>25</v>
      </c>
      <c r="B1802" t="s">
        <v>4</v>
      </c>
      <c r="C1802" t="s">
        <v>34</v>
      </c>
      <c r="D1802">
        <f ca="1">'2BAS Calcs'!N1802</f>
        <v>252.1342633370447</v>
      </c>
    </row>
    <row r="1803" spans="1:4" x14ac:dyDescent="0.35">
      <c r="A1803" t="s">
        <v>26</v>
      </c>
      <c r="B1803" t="s">
        <v>4</v>
      </c>
      <c r="C1803" t="s">
        <v>34</v>
      </c>
      <c r="D1803">
        <f ca="1">'2BAS Calcs'!N1803</f>
        <v>1.0832415323090022E-6</v>
      </c>
    </row>
    <row r="1804" spans="1:4" x14ac:dyDescent="0.35">
      <c r="A1804" t="s">
        <v>27</v>
      </c>
      <c r="B1804" t="s">
        <v>4</v>
      </c>
      <c r="C1804" t="s">
        <v>34</v>
      </c>
      <c r="D1804">
        <f ca="1">'2BAS Calcs'!N1804</f>
        <v>1.0832415323090022E-6</v>
      </c>
    </row>
    <row r="1805" spans="1:4" x14ac:dyDescent="0.35">
      <c r="A1805" t="s">
        <v>28</v>
      </c>
      <c r="B1805" t="s">
        <v>4</v>
      </c>
      <c r="C1805" t="s">
        <v>34</v>
      </c>
      <c r="D1805">
        <f ca="1">'2BAS Calcs'!N1805</f>
        <v>1.0832415323090022E-6</v>
      </c>
    </row>
    <row r="1806" spans="1:4" x14ac:dyDescent="0.35">
      <c r="A1806" t="s">
        <v>29</v>
      </c>
      <c r="B1806" t="s">
        <v>4</v>
      </c>
      <c r="C1806" t="s">
        <v>34</v>
      </c>
      <c r="D1806">
        <f ca="1">'2BAS Calcs'!N1806</f>
        <v>1.0832415323090022E-6</v>
      </c>
    </row>
    <row r="1807" spans="1:4" x14ac:dyDescent="0.35">
      <c r="A1807" t="s">
        <v>30</v>
      </c>
      <c r="B1807" t="s">
        <v>4</v>
      </c>
      <c r="C1807" t="s">
        <v>34</v>
      </c>
      <c r="D1807">
        <f ca="1">'2BAS Calcs'!N1807</f>
        <v>1.0832415323090022E-6</v>
      </c>
    </row>
    <row r="1808" spans="1:4" x14ac:dyDescent="0.35">
      <c r="A1808" t="s">
        <v>31</v>
      </c>
      <c r="B1808" t="s">
        <v>4</v>
      </c>
      <c r="C1808" t="s">
        <v>34</v>
      </c>
      <c r="D1808">
        <f ca="1">'2BAS Calcs'!N1808</f>
        <v>1.0832415323090022E-6</v>
      </c>
    </row>
    <row r="1809" spans="1:4" x14ac:dyDescent="0.35">
      <c r="A1809" t="s">
        <v>32</v>
      </c>
      <c r="B1809" t="s">
        <v>4</v>
      </c>
      <c r="C1809" t="s">
        <v>34</v>
      </c>
      <c r="D1809">
        <f ca="1">'2BAS Calcs'!N1809</f>
        <v>1.0832415323090022E-6</v>
      </c>
    </row>
    <row r="1810" spans="1:4" x14ac:dyDescent="0.35">
      <c r="A1810" t="s">
        <v>33</v>
      </c>
      <c r="B1810" t="s">
        <v>4</v>
      </c>
      <c r="C1810" t="s">
        <v>34</v>
      </c>
      <c r="D1810">
        <f ca="1">'2BAS Calcs'!N1810</f>
        <v>1.0832415323090022E-6</v>
      </c>
    </row>
    <row r="1811" spans="1:4" x14ac:dyDescent="0.35">
      <c r="A1811" t="s">
        <v>34</v>
      </c>
      <c r="B1811" t="s">
        <v>4</v>
      </c>
      <c r="C1811" t="s">
        <v>34</v>
      </c>
      <c r="D1811">
        <f ca="1">'2BAS Calcs'!N1811</f>
        <v>1.0832415323090022E-6</v>
      </c>
    </row>
    <row r="1812" spans="1:4" x14ac:dyDescent="0.35">
      <c r="A1812" t="s">
        <v>35</v>
      </c>
      <c r="B1812" t="s">
        <v>4</v>
      </c>
      <c r="C1812" t="s">
        <v>34</v>
      </c>
      <c r="D1812">
        <f ca="1">'2BAS Calcs'!N1812</f>
        <v>1.0832415323090022E-6</v>
      </c>
    </row>
    <row r="1813" spans="1:4" x14ac:dyDescent="0.35">
      <c r="A1813" t="s">
        <v>36</v>
      </c>
      <c r="B1813" t="s">
        <v>4</v>
      </c>
      <c r="C1813" t="s">
        <v>34</v>
      </c>
      <c r="D1813">
        <f ca="1">'2BAS Calcs'!N1813</f>
        <v>1.0832415323090022E-6</v>
      </c>
    </row>
    <row r="1814" spans="1:4" x14ac:dyDescent="0.35">
      <c r="A1814" t="s">
        <v>37</v>
      </c>
      <c r="B1814" t="s">
        <v>4</v>
      </c>
      <c r="C1814" t="s">
        <v>34</v>
      </c>
      <c r="D1814">
        <f ca="1">'2BAS Calcs'!N1814</f>
        <v>1.0832415323090022E-6</v>
      </c>
    </row>
    <row r="1815" spans="1:4" x14ac:dyDescent="0.35">
      <c r="A1815" t="s">
        <v>38</v>
      </c>
      <c r="B1815" t="s">
        <v>4</v>
      </c>
      <c r="C1815" t="s">
        <v>34</v>
      </c>
      <c r="D1815">
        <f ca="1">'2BAS Calcs'!N1815</f>
        <v>1.0832415323090022E-6</v>
      </c>
    </row>
    <row r="1816" spans="1:4" x14ac:dyDescent="0.35">
      <c r="A1816" t="s">
        <v>39</v>
      </c>
      <c r="B1816" t="s">
        <v>4</v>
      </c>
      <c r="C1816" t="s">
        <v>34</v>
      </c>
      <c r="D1816">
        <f ca="1">'2BAS Calcs'!N1816</f>
        <v>1.0832415323090022E-6</v>
      </c>
    </row>
    <row r="1817" spans="1:4" x14ac:dyDescent="0.35">
      <c r="A1817" t="s">
        <v>7</v>
      </c>
      <c r="B1817" t="s">
        <v>5</v>
      </c>
      <c r="C1817" t="s">
        <v>34</v>
      </c>
      <c r="D1817">
        <f ca="1">'2BAS Calcs'!N1817</f>
        <v>10.021960051649609</v>
      </c>
    </row>
    <row r="1818" spans="1:4" x14ac:dyDescent="0.35">
      <c r="A1818" t="s">
        <v>8</v>
      </c>
      <c r="B1818" t="s">
        <v>5</v>
      </c>
      <c r="C1818" t="s">
        <v>34</v>
      </c>
      <c r="D1818">
        <f ca="1">'2BAS Calcs'!N1818</f>
        <v>15.810961775297486</v>
      </c>
    </row>
    <row r="1819" spans="1:4" x14ac:dyDescent="0.35">
      <c r="A1819" t="s">
        <v>9</v>
      </c>
      <c r="B1819" t="s">
        <v>5</v>
      </c>
      <c r="C1819" t="s">
        <v>34</v>
      </c>
      <c r="D1819">
        <f ca="1">'2BAS Calcs'!N1819</f>
        <v>3.9563876098682251</v>
      </c>
    </row>
    <row r="1820" spans="1:4" x14ac:dyDescent="0.35">
      <c r="A1820" t="s">
        <v>10</v>
      </c>
      <c r="B1820" t="s">
        <v>5</v>
      </c>
      <c r="C1820" t="s">
        <v>34</v>
      </c>
      <c r="D1820">
        <f ca="1">'2BAS Calcs'!N1820</f>
        <v>77.640213442837009</v>
      </c>
    </row>
    <row r="1821" spans="1:4" x14ac:dyDescent="0.35">
      <c r="A1821" t="s">
        <v>11</v>
      </c>
      <c r="B1821" t="s">
        <v>5</v>
      </c>
      <c r="C1821" t="s">
        <v>34</v>
      </c>
      <c r="D1821">
        <f ca="1">'2BAS Calcs'!N1821</f>
        <v>40.463709513228842</v>
      </c>
    </row>
    <row r="1822" spans="1:4" x14ac:dyDescent="0.35">
      <c r="A1822" t="s">
        <v>12</v>
      </c>
      <c r="B1822" t="s">
        <v>5</v>
      </c>
      <c r="C1822" t="s">
        <v>34</v>
      </c>
      <c r="D1822">
        <f ca="1">'2BAS Calcs'!N1822</f>
        <v>0.72427079125288063</v>
      </c>
    </row>
    <row r="1823" spans="1:4" x14ac:dyDescent="0.35">
      <c r="A1823" t="s">
        <v>13</v>
      </c>
      <c r="B1823" t="s">
        <v>5</v>
      </c>
      <c r="C1823" t="s">
        <v>34</v>
      </c>
      <c r="D1823">
        <f ca="1">'2BAS Calcs'!N1823</f>
        <v>10.42942631260374</v>
      </c>
    </row>
    <row r="1824" spans="1:4" x14ac:dyDescent="0.35">
      <c r="A1824" t="s">
        <v>14</v>
      </c>
      <c r="B1824" t="s">
        <v>5</v>
      </c>
      <c r="C1824" t="s">
        <v>34</v>
      </c>
      <c r="D1824">
        <f ca="1">'2BAS Calcs'!N1824</f>
        <v>2.6262521841292221</v>
      </c>
    </row>
    <row r="1825" spans="1:4" x14ac:dyDescent="0.35">
      <c r="A1825" t="s">
        <v>15</v>
      </c>
      <c r="B1825" t="s">
        <v>5</v>
      </c>
      <c r="C1825" t="s">
        <v>34</v>
      </c>
      <c r="D1825">
        <f ca="1">'2BAS Calcs'!N1825</f>
        <v>36.001532376852381</v>
      </c>
    </row>
    <row r="1826" spans="1:4" x14ac:dyDescent="0.35">
      <c r="A1826" t="s">
        <v>16</v>
      </c>
      <c r="B1826" t="s">
        <v>5</v>
      </c>
      <c r="C1826" t="s">
        <v>34</v>
      </c>
      <c r="D1826">
        <f ca="1">'2BAS Calcs'!N1826</f>
        <v>27.572388699628242</v>
      </c>
    </row>
    <row r="1827" spans="1:4" x14ac:dyDescent="0.35">
      <c r="A1827" t="s">
        <v>17</v>
      </c>
      <c r="B1827" t="s">
        <v>5</v>
      </c>
      <c r="C1827" t="s">
        <v>34</v>
      </c>
      <c r="D1827">
        <f ca="1">'2BAS Calcs'!N1827</f>
        <v>10.408228671672139</v>
      </c>
    </row>
    <row r="1828" spans="1:4" x14ac:dyDescent="0.35">
      <c r="A1828" t="s">
        <v>18</v>
      </c>
      <c r="B1828" t="s">
        <v>5</v>
      </c>
      <c r="C1828" t="s">
        <v>34</v>
      </c>
      <c r="D1828">
        <f ca="1">'2BAS Calcs'!N1828</f>
        <v>130.28123192625827</v>
      </c>
    </row>
    <row r="1829" spans="1:4" x14ac:dyDescent="0.35">
      <c r="A1829" t="s">
        <v>19</v>
      </c>
      <c r="B1829" t="s">
        <v>5</v>
      </c>
      <c r="C1829" t="s">
        <v>34</v>
      </c>
      <c r="D1829">
        <f ca="1">'2BAS Calcs'!N1829</f>
        <v>499.07767925833167</v>
      </c>
    </row>
    <row r="1830" spans="1:4" x14ac:dyDescent="0.35">
      <c r="A1830" t="s">
        <v>20</v>
      </c>
      <c r="B1830" t="s">
        <v>5</v>
      </c>
      <c r="C1830" t="s">
        <v>34</v>
      </c>
      <c r="D1830">
        <f ca="1">'2BAS Calcs'!N1830</f>
        <v>267.59022774274388</v>
      </c>
    </row>
    <row r="1831" spans="1:4" x14ac:dyDescent="0.35">
      <c r="A1831" t="s">
        <v>21</v>
      </c>
      <c r="B1831" t="s">
        <v>5</v>
      </c>
      <c r="C1831" t="s">
        <v>34</v>
      </c>
      <c r="D1831">
        <f ca="1">'2BAS Calcs'!N1831</f>
        <v>427.04390514103835</v>
      </c>
    </row>
    <row r="1832" spans="1:4" x14ac:dyDescent="0.35">
      <c r="A1832" t="s">
        <v>22</v>
      </c>
      <c r="B1832" t="s">
        <v>5</v>
      </c>
      <c r="C1832" t="s">
        <v>34</v>
      </c>
      <c r="D1832">
        <f ca="1">'2BAS Calcs'!N1832</f>
        <v>162.03526326798445</v>
      </c>
    </row>
    <row r="1833" spans="1:4" x14ac:dyDescent="0.35">
      <c r="A1833" t="s">
        <v>23</v>
      </c>
      <c r="B1833" t="s">
        <v>5</v>
      </c>
      <c r="C1833" t="s">
        <v>34</v>
      </c>
      <c r="D1833">
        <f ca="1">'2BAS Calcs'!N1833</f>
        <v>1.0832415323090022E-6</v>
      </c>
    </row>
    <row r="1834" spans="1:4" x14ac:dyDescent="0.35">
      <c r="A1834" t="s">
        <v>24</v>
      </c>
      <c r="B1834" t="s">
        <v>5</v>
      </c>
      <c r="C1834" t="s">
        <v>34</v>
      </c>
      <c r="D1834">
        <f ca="1">'2BAS Calcs'!N1834</f>
        <v>31.719336625134616</v>
      </c>
    </row>
    <row r="1835" spans="1:4" x14ac:dyDescent="0.35">
      <c r="A1835" t="s">
        <v>25</v>
      </c>
      <c r="B1835" t="s">
        <v>5</v>
      </c>
      <c r="C1835" t="s">
        <v>34</v>
      </c>
      <c r="D1835">
        <f ca="1">'2BAS Calcs'!N1835</f>
        <v>2.7752276614222313</v>
      </c>
    </row>
    <row r="1836" spans="1:4" x14ac:dyDescent="0.35">
      <c r="A1836" t="s">
        <v>26</v>
      </c>
      <c r="B1836" t="s">
        <v>5</v>
      </c>
      <c r="C1836" t="s">
        <v>34</v>
      </c>
      <c r="D1836">
        <f ca="1">'2BAS Calcs'!N1836</f>
        <v>1.0832415323090022E-6</v>
      </c>
    </row>
    <row r="1837" spans="1:4" x14ac:dyDescent="0.35">
      <c r="A1837" t="s">
        <v>27</v>
      </c>
      <c r="B1837" t="s">
        <v>5</v>
      </c>
      <c r="C1837" t="s">
        <v>34</v>
      </c>
      <c r="D1837">
        <f ca="1">'2BAS Calcs'!N1837</f>
        <v>1.0832415323090022E-6</v>
      </c>
    </row>
    <row r="1838" spans="1:4" x14ac:dyDescent="0.35">
      <c r="A1838" t="s">
        <v>28</v>
      </c>
      <c r="B1838" t="s">
        <v>5</v>
      </c>
      <c r="C1838" t="s">
        <v>34</v>
      </c>
      <c r="D1838">
        <f ca="1">'2BAS Calcs'!N1838</f>
        <v>1.0832415323090022E-6</v>
      </c>
    </row>
    <row r="1839" spans="1:4" x14ac:dyDescent="0.35">
      <c r="A1839" t="s">
        <v>29</v>
      </c>
      <c r="B1839" t="s">
        <v>5</v>
      </c>
      <c r="C1839" t="s">
        <v>34</v>
      </c>
      <c r="D1839">
        <f ca="1">'2BAS Calcs'!N1839</f>
        <v>1.0832415323090022E-6</v>
      </c>
    </row>
    <row r="1840" spans="1:4" x14ac:dyDescent="0.35">
      <c r="A1840" t="s">
        <v>30</v>
      </c>
      <c r="B1840" t="s">
        <v>5</v>
      </c>
      <c r="C1840" t="s">
        <v>34</v>
      </c>
      <c r="D1840">
        <f ca="1">'2BAS Calcs'!N1840</f>
        <v>1.0832415323090022E-6</v>
      </c>
    </row>
    <row r="1841" spans="1:4" x14ac:dyDescent="0.35">
      <c r="A1841" t="s">
        <v>31</v>
      </c>
      <c r="B1841" t="s">
        <v>5</v>
      </c>
      <c r="C1841" t="s">
        <v>34</v>
      </c>
      <c r="D1841">
        <f ca="1">'2BAS Calcs'!N1841</f>
        <v>1.0832415323090022E-6</v>
      </c>
    </row>
    <row r="1842" spans="1:4" x14ac:dyDescent="0.35">
      <c r="A1842" t="s">
        <v>32</v>
      </c>
      <c r="B1842" t="s">
        <v>5</v>
      </c>
      <c r="C1842" t="s">
        <v>34</v>
      </c>
      <c r="D1842">
        <f ca="1">'2BAS Calcs'!N1842</f>
        <v>1.0832415323090022E-6</v>
      </c>
    </row>
    <row r="1843" spans="1:4" x14ac:dyDescent="0.35">
      <c r="A1843" t="s">
        <v>33</v>
      </c>
      <c r="B1843" t="s">
        <v>5</v>
      </c>
      <c r="C1843" t="s">
        <v>34</v>
      </c>
      <c r="D1843">
        <f ca="1">'2BAS Calcs'!N1843</f>
        <v>1.0832415323090022E-6</v>
      </c>
    </row>
    <row r="1844" spans="1:4" x14ac:dyDescent="0.35">
      <c r="A1844" t="s">
        <v>34</v>
      </c>
      <c r="B1844" t="s">
        <v>5</v>
      </c>
      <c r="C1844" t="s">
        <v>34</v>
      </c>
      <c r="D1844">
        <f ca="1">'2BAS Calcs'!N1844</f>
        <v>1.0832415323090022E-6</v>
      </c>
    </row>
    <row r="1845" spans="1:4" x14ac:dyDescent="0.35">
      <c r="A1845" t="s">
        <v>35</v>
      </c>
      <c r="B1845" t="s">
        <v>5</v>
      </c>
      <c r="C1845" t="s">
        <v>34</v>
      </c>
      <c r="D1845">
        <f ca="1">'2BAS Calcs'!N1845</f>
        <v>1.0832415323090022E-6</v>
      </c>
    </row>
    <row r="1846" spans="1:4" x14ac:dyDescent="0.35">
      <c r="A1846" t="s">
        <v>36</v>
      </c>
      <c r="B1846" t="s">
        <v>5</v>
      </c>
      <c r="C1846" t="s">
        <v>34</v>
      </c>
      <c r="D1846">
        <f ca="1">'2BAS Calcs'!N1846</f>
        <v>1.0832415323090022E-6</v>
      </c>
    </row>
    <row r="1847" spans="1:4" x14ac:dyDescent="0.35">
      <c r="A1847" t="s">
        <v>37</v>
      </c>
      <c r="B1847" t="s">
        <v>5</v>
      </c>
      <c r="C1847" t="s">
        <v>34</v>
      </c>
      <c r="D1847">
        <f ca="1">'2BAS Calcs'!N1847</f>
        <v>1.0832415323090022E-6</v>
      </c>
    </row>
    <row r="1848" spans="1:4" x14ac:dyDescent="0.35">
      <c r="A1848" t="s">
        <v>38</v>
      </c>
      <c r="B1848" t="s">
        <v>5</v>
      </c>
      <c r="C1848" t="s">
        <v>34</v>
      </c>
      <c r="D1848">
        <f ca="1">'2BAS Calcs'!N1848</f>
        <v>1.0832415323090022E-6</v>
      </c>
    </row>
    <row r="1849" spans="1:4" x14ac:dyDescent="0.35">
      <c r="A1849" t="s">
        <v>39</v>
      </c>
      <c r="B1849" t="s">
        <v>5</v>
      </c>
      <c r="C1849" t="s">
        <v>34</v>
      </c>
      <c r="D1849">
        <f ca="1">'2BAS Calcs'!N1849</f>
        <v>1.0832415323090022E-6</v>
      </c>
    </row>
    <row r="1850" spans="1:4" x14ac:dyDescent="0.35">
      <c r="A1850" t="s">
        <v>7</v>
      </c>
      <c r="B1850" t="s">
        <v>4</v>
      </c>
      <c r="C1850" t="s">
        <v>35</v>
      </c>
      <c r="D1850">
        <f ca="1">'2BAS Calcs'!N1850</f>
        <v>0.81891468832502801</v>
      </c>
    </row>
    <row r="1851" spans="1:4" x14ac:dyDescent="0.35">
      <c r="A1851" t="s">
        <v>8</v>
      </c>
      <c r="B1851" t="s">
        <v>4</v>
      </c>
      <c r="C1851" t="s">
        <v>35</v>
      </c>
      <c r="D1851">
        <f ca="1">'2BAS Calcs'!N1851</f>
        <v>1.4285288161117085</v>
      </c>
    </row>
    <row r="1852" spans="1:4" x14ac:dyDescent="0.35">
      <c r="A1852" t="s">
        <v>9</v>
      </c>
      <c r="B1852" t="s">
        <v>4</v>
      </c>
      <c r="C1852" t="s">
        <v>35</v>
      </c>
      <c r="D1852">
        <f ca="1">'2BAS Calcs'!N1852</f>
        <v>2.4053409100875265</v>
      </c>
    </row>
    <row r="1853" spans="1:4" x14ac:dyDescent="0.35">
      <c r="A1853" t="s">
        <v>10</v>
      </c>
      <c r="B1853" t="s">
        <v>4</v>
      </c>
      <c r="C1853" t="s">
        <v>35</v>
      </c>
      <c r="D1853">
        <f ca="1">'2BAS Calcs'!N1853</f>
        <v>12.529067290753527</v>
      </c>
    </row>
    <row r="1854" spans="1:4" x14ac:dyDescent="0.35">
      <c r="A1854" t="s">
        <v>11</v>
      </c>
      <c r="B1854" t="s">
        <v>4</v>
      </c>
      <c r="C1854" t="s">
        <v>35</v>
      </c>
      <c r="D1854">
        <f ca="1">'2BAS Calcs'!N1854</f>
        <v>8.8903982979950752E-2</v>
      </c>
    </row>
    <row r="1855" spans="1:4" x14ac:dyDescent="0.35">
      <c r="A1855" t="s">
        <v>12</v>
      </c>
      <c r="B1855" t="s">
        <v>4</v>
      </c>
      <c r="C1855" t="s">
        <v>35</v>
      </c>
      <c r="D1855">
        <f ca="1">'2BAS Calcs'!N1855</f>
        <v>0.54728563338344038</v>
      </c>
    </row>
    <row r="1856" spans="1:4" x14ac:dyDescent="0.35">
      <c r="A1856" t="s">
        <v>13</v>
      </c>
      <c r="B1856" t="s">
        <v>4</v>
      </c>
      <c r="C1856" t="s">
        <v>35</v>
      </c>
      <c r="D1856">
        <f ca="1">'2BAS Calcs'!N1856</f>
        <v>10.954239244712261</v>
      </c>
    </row>
    <row r="1857" spans="1:4" x14ac:dyDescent="0.35">
      <c r="A1857" t="s">
        <v>14</v>
      </c>
      <c r="B1857" t="s">
        <v>4</v>
      </c>
      <c r="C1857" t="s">
        <v>35</v>
      </c>
      <c r="D1857">
        <f ca="1">'2BAS Calcs'!N1857</f>
        <v>1.669215079898748</v>
      </c>
    </row>
    <row r="1858" spans="1:4" x14ac:dyDescent="0.35">
      <c r="A1858" t="s">
        <v>15</v>
      </c>
      <c r="B1858" t="s">
        <v>4</v>
      </c>
      <c r="C1858" t="s">
        <v>35</v>
      </c>
      <c r="D1858">
        <f ca="1">'2BAS Calcs'!N1858</f>
        <v>10.394537169959456</v>
      </c>
    </row>
    <row r="1859" spans="1:4" x14ac:dyDescent="0.35">
      <c r="A1859" t="s">
        <v>16</v>
      </c>
      <c r="B1859" t="s">
        <v>4</v>
      </c>
      <c r="C1859" t="s">
        <v>35</v>
      </c>
      <c r="D1859">
        <f ca="1">'2BAS Calcs'!N1859</f>
        <v>16.271644927163432</v>
      </c>
    </row>
    <row r="1860" spans="1:4" x14ac:dyDescent="0.35">
      <c r="A1860" t="s">
        <v>17</v>
      </c>
      <c r="B1860" t="s">
        <v>4</v>
      </c>
      <c r="C1860" t="s">
        <v>35</v>
      </c>
      <c r="D1860">
        <f ca="1">'2BAS Calcs'!N1860</f>
        <v>15.073656589405557</v>
      </c>
    </row>
    <row r="1861" spans="1:4" x14ac:dyDescent="0.35">
      <c r="A1861" t="s">
        <v>18</v>
      </c>
      <c r="B1861" t="s">
        <v>4</v>
      </c>
      <c r="C1861" t="s">
        <v>35</v>
      </c>
      <c r="D1861">
        <f ca="1">'2BAS Calcs'!N1861</f>
        <v>44.087837098766698</v>
      </c>
    </row>
    <row r="1862" spans="1:4" x14ac:dyDescent="0.35">
      <c r="A1862" t="s">
        <v>19</v>
      </c>
      <c r="B1862" t="s">
        <v>4</v>
      </c>
      <c r="C1862" t="s">
        <v>35</v>
      </c>
      <c r="D1862">
        <f ca="1">'2BAS Calcs'!N1862</f>
        <v>63.813668583218274</v>
      </c>
    </row>
    <row r="1863" spans="1:4" x14ac:dyDescent="0.35">
      <c r="A1863" t="s">
        <v>20</v>
      </c>
      <c r="B1863" t="s">
        <v>4</v>
      </c>
      <c r="C1863" t="s">
        <v>35</v>
      </c>
      <c r="D1863">
        <f ca="1">'2BAS Calcs'!N1863</f>
        <v>13.274628579612004</v>
      </c>
    </row>
    <row r="1864" spans="1:4" x14ac:dyDescent="0.35">
      <c r="A1864" t="s">
        <v>21</v>
      </c>
      <c r="B1864" t="s">
        <v>4</v>
      </c>
      <c r="C1864" t="s">
        <v>35</v>
      </c>
      <c r="D1864">
        <f ca="1">'2BAS Calcs'!N1864</f>
        <v>19.175306162409914</v>
      </c>
    </row>
    <row r="1865" spans="1:4" x14ac:dyDescent="0.35">
      <c r="A1865" t="s">
        <v>22</v>
      </c>
      <c r="B1865" t="s">
        <v>4</v>
      </c>
      <c r="C1865" t="s">
        <v>35</v>
      </c>
      <c r="D1865">
        <f ca="1">'2BAS Calcs'!N1865</f>
        <v>52.213113630537592</v>
      </c>
    </row>
    <row r="1866" spans="1:4" x14ac:dyDescent="0.35">
      <c r="A1866" t="s">
        <v>23</v>
      </c>
      <c r="B1866" t="s">
        <v>4</v>
      </c>
      <c r="C1866" t="s">
        <v>35</v>
      </c>
      <c r="D1866">
        <f ca="1">'2BAS Calcs'!N1866</f>
        <v>1.1914686316876325E-6</v>
      </c>
    </row>
    <row r="1867" spans="1:4" x14ac:dyDescent="0.35">
      <c r="A1867" t="s">
        <v>24</v>
      </c>
      <c r="B1867" t="s">
        <v>4</v>
      </c>
      <c r="C1867" t="s">
        <v>35</v>
      </c>
      <c r="D1867">
        <f ca="1">'2BAS Calcs'!N1867</f>
        <v>1734.4381682906853</v>
      </c>
    </row>
    <row r="1868" spans="1:4" x14ac:dyDescent="0.35">
      <c r="A1868" t="s">
        <v>25</v>
      </c>
      <c r="B1868" t="s">
        <v>4</v>
      </c>
      <c r="C1868" t="s">
        <v>35</v>
      </c>
      <c r="D1868">
        <f ca="1">'2BAS Calcs'!N1868</f>
        <v>277.32509950889124</v>
      </c>
    </row>
    <row r="1869" spans="1:4" x14ac:dyDescent="0.35">
      <c r="A1869" t="s">
        <v>26</v>
      </c>
      <c r="B1869" t="s">
        <v>4</v>
      </c>
      <c r="C1869" t="s">
        <v>35</v>
      </c>
      <c r="D1869">
        <f ca="1">'2BAS Calcs'!N1869</f>
        <v>1.1914686316876325E-6</v>
      </c>
    </row>
    <row r="1870" spans="1:4" x14ac:dyDescent="0.35">
      <c r="A1870" t="s">
        <v>27</v>
      </c>
      <c r="B1870" t="s">
        <v>4</v>
      </c>
      <c r="C1870" t="s">
        <v>35</v>
      </c>
      <c r="D1870">
        <f ca="1">'2BAS Calcs'!N1870</f>
        <v>1.1914686316876325E-6</v>
      </c>
    </row>
    <row r="1871" spans="1:4" x14ac:dyDescent="0.35">
      <c r="A1871" t="s">
        <v>28</v>
      </c>
      <c r="B1871" t="s">
        <v>4</v>
      </c>
      <c r="C1871" t="s">
        <v>35</v>
      </c>
      <c r="D1871">
        <f ca="1">'2BAS Calcs'!N1871</f>
        <v>1.1914686316876325E-6</v>
      </c>
    </row>
    <row r="1872" spans="1:4" x14ac:dyDescent="0.35">
      <c r="A1872" t="s">
        <v>29</v>
      </c>
      <c r="B1872" t="s">
        <v>4</v>
      </c>
      <c r="C1872" t="s">
        <v>35</v>
      </c>
      <c r="D1872">
        <f ca="1">'2BAS Calcs'!N1872</f>
        <v>1.1914686316876325E-6</v>
      </c>
    </row>
    <row r="1873" spans="1:4" x14ac:dyDescent="0.35">
      <c r="A1873" t="s">
        <v>30</v>
      </c>
      <c r="B1873" t="s">
        <v>4</v>
      </c>
      <c r="C1873" t="s">
        <v>35</v>
      </c>
      <c r="D1873">
        <f ca="1">'2BAS Calcs'!N1873</f>
        <v>1.1914686316876325E-6</v>
      </c>
    </row>
    <row r="1874" spans="1:4" x14ac:dyDescent="0.35">
      <c r="A1874" t="s">
        <v>31</v>
      </c>
      <c r="B1874" t="s">
        <v>4</v>
      </c>
      <c r="C1874" t="s">
        <v>35</v>
      </c>
      <c r="D1874">
        <f ca="1">'2BAS Calcs'!N1874</f>
        <v>1.1914686316876325E-6</v>
      </c>
    </row>
    <row r="1875" spans="1:4" x14ac:dyDescent="0.35">
      <c r="A1875" t="s">
        <v>32</v>
      </c>
      <c r="B1875" t="s">
        <v>4</v>
      </c>
      <c r="C1875" t="s">
        <v>35</v>
      </c>
      <c r="D1875">
        <f ca="1">'2BAS Calcs'!N1875</f>
        <v>1.1914686316876325E-6</v>
      </c>
    </row>
    <row r="1876" spans="1:4" x14ac:dyDescent="0.35">
      <c r="A1876" t="s">
        <v>33</v>
      </c>
      <c r="B1876" t="s">
        <v>4</v>
      </c>
      <c r="C1876" t="s">
        <v>35</v>
      </c>
      <c r="D1876">
        <f ca="1">'2BAS Calcs'!N1876</f>
        <v>1.1914686316876325E-6</v>
      </c>
    </row>
    <row r="1877" spans="1:4" x14ac:dyDescent="0.35">
      <c r="A1877" t="s">
        <v>34</v>
      </c>
      <c r="B1877" t="s">
        <v>4</v>
      </c>
      <c r="C1877" t="s">
        <v>35</v>
      </c>
      <c r="D1877">
        <f ca="1">'2BAS Calcs'!N1877</f>
        <v>1.1914686316876325E-6</v>
      </c>
    </row>
    <row r="1878" spans="1:4" x14ac:dyDescent="0.35">
      <c r="A1878" t="s">
        <v>35</v>
      </c>
      <c r="B1878" t="s">
        <v>4</v>
      </c>
      <c r="C1878" t="s">
        <v>35</v>
      </c>
      <c r="D1878">
        <f ca="1">'2BAS Calcs'!N1878</f>
        <v>1.1914686316876325E-6</v>
      </c>
    </row>
    <row r="1879" spans="1:4" x14ac:dyDescent="0.35">
      <c r="A1879" t="s">
        <v>36</v>
      </c>
      <c r="B1879" t="s">
        <v>4</v>
      </c>
      <c r="C1879" t="s">
        <v>35</v>
      </c>
      <c r="D1879">
        <f ca="1">'2BAS Calcs'!N1879</f>
        <v>1.1914686316876325E-6</v>
      </c>
    </row>
    <row r="1880" spans="1:4" x14ac:dyDescent="0.35">
      <c r="A1880" t="s">
        <v>37</v>
      </c>
      <c r="B1880" t="s">
        <v>4</v>
      </c>
      <c r="C1880" t="s">
        <v>35</v>
      </c>
      <c r="D1880">
        <f ca="1">'2BAS Calcs'!N1880</f>
        <v>1.1914686316876325E-6</v>
      </c>
    </row>
    <row r="1881" spans="1:4" x14ac:dyDescent="0.35">
      <c r="A1881" t="s">
        <v>38</v>
      </c>
      <c r="B1881" t="s">
        <v>4</v>
      </c>
      <c r="C1881" t="s">
        <v>35</v>
      </c>
      <c r="D1881">
        <f ca="1">'2BAS Calcs'!N1881</f>
        <v>1.1914686316876325E-6</v>
      </c>
    </row>
    <row r="1882" spans="1:4" x14ac:dyDescent="0.35">
      <c r="A1882" t="s">
        <v>39</v>
      </c>
      <c r="B1882" t="s">
        <v>4</v>
      </c>
      <c r="C1882" t="s">
        <v>35</v>
      </c>
      <c r="D1882">
        <f ca="1">'2BAS Calcs'!N1882</f>
        <v>1.1914686316876325E-6</v>
      </c>
    </row>
    <row r="1883" spans="1:4" x14ac:dyDescent="0.35">
      <c r="A1883" t="s">
        <v>7</v>
      </c>
      <c r="B1883" t="s">
        <v>5</v>
      </c>
      <c r="C1883" t="s">
        <v>35</v>
      </c>
      <c r="D1883">
        <f ca="1">'2BAS Calcs'!N1883</f>
        <v>11.023258131650794</v>
      </c>
    </row>
    <row r="1884" spans="1:4" x14ac:dyDescent="0.35">
      <c r="A1884" t="s">
        <v>8</v>
      </c>
      <c r="B1884" t="s">
        <v>5</v>
      </c>
      <c r="C1884" t="s">
        <v>35</v>
      </c>
      <c r="D1884">
        <f ca="1">'2BAS Calcs'!N1884</f>
        <v>17.390641357633442</v>
      </c>
    </row>
    <row r="1885" spans="1:4" x14ac:dyDescent="0.35">
      <c r="A1885" t="s">
        <v>9</v>
      </c>
      <c r="B1885" t="s">
        <v>5</v>
      </c>
      <c r="C1885" t="s">
        <v>35</v>
      </c>
      <c r="D1885">
        <f ca="1">'2BAS Calcs'!N1885</f>
        <v>4.351671895285973</v>
      </c>
    </row>
    <row r="1886" spans="1:4" x14ac:dyDescent="0.35">
      <c r="A1886" t="s">
        <v>10</v>
      </c>
      <c r="B1886" t="s">
        <v>5</v>
      </c>
      <c r="C1886" t="s">
        <v>35</v>
      </c>
      <c r="D1886">
        <f ca="1">'2BAS Calcs'!N1886</f>
        <v>85.397278552909839</v>
      </c>
    </row>
    <row r="1887" spans="1:4" x14ac:dyDescent="0.35">
      <c r="A1887" t="s">
        <v>11</v>
      </c>
      <c r="B1887" t="s">
        <v>5</v>
      </c>
      <c r="C1887" t="s">
        <v>35</v>
      </c>
      <c r="D1887">
        <f ca="1">'2BAS Calcs'!N1887</f>
        <v>44.506455087599072</v>
      </c>
    </row>
    <row r="1888" spans="1:4" x14ac:dyDescent="0.35">
      <c r="A1888" t="s">
        <v>12</v>
      </c>
      <c r="B1888" t="s">
        <v>5</v>
      </c>
      <c r="C1888" t="s">
        <v>35</v>
      </c>
      <c r="D1888">
        <f ca="1">'2BAS Calcs'!N1888</f>
        <v>0.79663297878356021</v>
      </c>
    </row>
    <row r="1889" spans="1:4" x14ac:dyDescent="0.35">
      <c r="A1889" t="s">
        <v>13</v>
      </c>
      <c r="B1889" t="s">
        <v>5</v>
      </c>
      <c r="C1889" t="s">
        <v>35</v>
      </c>
      <c r="D1889">
        <f ca="1">'2BAS Calcs'!N1889</f>
        <v>11.471434511449539</v>
      </c>
    </row>
    <row r="1890" spans="1:4" x14ac:dyDescent="0.35">
      <c r="A1890" t="s">
        <v>14</v>
      </c>
      <c r="B1890" t="s">
        <v>5</v>
      </c>
      <c r="C1890" t="s">
        <v>35</v>
      </c>
      <c r="D1890">
        <f ca="1">'2BAS Calcs'!N1890</f>
        <v>2.8886421014722541</v>
      </c>
    </row>
    <row r="1891" spans="1:4" x14ac:dyDescent="0.35">
      <c r="A1891" t="s">
        <v>15</v>
      </c>
      <c r="B1891" t="s">
        <v>5</v>
      </c>
      <c r="C1891" t="s">
        <v>35</v>
      </c>
      <c r="D1891">
        <f ca="1">'2BAS Calcs'!N1891</f>
        <v>39.598460029752893</v>
      </c>
    </row>
    <row r="1892" spans="1:4" x14ac:dyDescent="0.35">
      <c r="A1892" t="s">
        <v>16</v>
      </c>
      <c r="B1892" t="s">
        <v>5</v>
      </c>
      <c r="C1892" t="s">
        <v>35</v>
      </c>
      <c r="D1892">
        <f ca="1">'2BAS Calcs'!N1892</f>
        <v>30.327157200370753</v>
      </c>
    </row>
    <row r="1893" spans="1:4" x14ac:dyDescent="0.35">
      <c r="A1893" t="s">
        <v>17</v>
      </c>
      <c r="B1893" t="s">
        <v>5</v>
      </c>
      <c r="C1893" t="s">
        <v>35</v>
      </c>
      <c r="D1893">
        <f ca="1">'2BAS Calcs'!N1893</f>
        <v>11.448119005643603</v>
      </c>
    </row>
    <row r="1894" spans="1:4" x14ac:dyDescent="0.35">
      <c r="A1894" t="s">
        <v>18</v>
      </c>
      <c r="B1894" t="s">
        <v>5</v>
      </c>
      <c r="C1894" t="s">
        <v>35</v>
      </c>
      <c r="D1894">
        <f ca="1">'2BAS Calcs'!N1894</f>
        <v>143.29768247242458</v>
      </c>
    </row>
    <row r="1895" spans="1:4" x14ac:dyDescent="0.35">
      <c r="A1895" t="s">
        <v>19</v>
      </c>
      <c r="B1895" t="s">
        <v>5</v>
      </c>
      <c r="C1895" t="s">
        <v>35</v>
      </c>
      <c r="D1895">
        <f ca="1">'2BAS Calcs'!N1895</f>
        <v>548.94073193838699</v>
      </c>
    </row>
    <row r="1896" spans="1:4" x14ac:dyDescent="0.35">
      <c r="A1896" t="s">
        <v>20</v>
      </c>
      <c r="B1896" t="s">
        <v>5</v>
      </c>
      <c r="C1896" t="s">
        <v>35</v>
      </c>
      <c r="D1896">
        <f ca="1">'2BAS Calcs'!N1896</f>
        <v>294.32527556622694</v>
      </c>
    </row>
    <row r="1897" spans="1:4" x14ac:dyDescent="0.35">
      <c r="A1897" t="s">
        <v>21</v>
      </c>
      <c r="B1897" t="s">
        <v>5</v>
      </c>
      <c r="C1897" t="s">
        <v>35</v>
      </c>
      <c r="D1897">
        <f ca="1">'2BAS Calcs'!N1897</f>
        <v>469.7100343303627</v>
      </c>
    </row>
    <row r="1898" spans="1:4" x14ac:dyDescent="0.35">
      <c r="A1898" t="s">
        <v>22</v>
      </c>
      <c r="B1898" t="s">
        <v>5</v>
      </c>
      <c r="C1898" t="s">
        <v>35</v>
      </c>
      <c r="D1898">
        <f ca="1">'2BAS Calcs'!N1898</f>
        <v>178.22427192163735</v>
      </c>
    </row>
    <row r="1899" spans="1:4" x14ac:dyDescent="0.35">
      <c r="A1899" t="s">
        <v>23</v>
      </c>
      <c r="B1899" t="s">
        <v>5</v>
      </c>
      <c r="C1899" t="s">
        <v>35</v>
      </c>
      <c r="D1899">
        <f ca="1">'2BAS Calcs'!N1899</f>
        <v>1.1914686316876325E-6</v>
      </c>
    </row>
    <row r="1900" spans="1:4" x14ac:dyDescent="0.35">
      <c r="A1900" t="s">
        <v>24</v>
      </c>
      <c r="B1900" t="s">
        <v>5</v>
      </c>
      <c r="C1900" t="s">
        <v>35</v>
      </c>
      <c r="D1900">
        <f ca="1">'2BAS Calcs'!N1900</f>
        <v>34.888428369461693</v>
      </c>
    </row>
    <row r="1901" spans="1:4" x14ac:dyDescent="0.35">
      <c r="A1901" t="s">
        <v>25</v>
      </c>
      <c r="B1901" t="s">
        <v>5</v>
      </c>
      <c r="C1901" t="s">
        <v>35</v>
      </c>
      <c r="D1901">
        <f ca="1">'2BAS Calcs'!N1901</f>
        <v>3.0525017789229154</v>
      </c>
    </row>
    <row r="1902" spans="1:4" x14ac:dyDescent="0.35">
      <c r="A1902" t="s">
        <v>26</v>
      </c>
      <c r="B1902" t="s">
        <v>5</v>
      </c>
      <c r="C1902" t="s">
        <v>35</v>
      </c>
      <c r="D1902">
        <f ca="1">'2BAS Calcs'!N1902</f>
        <v>1.1914686316876325E-6</v>
      </c>
    </row>
    <row r="1903" spans="1:4" x14ac:dyDescent="0.35">
      <c r="A1903" t="s">
        <v>27</v>
      </c>
      <c r="B1903" t="s">
        <v>5</v>
      </c>
      <c r="C1903" t="s">
        <v>35</v>
      </c>
      <c r="D1903">
        <f ca="1">'2BAS Calcs'!N1903</f>
        <v>1.1914686316876325E-6</v>
      </c>
    </row>
    <row r="1904" spans="1:4" x14ac:dyDescent="0.35">
      <c r="A1904" t="s">
        <v>28</v>
      </c>
      <c r="B1904" t="s">
        <v>5</v>
      </c>
      <c r="C1904" t="s">
        <v>35</v>
      </c>
      <c r="D1904">
        <f ca="1">'2BAS Calcs'!N1904</f>
        <v>1.1914686316876325E-6</v>
      </c>
    </row>
    <row r="1905" spans="1:4" x14ac:dyDescent="0.35">
      <c r="A1905" t="s">
        <v>29</v>
      </c>
      <c r="B1905" t="s">
        <v>5</v>
      </c>
      <c r="C1905" t="s">
        <v>35</v>
      </c>
      <c r="D1905">
        <f ca="1">'2BAS Calcs'!N1905</f>
        <v>1.1914686316876325E-6</v>
      </c>
    </row>
    <row r="1906" spans="1:4" x14ac:dyDescent="0.35">
      <c r="A1906" t="s">
        <v>30</v>
      </c>
      <c r="B1906" t="s">
        <v>5</v>
      </c>
      <c r="C1906" t="s">
        <v>35</v>
      </c>
      <c r="D1906">
        <f ca="1">'2BAS Calcs'!N1906</f>
        <v>1.1914686316876325E-6</v>
      </c>
    </row>
    <row r="1907" spans="1:4" x14ac:dyDescent="0.35">
      <c r="A1907" t="s">
        <v>31</v>
      </c>
      <c r="B1907" t="s">
        <v>5</v>
      </c>
      <c r="C1907" t="s">
        <v>35</v>
      </c>
      <c r="D1907">
        <f ca="1">'2BAS Calcs'!N1907</f>
        <v>1.1914686316876325E-6</v>
      </c>
    </row>
    <row r="1908" spans="1:4" x14ac:dyDescent="0.35">
      <c r="A1908" t="s">
        <v>32</v>
      </c>
      <c r="B1908" t="s">
        <v>5</v>
      </c>
      <c r="C1908" t="s">
        <v>35</v>
      </c>
      <c r="D1908">
        <f ca="1">'2BAS Calcs'!N1908</f>
        <v>1.1914686316876325E-6</v>
      </c>
    </row>
    <row r="1909" spans="1:4" x14ac:dyDescent="0.35">
      <c r="A1909" t="s">
        <v>33</v>
      </c>
      <c r="B1909" t="s">
        <v>5</v>
      </c>
      <c r="C1909" t="s">
        <v>35</v>
      </c>
      <c r="D1909">
        <f ca="1">'2BAS Calcs'!N1909</f>
        <v>1.1914686316876325E-6</v>
      </c>
    </row>
    <row r="1910" spans="1:4" x14ac:dyDescent="0.35">
      <c r="A1910" t="s">
        <v>34</v>
      </c>
      <c r="B1910" t="s">
        <v>5</v>
      </c>
      <c r="C1910" t="s">
        <v>35</v>
      </c>
      <c r="D1910">
        <f ca="1">'2BAS Calcs'!N1910</f>
        <v>1.1914686316876325E-6</v>
      </c>
    </row>
    <row r="1911" spans="1:4" x14ac:dyDescent="0.35">
      <c r="A1911" t="s">
        <v>35</v>
      </c>
      <c r="B1911" t="s">
        <v>5</v>
      </c>
      <c r="C1911" t="s">
        <v>35</v>
      </c>
      <c r="D1911">
        <f ca="1">'2BAS Calcs'!N1911</f>
        <v>1.1914686316876325E-6</v>
      </c>
    </row>
    <row r="1912" spans="1:4" x14ac:dyDescent="0.35">
      <c r="A1912" t="s">
        <v>36</v>
      </c>
      <c r="B1912" t="s">
        <v>5</v>
      </c>
      <c r="C1912" t="s">
        <v>35</v>
      </c>
      <c r="D1912">
        <f ca="1">'2BAS Calcs'!N1912</f>
        <v>1.1914686316876325E-6</v>
      </c>
    </row>
    <row r="1913" spans="1:4" x14ac:dyDescent="0.35">
      <c r="A1913" t="s">
        <v>37</v>
      </c>
      <c r="B1913" t="s">
        <v>5</v>
      </c>
      <c r="C1913" t="s">
        <v>35</v>
      </c>
      <c r="D1913">
        <f ca="1">'2BAS Calcs'!N1913</f>
        <v>1.1914686316876325E-6</v>
      </c>
    </row>
    <row r="1914" spans="1:4" x14ac:dyDescent="0.35">
      <c r="A1914" t="s">
        <v>38</v>
      </c>
      <c r="B1914" t="s">
        <v>5</v>
      </c>
      <c r="C1914" t="s">
        <v>35</v>
      </c>
      <c r="D1914">
        <f ca="1">'2BAS Calcs'!N1914</f>
        <v>1.1914686316876325E-6</v>
      </c>
    </row>
    <row r="1915" spans="1:4" x14ac:dyDescent="0.35">
      <c r="A1915" t="s">
        <v>39</v>
      </c>
      <c r="B1915" t="s">
        <v>5</v>
      </c>
      <c r="C1915" t="s">
        <v>35</v>
      </c>
      <c r="D1915">
        <f ca="1">'2BAS Calcs'!N1915</f>
        <v>1.1914686316876325E-6</v>
      </c>
    </row>
    <row r="1916" spans="1:4" x14ac:dyDescent="0.35">
      <c r="A1916" t="s">
        <v>7</v>
      </c>
      <c r="B1916" t="s">
        <v>4</v>
      </c>
      <c r="C1916" t="s">
        <v>36</v>
      </c>
      <c r="D1916">
        <f ca="1">'2BAS Calcs'!N1916</f>
        <v>0.19392573246047848</v>
      </c>
    </row>
    <row r="1917" spans="1:4" x14ac:dyDescent="0.35">
      <c r="A1917" t="s">
        <v>8</v>
      </c>
      <c r="B1917" t="s">
        <v>4</v>
      </c>
      <c r="C1917" t="s">
        <v>36</v>
      </c>
      <c r="D1917">
        <f ca="1">'2BAS Calcs'!N1917</f>
        <v>0.33828737102271927</v>
      </c>
    </row>
    <row r="1918" spans="1:4" x14ac:dyDescent="0.35">
      <c r="A1918" t="s">
        <v>9</v>
      </c>
      <c r="B1918" t="s">
        <v>4</v>
      </c>
      <c r="C1918" t="s">
        <v>36</v>
      </c>
      <c r="D1918">
        <f ca="1">'2BAS Calcs'!N1918</f>
        <v>0.5696045075952284</v>
      </c>
    </row>
    <row r="1919" spans="1:4" x14ac:dyDescent="0.35">
      <c r="A1919" t="s">
        <v>10</v>
      </c>
      <c r="B1919" t="s">
        <v>4</v>
      </c>
      <c r="C1919" t="s">
        <v>36</v>
      </c>
      <c r="D1919">
        <f ca="1">'2BAS Calcs'!N1919</f>
        <v>2.9669861660139709</v>
      </c>
    </row>
    <row r="1920" spans="1:4" x14ac:dyDescent="0.35">
      <c r="A1920" t="s">
        <v>11</v>
      </c>
      <c r="B1920" t="s">
        <v>4</v>
      </c>
      <c r="C1920" t="s">
        <v>36</v>
      </c>
      <c r="D1920">
        <f ca="1">'2BAS Calcs'!N1920</f>
        <v>2.105319426289004E-2</v>
      </c>
    </row>
    <row r="1921" spans="1:4" x14ac:dyDescent="0.35">
      <c r="A1921" t="s">
        <v>12</v>
      </c>
      <c r="B1921" t="s">
        <v>4</v>
      </c>
      <c r="C1921" t="s">
        <v>36</v>
      </c>
      <c r="D1921">
        <f ca="1">'2BAS Calcs'!N1921</f>
        <v>0.12960173853525556</v>
      </c>
    </row>
    <row r="1922" spans="1:4" x14ac:dyDescent="0.35">
      <c r="A1922" t="s">
        <v>13</v>
      </c>
      <c r="B1922" t="s">
        <v>4</v>
      </c>
      <c r="C1922" t="s">
        <v>36</v>
      </c>
      <c r="D1922">
        <f ca="1">'2BAS Calcs'!N1922</f>
        <v>2.5940539342664759</v>
      </c>
    </row>
    <row r="1923" spans="1:4" x14ac:dyDescent="0.35">
      <c r="A1923" t="s">
        <v>14</v>
      </c>
      <c r="B1923" t="s">
        <v>4</v>
      </c>
      <c r="C1923" t="s">
        <v>36</v>
      </c>
      <c r="D1923">
        <f ca="1">'2BAS Calcs'!N1923</f>
        <v>0.39528385754751844</v>
      </c>
    </row>
    <row r="1924" spans="1:4" x14ac:dyDescent="0.35">
      <c r="A1924" t="s">
        <v>15</v>
      </c>
      <c r="B1924" t="s">
        <v>4</v>
      </c>
      <c r="C1924" t="s">
        <v>36</v>
      </c>
      <c r="D1924">
        <f ca="1">'2BAS Calcs'!N1924</f>
        <v>2.4615118803095597</v>
      </c>
    </row>
    <row r="1925" spans="1:4" x14ac:dyDescent="0.35">
      <c r="A1925" t="s">
        <v>16</v>
      </c>
      <c r="B1925" t="s">
        <v>4</v>
      </c>
      <c r="C1925" t="s">
        <v>36</v>
      </c>
      <c r="D1925">
        <f ca="1">'2BAS Calcs'!N1925</f>
        <v>3.8532593270382041</v>
      </c>
    </row>
    <row r="1926" spans="1:4" x14ac:dyDescent="0.35">
      <c r="A1926" t="s">
        <v>17</v>
      </c>
      <c r="B1926" t="s">
        <v>4</v>
      </c>
      <c r="C1926" t="s">
        <v>36</v>
      </c>
      <c r="D1926">
        <f ca="1">'2BAS Calcs'!N1926</f>
        <v>3.5695658371168228</v>
      </c>
    </row>
    <row r="1927" spans="1:4" x14ac:dyDescent="0.35">
      <c r="A1927" t="s">
        <v>18</v>
      </c>
      <c r="B1927" t="s">
        <v>4</v>
      </c>
      <c r="C1927" t="s">
        <v>36</v>
      </c>
      <c r="D1927">
        <f ca="1">'2BAS Calcs'!N1927</f>
        <v>10.440362377018666</v>
      </c>
    </row>
    <row r="1928" spans="1:4" x14ac:dyDescent="0.35">
      <c r="A1928" t="s">
        <v>19</v>
      </c>
      <c r="B1928" t="s">
        <v>4</v>
      </c>
      <c r="C1928" t="s">
        <v>36</v>
      </c>
      <c r="D1928">
        <f ca="1">'2BAS Calcs'!N1928</f>
        <v>15.111601485989143</v>
      </c>
    </row>
    <row r="1929" spans="1:4" x14ac:dyDescent="0.35">
      <c r="A1929" t="s">
        <v>20</v>
      </c>
      <c r="B1929" t="s">
        <v>4</v>
      </c>
      <c r="C1929" t="s">
        <v>36</v>
      </c>
      <c r="D1929">
        <f ca="1">'2BAS Calcs'!N1929</f>
        <v>3.1435412102662399</v>
      </c>
    </row>
    <row r="1930" spans="1:4" x14ac:dyDescent="0.35">
      <c r="A1930" t="s">
        <v>21</v>
      </c>
      <c r="B1930" t="s">
        <v>4</v>
      </c>
      <c r="C1930" t="s">
        <v>36</v>
      </c>
      <c r="D1930">
        <f ca="1">'2BAS Calcs'!N1930</f>
        <v>4.5408701855196902</v>
      </c>
    </row>
    <row r="1931" spans="1:4" x14ac:dyDescent="0.35">
      <c r="A1931" t="s">
        <v>22</v>
      </c>
      <c r="B1931" t="s">
        <v>4</v>
      </c>
      <c r="C1931" t="s">
        <v>36</v>
      </c>
      <c r="D1931">
        <f ca="1">'2BAS Calcs'!N1931</f>
        <v>12.364494677161522</v>
      </c>
    </row>
    <row r="1932" spans="1:4" x14ac:dyDescent="0.35">
      <c r="A1932" t="s">
        <v>23</v>
      </c>
      <c r="B1932" t="s">
        <v>4</v>
      </c>
      <c r="C1932" t="s">
        <v>36</v>
      </c>
      <c r="D1932">
        <f ca="1">'2BAS Calcs'!N1932</f>
        <v>2.8214956990978003E-7</v>
      </c>
    </row>
    <row r="1933" spans="1:4" x14ac:dyDescent="0.35">
      <c r="A1933" t="s">
        <v>24</v>
      </c>
      <c r="B1933" t="s">
        <v>4</v>
      </c>
      <c r="C1933" t="s">
        <v>36</v>
      </c>
      <c r="D1933">
        <f ca="1">'2BAS Calcs'!N1933</f>
        <v>410.72922123443868</v>
      </c>
    </row>
    <row r="1934" spans="1:4" x14ac:dyDescent="0.35">
      <c r="A1934" t="s">
        <v>25</v>
      </c>
      <c r="B1934" t="s">
        <v>4</v>
      </c>
      <c r="C1934" t="s">
        <v>36</v>
      </c>
      <c r="D1934">
        <f ca="1">'2BAS Calcs'!N1934</f>
        <v>65.67286411962769</v>
      </c>
    </row>
    <row r="1935" spans="1:4" x14ac:dyDescent="0.35">
      <c r="A1935" t="s">
        <v>26</v>
      </c>
      <c r="B1935" t="s">
        <v>4</v>
      </c>
      <c r="C1935" t="s">
        <v>36</v>
      </c>
      <c r="D1935">
        <f ca="1">'2BAS Calcs'!N1935</f>
        <v>2.8214956990978003E-7</v>
      </c>
    </row>
    <row r="1936" spans="1:4" x14ac:dyDescent="0.35">
      <c r="A1936" t="s">
        <v>27</v>
      </c>
      <c r="B1936" t="s">
        <v>4</v>
      </c>
      <c r="C1936" t="s">
        <v>36</v>
      </c>
      <c r="D1936">
        <f ca="1">'2BAS Calcs'!N1936</f>
        <v>2.8214956990978003E-7</v>
      </c>
    </row>
    <row r="1937" spans="1:4" x14ac:dyDescent="0.35">
      <c r="A1937" t="s">
        <v>28</v>
      </c>
      <c r="B1937" t="s">
        <v>4</v>
      </c>
      <c r="C1937" t="s">
        <v>36</v>
      </c>
      <c r="D1937">
        <f ca="1">'2BAS Calcs'!N1937</f>
        <v>2.8214956990978003E-7</v>
      </c>
    </row>
    <row r="1938" spans="1:4" x14ac:dyDescent="0.35">
      <c r="A1938" t="s">
        <v>29</v>
      </c>
      <c r="B1938" t="s">
        <v>4</v>
      </c>
      <c r="C1938" t="s">
        <v>36</v>
      </c>
      <c r="D1938">
        <f ca="1">'2BAS Calcs'!N1938</f>
        <v>2.8214956990978003E-7</v>
      </c>
    </row>
    <row r="1939" spans="1:4" x14ac:dyDescent="0.35">
      <c r="A1939" t="s">
        <v>30</v>
      </c>
      <c r="B1939" t="s">
        <v>4</v>
      </c>
      <c r="C1939" t="s">
        <v>36</v>
      </c>
      <c r="D1939">
        <f ca="1">'2BAS Calcs'!N1939</f>
        <v>2.8214956990978003E-7</v>
      </c>
    </row>
    <row r="1940" spans="1:4" x14ac:dyDescent="0.35">
      <c r="A1940" t="s">
        <v>31</v>
      </c>
      <c r="B1940" t="s">
        <v>4</v>
      </c>
      <c r="C1940" t="s">
        <v>36</v>
      </c>
      <c r="D1940">
        <f ca="1">'2BAS Calcs'!N1940</f>
        <v>2.8214956990978003E-7</v>
      </c>
    </row>
    <row r="1941" spans="1:4" x14ac:dyDescent="0.35">
      <c r="A1941" t="s">
        <v>32</v>
      </c>
      <c r="B1941" t="s">
        <v>4</v>
      </c>
      <c r="C1941" t="s">
        <v>36</v>
      </c>
      <c r="D1941">
        <f ca="1">'2BAS Calcs'!N1941</f>
        <v>2.8214956990978003E-7</v>
      </c>
    </row>
    <row r="1942" spans="1:4" x14ac:dyDescent="0.35">
      <c r="A1942" t="s">
        <v>33</v>
      </c>
      <c r="B1942" t="s">
        <v>4</v>
      </c>
      <c r="C1942" t="s">
        <v>36</v>
      </c>
      <c r="D1942">
        <f ca="1">'2BAS Calcs'!N1942</f>
        <v>2.8214956990978003E-7</v>
      </c>
    </row>
    <row r="1943" spans="1:4" x14ac:dyDescent="0.35">
      <c r="A1943" t="s">
        <v>34</v>
      </c>
      <c r="B1943" t="s">
        <v>4</v>
      </c>
      <c r="C1943" t="s">
        <v>36</v>
      </c>
      <c r="D1943">
        <f ca="1">'2BAS Calcs'!N1943</f>
        <v>2.8214956990978003E-7</v>
      </c>
    </row>
    <row r="1944" spans="1:4" x14ac:dyDescent="0.35">
      <c r="A1944" t="s">
        <v>35</v>
      </c>
      <c r="B1944" t="s">
        <v>4</v>
      </c>
      <c r="C1944" t="s">
        <v>36</v>
      </c>
      <c r="D1944">
        <f ca="1">'2BAS Calcs'!N1944</f>
        <v>2.8214956990978003E-7</v>
      </c>
    </row>
    <row r="1945" spans="1:4" x14ac:dyDescent="0.35">
      <c r="A1945" t="s">
        <v>36</v>
      </c>
      <c r="B1945" t="s">
        <v>4</v>
      </c>
      <c r="C1945" t="s">
        <v>36</v>
      </c>
      <c r="D1945">
        <f ca="1">'2BAS Calcs'!N1945</f>
        <v>2.8214956990978003E-7</v>
      </c>
    </row>
    <row r="1946" spans="1:4" x14ac:dyDescent="0.35">
      <c r="A1946" t="s">
        <v>37</v>
      </c>
      <c r="B1946" t="s">
        <v>4</v>
      </c>
      <c r="C1946" t="s">
        <v>36</v>
      </c>
      <c r="D1946">
        <f ca="1">'2BAS Calcs'!N1946</f>
        <v>2.8214956990978003E-7</v>
      </c>
    </row>
    <row r="1947" spans="1:4" x14ac:dyDescent="0.35">
      <c r="A1947" t="s">
        <v>38</v>
      </c>
      <c r="B1947" t="s">
        <v>4</v>
      </c>
      <c r="C1947" t="s">
        <v>36</v>
      </c>
      <c r="D1947">
        <f ca="1">'2BAS Calcs'!N1947</f>
        <v>2.8214956990978003E-7</v>
      </c>
    </row>
    <row r="1948" spans="1:4" x14ac:dyDescent="0.35">
      <c r="A1948" t="s">
        <v>39</v>
      </c>
      <c r="B1948" t="s">
        <v>4</v>
      </c>
      <c r="C1948" t="s">
        <v>36</v>
      </c>
      <c r="D1948">
        <f ca="1">'2BAS Calcs'!N1948</f>
        <v>2.8214956990978003E-7</v>
      </c>
    </row>
    <row r="1949" spans="1:4" x14ac:dyDescent="0.35">
      <c r="A1949" t="s">
        <v>7</v>
      </c>
      <c r="B1949" t="s">
        <v>5</v>
      </c>
      <c r="C1949" t="s">
        <v>36</v>
      </c>
      <c r="D1949">
        <f ca="1">'2BAS Calcs'!N1949</f>
        <v>2.6103981742636093</v>
      </c>
    </row>
    <row r="1950" spans="1:4" x14ac:dyDescent="0.35">
      <c r="A1950" t="s">
        <v>8</v>
      </c>
      <c r="B1950" t="s">
        <v>5</v>
      </c>
      <c r="C1950" t="s">
        <v>36</v>
      </c>
      <c r="D1950">
        <f ca="1">'2BAS Calcs'!N1950</f>
        <v>4.118246883731568</v>
      </c>
    </row>
    <row r="1951" spans="1:4" x14ac:dyDescent="0.35">
      <c r="A1951" t="s">
        <v>9</v>
      </c>
      <c r="B1951" t="s">
        <v>5</v>
      </c>
      <c r="C1951" t="s">
        <v>36</v>
      </c>
      <c r="D1951">
        <f ca="1">'2BAS Calcs'!N1951</f>
        <v>1.0305116903533493</v>
      </c>
    </row>
    <row r="1952" spans="1:4" x14ac:dyDescent="0.35">
      <c r="A1952" t="s">
        <v>10</v>
      </c>
      <c r="B1952" t="s">
        <v>5</v>
      </c>
      <c r="C1952" t="s">
        <v>36</v>
      </c>
      <c r="D1952">
        <f ca="1">'2BAS Calcs'!N1952</f>
        <v>20.222777817524726</v>
      </c>
    </row>
    <row r="1953" spans="1:4" x14ac:dyDescent="0.35">
      <c r="A1953" t="s">
        <v>11</v>
      </c>
      <c r="B1953" t="s">
        <v>5</v>
      </c>
      <c r="C1953" t="s">
        <v>36</v>
      </c>
      <c r="D1953">
        <f ca="1">'2BAS Calcs'!N1953</f>
        <v>10.539494559238396</v>
      </c>
    </row>
    <row r="1954" spans="1:4" x14ac:dyDescent="0.35">
      <c r="A1954" t="s">
        <v>12</v>
      </c>
      <c r="B1954" t="s">
        <v>5</v>
      </c>
      <c r="C1954" t="s">
        <v>36</v>
      </c>
      <c r="D1954">
        <f ca="1">'2BAS Calcs'!N1954</f>
        <v>0.18864924040959252</v>
      </c>
    </row>
    <row r="1955" spans="1:4" x14ac:dyDescent="0.35">
      <c r="A1955" t="s">
        <v>13</v>
      </c>
      <c r="B1955" t="s">
        <v>5</v>
      </c>
      <c r="C1955" t="s">
        <v>36</v>
      </c>
      <c r="D1955">
        <f ca="1">'2BAS Calcs'!N1955</f>
        <v>2.7165300265347234</v>
      </c>
    </row>
    <row r="1956" spans="1:4" x14ac:dyDescent="0.35">
      <c r="A1956" t="s">
        <v>14</v>
      </c>
      <c r="B1956" t="s">
        <v>5</v>
      </c>
      <c r="C1956" t="s">
        <v>36</v>
      </c>
      <c r="D1956">
        <f ca="1">'2BAS Calcs'!N1956</f>
        <v>0.6840542040953671</v>
      </c>
    </row>
    <row r="1957" spans="1:4" x14ac:dyDescent="0.35">
      <c r="A1957" t="s">
        <v>15</v>
      </c>
      <c r="B1957" t="s">
        <v>5</v>
      </c>
      <c r="C1957" t="s">
        <v>36</v>
      </c>
      <c r="D1957">
        <f ca="1">'2BAS Calcs'!N1957</f>
        <v>9.3772409691214929</v>
      </c>
    </row>
    <row r="1958" spans="1:4" x14ac:dyDescent="0.35">
      <c r="A1958" t="s">
        <v>16</v>
      </c>
      <c r="B1958" t="s">
        <v>5</v>
      </c>
      <c r="C1958" t="s">
        <v>36</v>
      </c>
      <c r="D1958">
        <f ca="1">'2BAS Calcs'!N1958</f>
        <v>7.1817202174687482</v>
      </c>
    </row>
    <row r="1959" spans="1:4" x14ac:dyDescent="0.35">
      <c r="A1959" t="s">
        <v>17</v>
      </c>
      <c r="B1959" t="s">
        <v>5</v>
      </c>
      <c r="C1959" t="s">
        <v>36</v>
      </c>
      <c r="D1959">
        <f ca="1">'2BAS Calcs'!N1959</f>
        <v>2.711008723027089</v>
      </c>
    </row>
    <row r="1960" spans="1:4" x14ac:dyDescent="0.35">
      <c r="A1960" t="s">
        <v>18</v>
      </c>
      <c r="B1960" t="s">
        <v>5</v>
      </c>
      <c r="C1960" t="s">
        <v>36</v>
      </c>
      <c r="D1960">
        <f ca="1">'2BAS Calcs'!N1960</f>
        <v>33.934069603993336</v>
      </c>
    </row>
    <row r="1961" spans="1:4" x14ac:dyDescent="0.35">
      <c r="A1961" t="s">
        <v>19</v>
      </c>
      <c r="B1961" t="s">
        <v>5</v>
      </c>
      <c r="C1961" t="s">
        <v>36</v>
      </c>
      <c r="D1961">
        <f ca="1">'2BAS Calcs'!N1961</f>
        <v>129.99367948360853</v>
      </c>
    </row>
    <row r="1962" spans="1:4" x14ac:dyDescent="0.35">
      <c r="A1962" t="s">
        <v>20</v>
      </c>
      <c r="B1962" t="s">
        <v>5</v>
      </c>
      <c r="C1962" t="s">
        <v>36</v>
      </c>
      <c r="D1962">
        <f ca="1">'2BAS Calcs'!N1962</f>
        <v>69.698645609295411</v>
      </c>
    </row>
    <row r="1963" spans="1:4" x14ac:dyDescent="0.35">
      <c r="A1963" t="s">
        <v>21</v>
      </c>
      <c r="B1963" t="s">
        <v>5</v>
      </c>
      <c r="C1963" t="s">
        <v>36</v>
      </c>
      <c r="D1963">
        <f ca="1">'2BAS Calcs'!N1963</f>
        <v>111.23119874411</v>
      </c>
    </row>
    <row r="1964" spans="1:4" x14ac:dyDescent="0.35">
      <c r="A1964" t="s">
        <v>22</v>
      </c>
      <c r="B1964" t="s">
        <v>5</v>
      </c>
      <c r="C1964" t="s">
        <v>36</v>
      </c>
      <c r="D1964">
        <f ca="1">'2BAS Calcs'!N1964</f>
        <v>42.20497320097062</v>
      </c>
    </row>
    <row r="1965" spans="1:4" x14ac:dyDescent="0.35">
      <c r="A1965" t="s">
        <v>23</v>
      </c>
      <c r="B1965" t="s">
        <v>5</v>
      </c>
      <c r="C1965" t="s">
        <v>36</v>
      </c>
      <c r="D1965">
        <f ca="1">'2BAS Calcs'!N1965</f>
        <v>2.8214956990978003E-7</v>
      </c>
    </row>
    <row r="1966" spans="1:4" x14ac:dyDescent="0.35">
      <c r="A1966" t="s">
        <v>24</v>
      </c>
      <c r="B1966" t="s">
        <v>5</v>
      </c>
      <c r="C1966" t="s">
        <v>36</v>
      </c>
      <c r="D1966">
        <f ca="1">'2BAS Calcs'!N1966</f>
        <v>8.261866739478311</v>
      </c>
    </row>
    <row r="1967" spans="1:4" x14ac:dyDescent="0.35">
      <c r="A1967" t="s">
        <v>25</v>
      </c>
      <c r="B1967" t="s">
        <v>5</v>
      </c>
      <c r="C1967" t="s">
        <v>36</v>
      </c>
      <c r="D1967">
        <f ca="1">'2BAS Calcs'!N1967</f>
        <v>0.72285752319976837</v>
      </c>
    </row>
    <row r="1968" spans="1:4" x14ac:dyDescent="0.35">
      <c r="A1968" t="s">
        <v>26</v>
      </c>
      <c r="B1968" t="s">
        <v>5</v>
      </c>
      <c r="C1968" t="s">
        <v>36</v>
      </c>
      <c r="D1968">
        <f ca="1">'2BAS Calcs'!N1968</f>
        <v>2.8214956990978003E-7</v>
      </c>
    </row>
    <row r="1969" spans="1:4" x14ac:dyDescent="0.35">
      <c r="A1969" t="s">
        <v>27</v>
      </c>
      <c r="B1969" t="s">
        <v>5</v>
      </c>
      <c r="C1969" t="s">
        <v>36</v>
      </c>
      <c r="D1969">
        <f ca="1">'2BAS Calcs'!N1969</f>
        <v>2.8214956990978003E-7</v>
      </c>
    </row>
    <row r="1970" spans="1:4" x14ac:dyDescent="0.35">
      <c r="A1970" t="s">
        <v>28</v>
      </c>
      <c r="B1970" t="s">
        <v>5</v>
      </c>
      <c r="C1970" t="s">
        <v>36</v>
      </c>
      <c r="D1970">
        <f ca="1">'2BAS Calcs'!N1970</f>
        <v>2.8214956990978003E-7</v>
      </c>
    </row>
    <row r="1971" spans="1:4" x14ac:dyDescent="0.35">
      <c r="A1971" t="s">
        <v>29</v>
      </c>
      <c r="B1971" t="s">
        <v>5</v>
      </c>
      <c r="C1971" t="s">
        <v>36</v>
      </c>
      <c r="D1971">
        <f ca="1">'2BAS Calcs'!N1971</f>
        <v>2.8214956990978003E-7</v>
      </c>
    </row>
    <row r="1972" spans="1:4" x14ac:dyDescent="0.35">
      <c r="A1972" t="s">
        <v>30</v>
      </c>
      <c r="B1972" t="s">
        <v>5</v>
      </c>
      <c r="C1972" t="s">
        <v>36</v>
      </c>
      <c r="D1972">
        <f ca="1">'2BAS Calcs'!N1972</f>
        <v>2.8214956990978003E-7</v>
      </c>
    </row>
    <row r="1973" spans="1:4" x14ac:dyDescent="0.35">
      <c r="A1973" t="s">
        <v>31</v>
      </c>
      <c r="B1973" t="s">
        <v>5</v>
      </c>
      <c r="C1973" t="s">
        <v>36</v>
      </c>
      <c r="D1973">
        <f ca="1">'2BAS Calcs'!N1973</f>
        <v>2.8214956990978003E-7</v>
      </c>
    </row>
    <row r="1974" spans="1:4" x14ac:dyDescent="0.35">
      <c r="A1974" t="s">
        <v>32</v>
      </c>
      <c r="B1974" t="s">
        <v>5</v>
      </c>
      <c r="C1974" t="s">
        <v>36</v>
      </c>
      <c r="D1974">
        <f ca="1">'2BAS Calcs'!N1974</f>
        <v>2.8214956990978003E-7</v>
      </c>
    </row>
    <row r="1975" spans="1:4" x14ac:dyDescent="0.35">
      <c r="A1975" t="s">
        <v>33</v>
      </c>
      <c r="B1975" t="s">
        <v>5</v>
      </c>
      <c r="C1975" t="s">
        <v>36</v>
      </c>
      <c r="D1975">
        <f ca="1">'2BAS Calcs'!N1975</f>
        <v>2.8214956990978003E-7</v>
      </c>
    </row>
    <row r="1976" spans="1:4" x14ac:dyDescent="0.35">
      <c r="A1976" t="s">
        <v>34</v>
      </c>
      <c r="B1976" t="s">
        <v>5</v>
      </c>
      <c r="C1976" t="s">
        <v>36</v>
      </c>
      <c r="D1976">
        <f ca="1">'2BAS Calcs'!N1976</f>
        <v>2.8214956990978003E-7</v>
      </c>
    </row>
    <row r="1977" spans="1:4" x14ac:dyDescent="0.35">
      <c r="A1977" t="s">
        <v>35</v>
      </c>
      <c r="B1977" t="s">
        <v>5</v>
      </c>
      <c r="C1977" t="s">
        <v>36</v>
      </c>
      <c r="D1977">
        <f ca="1">'2BAS Calcs'!N1977</f>
        <v>2.8214956990978003E-7</v>
      </c>
    </row>
    <row r="1978" spans="1:4" x14ac:dyDescent="0.35">
      <c r="A1978" t="s">
        <v>36</v>
      </c>
      <c r="B1978" t="s">
        <v>5</v>
      </c>
      <c r="C1978" t="s">
        <v>36</v>
      </c>
      <c r="D1978">
        <f ca="1">'2BAS Calcs'!N1978</f>
        <v>2.8214956990978003E-7</v>
      </c>
    </row>
    <row r="1979" spans="1:4" x14ac:dyDescent="0.35">
      <c r="A1979" t="s">
        <v>37</v>
      </c>
      <c r="B1979" t="s">
        <v>5</v>
      </c>
      <c r="C1979" t="s">
        <v>36</v>
      </c>
      <c r="D1979">
        <f ca="1">'2BAS Calcs'!N1979</f>
        <v>2.8214956990978003E-7</v>
      </c>
    </row>
    <row r="1980" spans="1:4" x14ac:dyDescent="0.35">
      <c r="A1980" t="s">
        <v>38</v>
      </c>
      <c r="B1980" t="s">
        <v>5</v>
      </c>
      <c r="C1980" t="s">
        <v>36</v>
      </c>
      <c r="D1980">
        <f ca="1">'2BAS Calcs'!N1980</f>
        <v>2.8214956990978003E-7</v>
      </c>
    </row>
    <row r="1981" spans="1:4" x14ac:dyDescent="0.35">
      <c r="A1981" t="s">
        <v>39</v>
      </c>
      <c r="B1981" t="s">
        <v>5</v>
      </c>
      <c r="C1981" t="s">
        <v>36</v>
      </c>
      <c r="D1981">
        <f ca="1">'2BAS Calcs'!N1981</f>
        <v>2.8214956990978003E-7</v>
      </c>
    </row>
    <row r="1982" spans="1:4" x14ac:dyDescent="0.35">
      <c r="A1982" t="s">
        <v>7</v>
      </c>
      <c r="B1982" t="s">
        <v>4</v>
      </c>
      <c r="C1982" t="s">
        <v>37</v>
      </c>
      <c r="D1982">
        <f ca="1">'2BAS Calcs'!N1982</f>
        <v>8.1040955552872801E-3</v>
      </c>
    </row>
    <row r="1983" spans="1:4" x14ac:dyDescent="0.35">
      <c r="A1983" t="s">
        <v>8</v>
      </c>
      <c r="B1983" t="s">
        <v>4</v>
      </c>
      <c r="C1983" t="s">
        <v>37</v>
      </c>
      <c r="D1983">
        <f ca="1">'2BAS Calcs'!N1983</f>
        <v>1.413692316708795E-2</v>
      </c>
    </row>
    <row r="1984" spans="1:4" x14ac:dyDescent="0.35">
      <c r="A1984" t="s">
        <v>9</v>
      </c>
      <c r="B1984" t="s">
        <v>4</v>
      </c>
      <c r="C1984" t="s">
        <v>37</v>
      </c>
      <c r="D1984">
        <f ca="1">'2BAS Calcs'!N1984</f>
        <v>2.3803593776369234E-2</v>
      </c>
    </row>
    <row r="1985" spans="1:4" x14ac:dyDescent="0.35">
      <c r="A1985" t="s">
        <v>10</v>
      </c>
      <c r="B1985" t="s">
        <v>4</v>
      </c>
      <c r="C1985" t="s">
        <v>37</v>
      </c>
      <c r="D1985">
        <f ca="1">'2BAS Calcs'!N1985</f>
        <v>0.12398942159722368</v>
      </c>
    </row>
    <row r="1986" spans="1:4" x14ac:dyDescent="0.35">
      <c r="A1986" t="s">
        <v>11</v>
      </c>
      <c r="B1986" t="s">
        <v>4</v>
      </c>
      <c r="C1986" t="s">
        <v>37</v>
      </c>
      <c r="D1986">
        <f ca="1">'2BAS Calcs'!N1986</f>
        <v>8.7980638714492475E-4</v>
      </c>
    </row>
    <row r="1987" spans="1:4" x14ac:dyDescent="0.35">
      <c r="A1987" t="s">
        <v>12</v>
      </c>
      <c r="B1987" t="s">
        <v>4</v>
      </c>
      <c r="C1987" t="s">
        <v>37</v>
      </c>
      <c r="D1987">
        <f ca="1">'2BAS Calcs'!N1987</f>
        <v>5.4160160175500075E-3</v>
      </c>
    </row>
    <row r="1988" spans="1:4" x14ac:dyDescent="0.35">
      <c r="A1988" t="s">
        <v>13</v>
      </c>
      <c r="B1988" t="s">
        <v>4</v>
      </c>
      <c r="C1988" t="s">
        <v>37</v>
      </c>
      <c r="D1988">
        <f ca="1">'2BAS Calcs'!N1988</f>
        <v>0.1084047005631331</v>
      </c>
    </row>
    <row r="1989" spans="1:4" x14ac:dyDescent="0.35">
      <c r="A1989" t="s">
        <v>14</v>
      </c>
      <c r="B1989" t="s">
        <v>4</v>
      </c>
      <c r="C1989" t="s">
        <v>37</v>
      </c>
      <c r="D1989">
        <f ca="1">'2BAS Calcs'!N1989</f>
        <v>1.6518788468056978E-2</v>
      </c>
    </row>
    <row r="1990" spans="1:4" x14ac:dyDescent="0.35">
      <c r="A1990" t="s">
        <v>15</v>
      </c>
      <c r="B1990" t="s">
        <v>4</v>
      </c>
      <c r="C1990" t="s">
        <v>37</v>
      </c>
      <c r="D1990">
        <f ca="1">'2BAS Calcs'!N1990</f>
        <v>0.10286580968602993</v>
      </c>
    </row>
    <row r="1991" spans="1:4" x14ac:dyDescent="0.35">
      <c r="A1991" t="s">
        <v>16</v>
      </c>
      <c r="B1991" t="s">
        <v>4</v>
      </c>
      <c r="C1991" t="s">
        <v>37</v>
      </c>
      <c r="D1991">
        <f ca="1">'2BAS Calcs'!N1991</f>
        <v>0.16102649911085717</v>
      </c>
    </row>
    <row r="1992" spans="1:4" x14ac:dyDescent="0.35">
      <c r="A1992" t="s">
        <v>17</v>
      </c>
      <c r="B1992" t="s">
        <v>4</v>
      </c>
      <c r="C1992" t="s">
        <v>37</v>
      </c>
      <c r="D1992">
        <f ca="1">'2BAS Calcs'!N1992</f>
        <v>0.14917103711741417</v>
      </c>
    </row>
    <row r="1993" spans="1:4" x14ac:dyDescent="0.35">
      <c r="A1993" t="s">
        <v>18</v>
      </c>
      <c r="B1993" t="s">
        <v>4</v>
      </c>
      <c r="C1993" t="s">
        <v>37</v>
      </c>
      <c r="D1993">
        <f ca="1">'2BAS Calcs'!N1993</f>
        <v>0.43629947022336873</v>
      </c>
    </row>
    <row r="1994" spans="1:4" x14ac:dyDescent="0.35">
      <c r="A1994" t="s">
        <v>19</v>
      </c>
      <c r="B1994" t="s">
        <v>4</v>
      </c>
      <c r="C1994" t="s">
        <v>37</v>
      </c>
      <c r="D1994">
        <f ca="1">'2BAS Calcs'!N1994</f>
        <v>0.63150908794858085</v>
      </c>
    </row>
    <row r="1995" spans="1:4" x14ac:dyDescent="0.35">
      <c r="A1995" t="s">
        <v>20</v>
      </c>
      <c r="B1995" t="s">
        <v>4</v>
      </c>
      <c r="C1995" t="s">
        <v>37</v>
      </c>
      <c r="D1995">
        <f ca="1">'2BAS Calcs'!N1995</f>
        <v>0.1313676015387637</v>
      </c>
    </row>
    <row r="1996" spans="1:4" x14ac:dyDescent="0.35">
      <c r="A1996" t="s">
        <v>21</v>
      </c>
      <c r="B1996" t="s">
        <v>4</v>
      </c>
      <c r="C1996" t="s">
        <v>37</v>
      </c>
      <c r="D1996">
        <f ca="1">'2BAS Calcs'!N1996</f>
        <v>0.18976154129058823</v>
      </c>
    </row>
    <row r="1997" spans="1:4" x14ac:dyDescent="0.35">
      <c r="A1997" t="s">
        <v>22</v>
      </c>
      <c r="B1997" t="s">
        <v>4</v>
      </c>
      <c r="C1997" t="s">
        <v>37</v>
      </c>
      <c r="D1997">
        <f ca="1">'2BAS Calcs'!N1997</f>
        <v>0.51670835574633722</v>
      </c>
    </row>
    <row r="1998" spans="1:4" x14ac:dyDescent="0.35">
      <c r="A1998" t="s">
        <v>23</v>
      </c>
      <c r="B1998" t="s">
        <v>4</v>
      </c>
      <c r="C1998" t="s">
        <v>37</v>
      </c>
      <c r="D1998">
        <f ca="1">'2BAS Calcs'!N1998</f>
        <v>1.1790942060244956E-8</v>
      </c>
    </row>
    <row r="1999" spans="1:4" x14ac:dyDescent="0.35">
      <c r="A1999" t="s">
        <v>24</v>
      </c>
      <c r="B1999" t="s">
        <v>4</v>
      </c>
      <c r="C1999" t="s">
        <v>37</v>
      </c>
      <c r="D1999">
        <f ca="1">'2BAS Calcs'!N1999</f>
        <v>17.164245373733358</v>
      </c>
    </row>
    <row r="2000" spans="1:4" x14ac:dyDescent="0.35">
      <c r="A2000" t="s">
        <v>25</v>
      </c>
      <c r="B2000" t="s">
        <v>4</v>
      </c>
      <c r="C2000" t="s">
        <v>37</v>
      </c>
      <c r="D2000">
        <f ca="1">'2BAS Calcs'!N2000</f>
        <v>2.7444484002313874</v>
      </c>
    </row>
    <row r="2001" spans="1:4" x14ac:dyDescent="0.35">
      <c r="A2001" t="s">
        <v>26</v>
      </c>
      <c r="B2001" t="s">
        <v>4</v>
      </c>
      <c r="C2001" t="s">
        <v>37</v>
      </c>
      <c r="D2001">
        <f ca="1">'2BAS Calcs'!N2001</f>
        <v>1.1790942060244956E-8</v>
      </c>
    </row>
    <row r="2002" spans="1:4" x14ac:dyDescent="0.35">
      <c r="A2002" t="s">
        <v>27</v>
      </c>
      <c r="B2002" t="s">
        <v>4</v>
      </c>
      <c r="C2002" t="s">
        <v>37</v>
      </c>
      <c r="D2002">
        <f ca="1">'2BAS Calcs'!N2002</f>
        <v>1.1790942060244956E-8</v>
      </c>
    </row>
    <row r="2003" spans="1:4" x14ac:dyDescent="0.35">
      <c r="A2003" t="s">
        <v>28</v>
      </c>
      <c r="B2003" t="s">
        <v>4</v>
      </c>
      <c r="C2003" t="s">
        <v>37</v>
      </c>
      <c r="D2003">
        <f ca="1">'2BAS Calcs'!N2003</f>
        <v>1.1790942060244956E-8</v>
      </c>
    </row>
    <row r="2004" spans="1:4" x14ac:dyDescent="0.35">
      <c r="A2004" t="s">
        <v>29</v>
      </c>
      <c r="B2004" t="s">
        <v>4</v>
      </c>
      <c r="C2004" t="s">
        <v>37</v>
      </c>
      <c r="D2004">
        <f ca="1">'2BAS Calcs'!N2004</f>
        <v>1.1790942060244956E-8</v>
      </c>
    </row>
    <row r="2005" spans="1:4" x14ac:dyDescent="0.35">
      <c r="A2005" t="s">
        <v>30</v>
      </c>
      <c r="B2005" t="s">
        <v>4</v>
      </c>
      <c r="C2005" t="s">
        <v>37</v>
      </c>
      <c r="D2005">
        <f ca="1">'2BAS Calcs'!N2005</f>
        <v>1.1790942060244956E-8</v>
      </c>
    </row>
    <row r="2006" spans="1:4" x14ac:dyDescent="0.35">
      <c r="A2006" t="s">
        <v>31</v>
      </c>
      <c r="B2006" t="s">
        <v>4</v>
      </c>
      <c r="C2006" t="s">
        <v>37</v>
      </c>
      <c r="D2006">
        <f ca="1">'2BAS Calcs'!N2006</f>
        <v>1.1790942060244956E-8</v>
      </c>
    </row>
    <row r="2007" spans="1:4" x14ac:dyDescent="0.35">
      <c r="A2007" t="s">
        <v>32</v>
      </c>
      <c r="B2007" t="s">
        <v>4</v>
      </c>
      <c r="C2007" t="s">
        <v>37</v>
      </c>
      <c r="D2007">
        <f ca="1">'2BAS Calcs'!N2007</f>
        <v>1.1790942060244956E-8</v>
      </c>
    </row>
    <row r="2008" spans="1:4" x14ac:dyDescent="0.35">
      <c r="A2008" t="s">
        <v>33</v>
      </c>
      <c r="B2008" t="s">
        <v>4</v>
      </c>
      <c r="C2008" t="s">
        <v>37</v>
      </c>
      <c r="D2008">
        <f ca="1">'2BAS Calcs'!N2008</f>
        <v>1.1790942060244956E-8</v>
      </c>
    </row>
    <row r="2009" spans="1:4" x14ac:dyDescent="0.35">
      <c r="A2009" t="s">
        <v>34</v>
      </c>
      <c r="B2009" t="s">
        <v>4</v>
      </c>
      <c r="C2009" t="s">
        <v>37</v>
      </c>
      <c r="D2009">
        <f ca="1">'2BAS Calcs'!N2009</f>
        <v>1.1790942060244956E-8</v>
      </c>
    </row>
    <row r="2010" spans="1:4" x14ac:dyDescent="0.35">
      <c r="A2010" t="s">
        <v>35</v>
      </c>
      <c r="B2010" t="s">
        <v>4</v>
      </c>
      <c r="C2010" t="s">
        <v>37</v>
      </c>
      <c r="D2010">
        <f ca="1">'2BAS Calcs'!N2010</f>
        <v>1.1790942060244956E-8</v>
      </c>
    </row>
    <row r="2011" spans="1:4" x14ac:dyDescent="0.35">
      <c r="A2011" t="s">
        <v>36</v>
      </c>
      <c r="B2011" t="s">
        <v>4</v>
      </c>
      <c r="C2011" t="s">
        <v>37</v>
      </c>
      <c r="D2011">
        <f ca="1">'2BAS Calcs'!N2011</f>
        <v>1.1790942060244956E-8</v>
      </c>
    </row>
    <row r="2012" spans="1:4" x14ac:dyDescent="0.35">
      <c r="A2012" t="s">
        <v>37</v>
      </c>
      <c r="B2012" t="s">
        <v>4</v>
      </c>
      <c r="C2012" t="s">
        <v>37</v>
      </c>
      <c r="D2012">
        <f ca="1">'2BAS Calcs'!N2012</f>
        <v>1.1790942060244956E-8</v>
      </c>
    </row>
    <row r="2013" spans="1:4" x14ac:dyDescent="0.35">
      <c r="A2013" t="s">
        <v>38</v>
      </c>
      <c r="B2013" t="s">
        <v>4</v>
      </c>
      <c r="C2013" t="s">
        <v>37</v>
      </c>
      <c r="D2013">
        <f ca="1">'2BAS Calcs'!N2013</f>
        <v>1.1790942060244956E-8</v>
      </c>
    </row>
    <row r="2014" spans="1:4" x14ac:dyDescent="0.35">
      <c r="A2014" t="s">
        <v>39</v>
      </c>
      <c r="B2014" t="s">
        <v>4</v>
      </c>
      <c r="C2014" t="s">
        <v>37</v>
      </c>
      <c r="D2014">
        <f ca="1">'2BAS Calcs'!N2014</f>
        <v>1.1790942060244956E-8</v>
      </c>
    </row>
    <row r="2015" spans="1:4" x14ac:dyDescent="0.35">
      <c r="A2015" t="s">
        <v>7</v>
      </c>
      <c r="B2015" t="s">
        <v>5</v>
      </c>
      <c r="C2015" t="s">
        <v>37</v>
      </c>
      <c r="D2015">
        <f ca="1">'2BAS Calcs'!N2015</f>
        <v>0.10908772122797608</v>
      </c>
    </row>
    <row r="2016" spans="1:4" x14ac:dyDescent="0.35">
      <c r="A2016" t="s">
        <v>8</v>
      </c>
      <c r="B2016" t="s">
        <v>5</v>
      </c>
      <c r="C2016" t="s">
        <v>37</v>
      </c>
      <c r="D2016">
        <f ca="1">'2BAS Calcs'!N2016</f>
        <v>0.17210024601983318</v>
      </c>
    </row>
    <row r="2017" spans="1:4" x14ac:dyDescent="0.35">
      <c r="A2017" t="s">
        <v>9</v>
      </c>
      <c r="B2017" t="s">
        <v>5</v>
      </c>
      <c r="C2017" t="s">
        <v>37</v>
      </c>
      <c r="D2017">
        <f ca="1">'2BAS Calcs'!N2017</f>
        <v>4.3064760429182065E-2</v>
      </c>
    </row>
    <row r="2018" spans="1:4" x14ac:dyDescent="0.35">
      <c r="A2018" t="s">
        <v>10</v>
      </c>
      <c r="B2018" t="s">
        <v>5</v>
      </c>
      <c r="C2018" t="s">
        <v>37</v>
      </c>
      <c r="D2018">
        <f ca="1">'2BAS Calcs'!N2018</f>
        <v>0.84510354426514345</v>
      </c>
    </row>
    <row r="2019" spans="1:4" x14ac:dyDescent="0.35">
      <c r="A2019" t="s">
        <v>11</v>
      </c>
      <c r="B2019" t="s">
        <v>5</v>
      </c>
      <c r="C2019" t="s">
        <v>37</v>
      </c>
      <c r="D2019">
        <f ca="1">'2BAS Calcs'!N2019</f>
        <v>0.44044217303603739</v>
      </c>
    </row>
    <row r="2020" spans="1:4" x14ac:dyDescent="0.35">
      <c r="A2020" t="s">
        <v>12</v>
      </c>
      <c r="B2020" t="s">
        <v>5</v>
      </c>
      <c r="C2020" t="s">
        <v>37</v>
      </c>
      <c r="D2020">
        <f ca="1">'2BAS Calcs'!N2020</f>
        <v>7.8835926068928051E-3</v>
      </c>
    </row>
    <row r="2021" spans="1:4" x14ac:dyDescent="0.35">
      <c r="A2021" t="s">
        <v>13</v>
      </c>
      <c r="B2021" t="s">
        <v>5</v>
      </c>
      <c r="C2021" t="s">
        <v>37</v>
      </c>
      <c r="D2021">
        <f ca="1">'2BAS Calcs'!N2021</f>
        <v>0.11352293805738797</v>
      </c>
    </row>
    <row r="2022" spans="1:4" x14ac:dyDescent="0.35">
      <c r="A2022" t="s">
        <v>14</v>
      </c>
      <c r="B2022" t="s">
        <v>5</v>
      </c>
      <c r="C2022" t="s">
        <v>37</v>
      </c>
      <c r="D2022">
        <f ca="1">'2BAS Calcs'!N2022</f>
        <v>2.8586410708102503E-2</v>
      </c>
    </row>
    <row r="2023" spans="1:4" x14ac:dyDescent="0.35">
      <c r="A2023" t="s">
        <v>15</v>
      </c>
      <c r="B2023" t="s">
        <v>5</v>
      </c>
      <c r="C2023" t="s">
        <v>37</v>
      </c>
      <c r="D2023">
        <f ca="1">'2BAS Calcs'!N2023</f>
        <v>0.39187195992260931</v>
      </c>
    </row>
    <row r="2024" spans="1:4" x14ac:dyDescent="0.35">
      <c r="A2024" t="s">
        <v>16</v>
      </c>
      <c r="B2024" t="s">
        <v>5</v>
      </c>
      <c r="C2024" t="s">
        <v>37</v>
      </c>
      <c r="D2024">
        <f ca="1">'2BAS Calcs'!N2024</f>
        <v>0.30012183610324411</v>
      </c>
    </row>
    <row r="2025" spans="1:4" x14ac:dyDescent="0.35">
      <c r="A2025" t="s">
        <v>17</v>
      </c>
      <c r="B2025" t="s">
        <v>5</v>
      </c>
      <c r="C2025" t="s">
        <v>37</v>
      </c>
      <c r="D2025">
        <f ca="1">'2BAS Calcs'!N2025</f>
        <v>0.11329220451497511</v>
      </c>
    </row>
    <row r="2026" spans="1:4" x14ac:dyDescent="0.35">
      <c r="A2026" t="s">
        <v>18</v>
      </c>
      <c r="B2026" t="s">
        <v>5</v>
      </c>
      <c r="C2026" t="s">
        <v>37</v>
      </c>
      <c r="D2026">
        <f ca="1">'2BAS Calcs'!N2026</f>
        <v>1.4180941289293665</v>
      </c>
    </row>
    <row r="2027" spans="1:4" x14ac:dyDescent="0.35">
      <c r="A2027" t="s">
        <v>19</v>
      </c>
      <c r="B2027" t="s">
        <v>5</v>
      </c>
      <c r="C2027" t="s">
        <v>37</v>
      </c>
      <c r="D2027">
        <f ca="1">'2BAS Calcs'!N2027</f>
        <v>5.432395106890973</v>
      </c>
    </row>
    <row r="2028" spans="1:4" x14ac:dyDescent="0.35">
      <c r="A2028" t="s">
        <v>20</v>
      </c>
      <c r="B2028" t="s">
        <v>5</v>
      </c>
      <c r="C2028" t="s">
        <v>37</v>
      </c>
      <c r="D2028">
        <f ca="1">'2BAS Calcs'!N2028</f>
        <v>2.9126845464252558</v>
      </c>
    </row>
    <row r="2029" spans="1:4" x14ac:dyDescent="0.35">
      <c r="A2029" t="s">
        <v>21</v>
      </c>
      <c r="B2029" t="s">
        <v>5</v>
      </c>
      <c r="C2029" t="s">
        <v>37</v>
      </c>
      <c r="D2029">
        <f ca="1">'2BAS Calcs'!N2029</f>
        <v>4.6483169196492602</v>
      </c>
    </row>
    <row r="2030" spans="1:4" x14ac:dyDescent="0.35">
      <c r="A2030" t="s">
        <v>22</v>
      </c>
      <c r="B2030" t="s">
        <v>5</v>
      </c>
      <c r="C2030" t="s">
        <v>37</v>
      </c>
      <c r="D2030">
        <f ca="1">'2BAS Calcs'!N2030</f>
        <v>1.7637325969554358</v>
      </c>
    </row>
    <row r="2031" spans="1:4" x14ac:dyDescent="0.35">
      <c r="A2031" t="s">
        <v>23</v>
      </c>
      <c r="B2031" t="s">
        <v>5</v>
      </c>
      <c r="C2031" t="s">
        <v>37</v>
      </c>
      <c r="D2031">
        <f ca="1">'2BAS Calcs'!N2031</f>
        <v>1.1790942060244956E-8</v>
      </c>
    </row>
    <row r="2032" spans="1:4" x14ac:dyDescent="0.35">
      <c r="A2032" t="s">
        <v>24</v>
      </c>
      <c r="B2032" t="s">
        <v>5</v>
      </c>
      <c r="C2032" t="s">
        <v>37</v>
      </c>
      <c r="D2032">
        <f ca="1">'2BAS Calcs'!N2032</f>
        <v>0.34526082058463914</v>
      </c>
    </row>
    <row r="2033" spans="1:4" x14ac:dyDescent="0.35">
      <c r="A2033" t="s">
        <v>25</v>
      </c>
      <c r="B2033" t="s">
        <v>5</v>
      </c>
      <c r="C2033" t="s">
        <v>37</v>
      </c>
      <c r="D2033">
        <f ca="1">'2BAS Calcs'!N2033</f>
        <v>3.0207989246930293E-2</v>
      </c>
    </row>
    <row r="2034" spans="1:4" x14ac:dyDescent="0.35">
      <c r="A2034" t="s">
        <v>26</v>
      </c>
      <c r="B2034" t="s">
        <v>5</v>
      </c>
      <c r="C2034" t="s">
        <v>37</v>
      </c>
      <c r="D2034">
        <f ca="1">'2BAS Calcs'!N2034</f>
        <v>1.1790942060244956E-8</v>
      </c>
    </row>
    <row r="2035" spans="1:4" x14ac:dyDescent="0.35">
      <c r="A2035" t="s">
        <v>27</v>
      </c>
      <c r="B2035" t="s">
        <v>5</v>
      </c>
      <c r="C2035" t="s">
        <v>37</v>
      </c>
      <c r="D2035">
        <f ca="1">'2BAS Calcs'!N2035</f>
        <v>1.1790942060244956E-8</v>
      </c>
    </row>
    <row r="2036" spans="1:4" x14ac:dyDescent="0.35">
      <c r="A2036" t="s">
        <v>28</v>
      </c>
      <c r="B2036" t="s">
        <v>5</v>
      </c>
      <c r="C2036" t="s">
        <v>37</v>
      </c>
      <c r="D2036">
        <f ca="1">'2BAS Calcs'!N2036</f>
        <v>1.1790942060244956E-8</v>
      </c>
    </row>
    <row r="2037" spans="1:4" x14ac:dyDescent="0.35">
      <c r="A2037" t="s">
        <v>29</v>
      </c>
      <c r="B2037" t="s">
        <v>5</v>
      </c>
      <c r="C2037" t="s">
        <v>37</v>
      </c>
      <c r="D2037">
        <f ca="1">'2BAS Calcs'!N2037</f>
        <v>1.1790942060244956E-8</v>
      </c>
    </row>
    <row r="2038" spans="1:4" x14ac:dyDescent="0.35">
      <c r="A2038" t="s">
        <v>30</v>
      </c>
      <c r="B2038" t="s">
        <v>5</v>
      </c>
      <c r="C2038" t="s">
        <v>37</v>
      </c>
      <c r="D2038">
        <f ca="1">'2BAS Calcs'!N2038</f>
        <v>1.1790942060244956E-8</v>
      </c>
    </row>
    <row r="2039" spans="1:4" x14ac:dyDescent="0.35">
      <c r="A2039" t="s">
        <v>31</v>
      </c>
      <c r="B2039" t="s">
        <v>5</v>
      </c>
      <c r="C2039" t="s">
        <v>37</v>
      </c>
      <c r="D2039">
        <f ca="1">'2BAS Calcs'!N2039</f>
        <v>1.1790942060244956E-8</v>
      </c>
    </row>
    <row r="2040" spans="1:4" x14ac:dyDescent="0.35">
      <c r="A2040" t="s">
        <v>32</v>
      </c>
      <c r="B2040" t="s">
        <v>5</v>
      </c>
      <c r="C2040" t="s">
        <v>37</v>
      </c>
      <c r="D2040">
        <f ca="1">'2BAS Calcs'!N2040</f>
        <v>1.1790942060244956E-8</v>
      </c>
    </row>
    <row r="2041" spans="1:4" x14ac:dyDescent="0.35">
      <c r="A2041" t="s">
        <v>33</v>
      </c>
      <c r="B2041" t="s">
        <v>5</v>
      </c>
      <c r="C2041" t="s">
        <v>37</v>
      </c>
      <c r="D2041">
        <f ca="1">'2BAS Calcs'!N2041</f>
        <v>1.1790942060244956E-8</v>
      </c>
    </row>
    <row r="2042" spans="1:4" x14ac:dyDescent="0.35">
      <c r="A2042" t="s">
        <v>34</v>
      </c>
      <c r="B2042" t="s">
        <v>5</v>
      </c>
      <c r="C2042" t="s">
        <v>37</v>
      </c>
      <c r="D2042">
        <f ca="1">'2BAS Calcs'!N2042</f>
        <v>1.1790942060244956E-8</v>
      </c>
    </row>
    <row r="2043" spans="1:4" x14ac:dyDescent="0.35">
      <c r="A2043" t="s">
        <v>35</v>
      </c>
      <c r="B2043" t="s">
        <v>5</v>
      </c>
      <c r="C2043" t="s">
        <v>37</v>
      </c>
      <c r="D2043">
        <f ca="1">'2BAS Calcs'!N2043</f>
        <v>1.1790942060244956E-8</v>
      </c>
    </row>
    <row r="2044" spans="1:4" x14ac:dyDescent="0.35">
      <c r="A2044" t="s">
        <v>36</v>
      </c>
      <c r="B2044" t="s">
        <v>5</v>
      </c>
      <c r="C2044" t="s">
        <v>37</v>
      </c>
      <c r="D2044">
        <f ca="1">'2BAS Calcs'!N2044</f>
        <v>1.1790942060244956E-8</v>
      </c>
    </row>
    <row r="2045" spans="1:4" x14ac:dyDescent="0.35">
      <c r="A2045" t="s">
        <v>37</v>
      </c>
      <c r="B2045" t="s">
        <v>5</v>
      </c>
      <c r="C2045" t="s">
        <v>37</v>
      </c>
      <c r="D2045">
        <f ca="1">'2BAS Calcs'!N2045</f>
        <v>1.1790942060244956E-8</v>
      </c>
    </row>
    <row r="2046" spans="1:4" x14ac:dyDescent="0.35">
      <c r="A2046" t="s">
        <v>38</v>
      </c>
      <c r="B2046" t="s">
        <v>5</v>
      </c>
      <c r="C2046" t="s">
        <v>37</v>
      </c>
      <c r="D2046">
        <f ca="1">'2BAS Calcs'!N2046</f>
        <v>1.1790942060244956E-8</v>
      </c>
    </row>
    <row r="2047" spans="1:4" x14ac:dyDescent="0.35">
      <c r="A2047" t="s">
        <v>39</v>
      </c>
      <c r="B2047" t="s">
        <v>5</v>
      </c>
      <c r="C2047" t="s">
        <v>37</v>
      </c>
      <c r="D2047">
        <f ca="1">'2BAS Calcs'!N2047</f>
        <v>1.1790942060244956E-8</v>
      </c>
    </row>
    <row r="2048" spans="1:4" x14ac:dyDescent="0.35">
      <c r="A2048" t="s">
        <v>7</v>
      </c>
      <c r="B2048" t="s">
        <v>4</v>
      </c>
      <c r="C2048" t="s">
        <v>38</v>
      </c>
      <c r="D2048">
        <f ca="1">'2BAS Calcs'!N2048</f>
        <v>4.6069058447958675E-3</v>
      </c>
    </row>
    <row r="2049" spans="1:4" x14ac:dyDescent="0.35">
      <c r="A2049" t="s">
        <v>8</v>
      </c>
      <c r="B2049" t="s">
        <v>4</v>
      </c>
      <c r="C2049" t="s">
        <v>38</v>
      </c>
      <c r="D2049">
        <f ca="1">'2BAS Calcs'!N2049</f>
        <v>8.0363655045253106E-3</v>
      </c>
    </row>
    <row r="2050" spans="1:4" x14ac:dyDescent="0.35">
      <c r="A2050" t="s">
        <v>9</v>
      </c>
      <c r="B2050" t="s">
        <v>4</v>
      </c>
      <c r="C2050" t="s">
        <v>38</v>
      </c>
      <c r="D2050">
        <f ca="1">'2BAS Calcs'!N2050</f>
        <v>1.3531542730139318E-2</v>
      </c>
    </row>
    <row r="2051" spans="1:4" x14ac:dyDescent="0.35">
      <c r="A2051" t="s">
        <v>10</v>
      </c>
      <c r="B2051" t="s">
        <v>4</v>
      </c>
      <c r="C2051" t="s">
        <v>38</v>
      </c>
      <c r="D2051">
        <f ca="1">'2BAS Calcs'!N2051</f>
        <v>7.0483817367681584E-2</v>
      </c>
    </row>
    <row r="2052" spans="1:4" x14ac:dyDescent="0.35">
      <c r="A2052" t="s">
        <v>11</v>
      </c>
      <c r="B2052" t="s">
        <v>4</v>
      </c>
      <c r="C2052" t="s">
        <v>38</v>
      </c>
      <c r="D2052">
        <f ca="1">'2BAS Calcs'!N2052</f>
        <v>5.001403499718494E-4</v>
      </c>
    </row>
    <row r="2053" spans="1:4" x14ac:dyDescent="0.35">
      <c r="A2053" t="s">
        <v>12</v>
      </c>
      <c r="B2053" t="s">
        <v>4</v>
      </c>
      <c r="C2053" t="s">
        <v>38</v>
      </c>
      <c r="D2053">
        <f ca="1">'2BAS Calcs'!N2053</f>
        <v>3.0788230070264368E-3</v>
      </c>
    </row>
    <row r="2054" spans="1:4" x14ac:dyDescent="0.35">
      <c r="A2054" t="s">
        <v>13</v>
      </c>
      <c r="B2054" t="s">
        <v>4</v>
      </c>
      <c r="C2054" t="s">
        <v>38</v>
      </c>
      <c r="D2054">
        <f ca="1">'2BAS Calcs'!N2054</f>
        <v>6.1624427454068958E-2</v>
      </c>
    </row>
    <row r="2055" spans="1:4" x14ac:dyDescent="0.35">
      <c r="A2055" t="s">
        <v>14</v>
      </c>
      <c r="B2055" t="s">
        <v>4</v>
      </c>
      <c r="C2055" t="s">
        <v>38</v>
      </c>
      <c r="D2055">
        <f ca="1">'2BAS Calcs'!N2055</f>
        <v>9.3903758443209268E-3</v>
      </c>
    </row>
    <row r="2056" spans="1:4" x14ac:dyDescent="0.35">
      <c r="A2056" t="s">
        <v>15</v>
      </c>
      <c r="B2056" t="s">
        <v>4</v>
      </c>
      <c r="C2056" t="s">
        <v>38</v>
      </c>
      <c r="D2056">
        <f ca="1">'2BAS Calcs'!N2056</f>
        <v>5.847575422072275E-2</v>
      </c>
    </row>
    <row r="2057" spans="1:4" x14ac:dyDescent="0.35">
      <c r="A2057" t="s">
        <v>16</v>
      </c>
      <c r="B2057" t="s">
        <v>4</v>
      </c>
      <c r="C2057" t="s">
        <v>38</v>
      </c>
      <c r="D2057">
        <f ca="1">'2BAS Calcs'!N2057</f>
        <v>9.1538150662208884E-2</v>
      </c>
    </row>
    <row r="2058" spans="1:4" x14ac:dyDescent="0.35">
      <c r="A2058" t="s">
        <v>17</v>
      </c>
      <c r="B2058" t="s">
        <v>4</v>
      </c>
      <c r="C2058" t="s">
        <v>38</v>
      </c>
      <c r="D2058">
        <f ca="1">'2BAS Calcs'!N2058</f>
        <v>8.4798719126913794E-2</v>
      </c>
    </row>
    <row r="2059" spans="1:4" x14ac:dyDescent="0.35">
      <c r="A2059" t="s">
        <v>18</v>
      </c>
      <c r="B2059" t="s">
        <v>4</v>
      </c>
      <c r="C2059" t="s">
        <v>38</v>
      </c>
      <c r="D2059">
        <f ca="1">'2BAS Calcs'!N2059</f>
        <v>0.24802157942745609</v>
      </c>
    </row>
    <row r="2060" spans="1:4" x14ac:dyDescent="0.35">
      <c r="A2060" t="s">
        <v>19</v>
      </c>
      <c r="B2060" t="s">
        <v>4</v>
      </c>
      <c r="C2060" t="s">
        <v>38</v>
      </c>
      <c r="D2060">
        <f ca="1">'2BAS Calcs'!N2060</f>
        <v>0.35899168370663337</v>
      </c>
    </row>
    <row r="2061" spans="1:4" x14ac:dyDescent="0.35">
      <c r="A2061" t="s">
        <v>20</v>
      </c>
      <c r="B2061" t="s">
        <v>4</v>
      </c>
      <c r="C2061" t="s">
        <v>38</v>
      </c>
      <c r="D2061">
        <f ca="1">'2BAS Calcs'!N2061</f>
        <v>7.4678064593019428E-2</v>
      </c>
    </row>
    <row r="2062" spans="1:4" x14ac:dyDescent="0.35">
      <c r="A2062" t="s">
        <v>21</v>
      </c>
      <c r="B2062" t="s">
        <v>4</v>
      </c>
      <c r="C2062" t="s">
        <v>38</v>
      </c>
      <c r="D2062">
        <f ca="1">'2BAS Calcs'!N2062</f>
        <v>0.10787305600298951</v>
      </c>
    </row>
    <row r="2063" spans="1:4" x14ac:dyDescent="0.35">
      <c r="A2063" t="s">
        <v>22</v>
      </c>
      <c r="B2063" t="s">
        <v>4</v>
      </c>
      <c r="C2063" t="s">
        <v>38</v>
      </c>
      <c r="D2063">
        <f ca="1">'2BAS Calcs'!N2063</f>
        <v>0.29373132731506646</v>
      </c>
    </row>
    <row r="2064" spans="1:4" x14ac:dyDescent="0.35">
      <c r="A2064" t="s">
        <v>23</v>
      </c>
      <c r="B2064" t="s">
        <v>4</v>
      </c>
      <c r="C2064" t="s">
        <v>38</v>
      </c>
      <c r="D2064">
        <f ca="1">'2BAS Calcs'!N2064</f>
        <v>6.7027541225809677E-9</v>
      </c>
    </row>
    <row r="2065" spans="1:4" x14ac:dyDescent="0.35">
      <c r="A2065" t="s">
        <v>24</v>
      </c>
      <c r="B2065" t="s">
        <v>4</v>
      </c>
      <c r="C2065" t="s">
        <v>38</v>
      </c>
      <c r="D2065">
        <f ca="1">'2BAS Calcs'!N2065</f>
        <v>9.7572963934480104</v>
      </c>
    </row>
    <row r="2066" spans="1:4" x14ac:dyDescent="0.35">
      <c r="A2066" t="s">
        <v>25</v>
      </c>
      <c r="B2066" t="s">
        <v>4</v>
      </c>
      <c r="C2066" t="s">
        <v>38</v>
      </c>
      <c r="D2066">
        <f ca="1">'2BAS Calcs'!N2066</f>
        <v>1.5601266408461607</v>
      </c>
    </row>
    <row r="2067" spans="1:4" x14ac:dyDescent="0.35">
      <c r="A2067" t="s">
        <v>26</v>
      </c>
      <c r="B2067" t="s">
        <v>4</v>
      </c>
      <c r="C2067" t="s">
        <v>38</v>
      </c>
      <c r="D2067">
        <f ca="1">'2BAS Calcs'!N2067</f>
        <v>6.7027541225809677E-9</v>
      </c>
    </row>
    <row r="2068" spans="1:4" x14ac:dyDescent="0.35">
      <c r="A2068" t="s">
        <v>27</v>
      </c>
      <c r="B2068" t="s">
        <v>4</v>
      </c>
      <c r="C2068" t="s">
        <v>38</v>
      </c>
      <c r="D2068">
        <f ca="1">'2BAS Calcs'!N2068</f>
        <v>6.7027541225809677E-9</v>
      </c>
    </row>
    <row r="2069" spans="1:4" x14ac:dyDescent="0.35">
      <c r="A2069" t="s">
        <v>28</v>
      </c>
      <c r="B2069" t="s">
        <v>4</v>
      </c>
      <c r="C2069" t="s">
        <v>38</v>
      </c>
      <c r="D2069">
        <f ca="1">'2BAS Calcs'!N2069</f>
        <v>6.7027541225809677E-9</v>
      </c>
    </row>
    <row r="2070" spans="1:4" x14ac:dyDescent="0.35">
      <c r="A2070" t="s">
        <v>29</v>
      </c>
      <c r="B2070" t="s">
        <v>4</v>
      </c>
      <c r="C2070" t="s">
        <v>38</v>
      </c>
      <c r="D2070">
        <f ca="1">'2BAS Calcs'!N2070</f>
        <v>6.7027541225809677E-9</v>
      </c>
    </row>
    <row r="2071" spans="1:4" x14ac:dyDescent="0.35">
      <c r="A2071" t="s">
        <v>30</v>
      </c>
      <c r="B2071" t="s">
        <v>4</v>
      </c>
      <c r="C2071" t="s">
        <v>38</v>
      </c>
      <c r="D2071">
        <f ca="1">'2BAS Calcs'!N2071</f>
        <v>6.7027541225809677E-9</v>
      </c>
    </row>
    <row r="2072" spans="1:4" x14ac:dyDescent="0.35">
      <c r="A2072" t="s">
        <v>31</v>
      </c>
      <c r="B2072" t="s">
        <v>4</v>
      </c>
      <c r="C2072" t="s">
        <v>38</v>
      </c>
      <c r="D2072">
        <f ca="1">'2BAS Calcs'!N2072</f>
        <v>6.7027541225809677E-9</v>
      </c>
    </row>
    <row r="2073" spans="1:4" x14ac:dyDescent="0.35">
      <c r="A2073" t="s">
        <v>32</v>
      </c>
      <c r="B2073" t="s">
        <v>4</v>
      </c>
      <c r="C2073" t="s">
        <v>38</v>
      </c>
      <c r="D2073">
        <f ca="1">'2BAS Calcs'!N2073</f>
        <v>6.7027541225809677E-9</v>
      </c>
    </row>
    <row r="2074" spans="1:4" x14ac:dyDescent="0.35">
      <c r="A2074" t="s">
        <v>33</v>
      </c>
      <c r="B2074" t="s">
        <v>4</v>
      </c>
      <c r="C2074" t="s">
        <v>38</v>
      </c>
      <c r="D2074">
        <f ca="1">'2BAS Calcs'!N2074</f>
        <v>6.7027541225809677E-9</v>
      </c>
    </row>
    <row r="2075" spans="1:4" x14ac:dyDescent="0.35">
      <c r="A2075" t="s">
        <v>34</v>
      </c>
      <c r="B2075" t="s">
        <v>4</v>
      </c>
      <c r="C2075" t="s">
        <v>38</v>
      </c>
      <c r="D2075">
        <f ca="1">'2BAS Calcs'!N2075</f>
        <v>6.7027541225809677E-9</v>
      </c>
    </row>
    <row r="2076" spans="1:4" x14ac:dyDescent="0.35">
      <c r="A2076" t="s">
        <v>35</v>
      </c>
      <c r="B2076" t="s">
        <v>4</v>
      </c>
      <c r="C2076" t="s">
        <v>38</v>
      </c>
      <c r="D2076">
        <f ca="1">'2BAS Calcs'!N2076</f>
        <v>6.7027541225809677E-9</v>
      </c>
    </row>
    <row r="2077" spans="1:4" x14ac:dyDescent="0.35">
      <c r="A2077" t="s">
        <v>36</v>
      </c>
      <c r="B2077" t="s">
        <v>4</v>
      </c>
      <c r="C2077" t="s">
        <v>38</v>
      </c>
      <c r="D2077">
        <f ca="1">'2BAS Calcs'!N2077</f>
        <v>6.7027541225809677E-9</v>
      </c>
    </row>
    <row r="2078" spans="1:4" x14ac:dyDescent="0.35">
      <c r="A2078" t="s">
        <v>37</v>
      </c>
      <c r="B2078" t="s">
        <v>4</v>
      </c>
      <c r="C2078" t="s">
        <v>38</v>
      </c>
      <c r="D2078">
        <f ca="1">'2BAS Calcs'!N2078</f>
        <v>6.7027541225809677E-9</v>
      </c>
    </row>
    <row r="2079" spans="1:4" x14ac:dyDescent="0.35">
      <c r="A2079" t="s">
        <v>38</v>
      </c>
      <c r="B2079" t="s">
        <v>4</v>
      </c>
      <c r="C2079" t="s">
        <v>38</v>
      </c>
      <c r="D2079">
        <f ca="1">'2BAS Calcs'!N2079</f>
        <v>6.7027541225809677E-9</v>
      </c>
    </row>
    <row r="2080" spans="1:4" x14ac:dyDescent="0.35">
      <c r="A2080" t="s">
        <v>39</v>
      </c>
      <c r="B2080" t="s">
        <v>4</v>
      </c>
      <c r="C2080" t="s">
        <v>38</v>
      </c>
      <c r="D2080">
        <f ca="1">'2BAS Calcs'!N2080</f>
        <v>6.7027541225809677E-9</v>
      </c>
    </row>
    <row r="2081" spans="1:4" x14ac:dyDescent="0.35">
      <c r="A2081" t="s">
        <v>7</v>
      </c>
      <c r="B2081" t="s">
        <v>5</v>
      </c>
      <c r="C2081" t="s">
        <v>38</v>
      </c>
      <c r="D2081">
        <f ca="1">'2BAS Calcs'!N2081</f>
        <v>6.2012701737302028E-2</v>
      </c>
    </row>
    <row r="2082" spans="1:4" x14ac:dyDescent="0.35">
      <c r="A2082" t="s">
        <v>8</v>
      </c>
      <c r="B2082" t="s">
        <v>5</v>
      </c>
      <c r="C2082" t="s">
        <v>38</v>
      </c>
      <c r="D2082">
        <f ca="1">'2BAS Calcs'!N2082</f>
        <v>9.7833203455048673E-2</v>
      </c>
    </row>
    <row r="2083" spans="1:4" x14ac:dyDescent="0.35">
      <c r="A2083" t="s">
        <v>9</v>
      </c>
      <c r="B2083" t="s">
        <v>5</v>
      </c>
      <c r="C2083" t="s">
        <v>38</v>
      </c>
      <c r="D2083">
        <f ca="1">'2BAS Calcs'!N2083</f>
        <v>2.4480868367413981E-2</v>
      </c>
    </row>
    <row r="2084" spans="1:4" x14ac:dyDescent="0.35">
      <c r="A2084" t="s">
        <v>10</v>
      </c>
      <c r="B2084" t="s">
        <v>5</v>
      </c>
      <c r="C2084" t="s">
        <v>38</v>
      </c>
      <c r="D2084">
        <f ca="1">'2BAS Calcs'!N2084</f>
        <v>0.48041295058431466</v>
      </c>
    </row>
    <row r="2085" spans="1:4" x14ac:dyDescent="0.35">
      <c r="A2085" t="s">
        <v>11</v>
      </c>
      <c r="B2085" t="s">
        <v>5</v>
      </c>
      <c r="C2085" t="s">
        <v>38</v>
      </c>
      <c r="D2085">
        <f ca="1">'2BAS Calcs'!N2085</f>
        <v>0.25037656668923436</v>
      </c>
    </row>
    <row r="2086" spans="1:4" x14ac:dyDescent="0.35">
      <c r="A2086" t="s">
        <v>12</v>
      </c>
      <c r="B2086" t="s">
        <v>5</v>
      </c>
      <c r="C2086" t="s">
        <v>38</v>
      </c>
      <c r="D2086">
        <f ca="1">'2BAS Calcs'!N2086</f>
        <v>4.4815573324513318E-3</v>
      </c>
    </row>
    <row r="2087" spans="1:4" x14ac:dyDescent="0.35">
      <c r="A2087" t="s">
        <v>13</v>
      </c>
      <c r="B2087" t="s">
        <v>5</v>
      </c>
      <c r="C2087" t="s">
        <v>38</v>
      </c>
      <c r="D2087">
        <f ca="1">'2BAS Calcs'!N2087</f>
        <v>6.4533973382602902E-2</v>
      </c>
    </row>
    <row r="2088" spans="1:4" x14ac:dyDescent="0.35">
      <c r="A2088" t="s">
        <v>14</v>
      </c>
      <c r="B2088" t="s">
        <v>5</v>
      </c>
      <c r="C2088" t="s">
        <v>38</v>
      </c>
      <c r="D2088">
        <f ca="1">'2BAS Calcs'!N2088</f>
        <v>1.6250413346492701E-2</v>
      </c>
    </row>
    <row r="2089" spans="1:4" x14ac:dyDescent="0.35">
      <c r="A2089" t="s">
        <v>15</v>
      </c>
      <c r="B2089" t="s">
        <v>5</v>
      </c>
      <c r="C2089" t="s">
        <v>38</v>
      </c>
      <c r="D2089">
        <f ca="1">'2BAS Calcs'!N2089</f>
        <v>0.2227660335768443</v>
      </c>
    </row>
    <row r="2090" spans="1:4" x14ac:dyDescent="0.35">
      <c r="A2090" t="s">
        <v>16</v>
      </c>
      <c r="B2090" t="s">
        <v>5</v>
      </c>
      <c r="C2090" t="s">
        <v>38</v>
      </c>
      <c r="D2090">
        <f ca="1">'2BAS Calcs'!N2090</f>
        <v>0.17060917303632286</v>
      </c>
    </row>
    <row r="2091" spans="1:4" x14ac:dyDescent="0.35">
      <c r="A2091" t="s">
        <v>17</v>
      </c>
      <c r="B2091" t="s">
        <v>5</v>
      </c>
      <c r="C2091" t="s">
        <v>38</v>
      </c>
      <c r="D2091">
        <f ca="1">'2BAS Calcs'!N2091</f>
        <v>6.4402809121535079E-2</v>
      </c>
    </row>
    <row r="2092" spans="1:4" x14ac:dyDescent="0.35">
      <c r="A2092" t="s">
        <v>18</v>
      </c>
      <c r="B2092" t="s">
        <v>5</v>
      </c>
      <c r="C2092" t="s">
        <v>38</v>
      </c>
      <c r="D2092">
        <f ca="1">'2BAS Calcs'!N2092</f>
        <v>0.80613883270084596</v>
      </c>
    </row>
    <row r="2093" spans="1:4" x14ac:dyDescent="0.35">
      <c r="A2093" t="s">
        <v>19</v>
      </c>
      <c r="B2093" t="s">
        <v>5</v>
      </c>
      <c r="C2093" t="s">
        <v>38</v>
      </c>
      <c r="D2093">
        <f ca="1">'2BAS Calcs'!N2093</f>
        <v>3.0881339686140135</v>
      </c>
    </row>
    <row r="2094" spans="1:4" x14ac:dyDescent="0.35">
      <c r="A2094" t="s">
        <v>20</v>
      </c>
      <c r="B2094" t="s">
        <v>5</v>
      </c>
      <c r="C2094" t="s">
        <v>38</v>
      </c>
      <c r="D2094">
        <f ca="1">'2BAS Calcs'!N2094</f>
        <v>1.6557632334700971</v>
      </c>
    </row>
    <row r="2095" spans="1:4" x14ac:dyDescent="0.35">
      <c r="A2095" t="s">
        <v>21</v>
      </c>
      <c r="B2095" t="s">
        <v>5</v>
      </c>
      <c r="C2095" t="s">
        <v>38</v>
      </c>
      <c r="D2095">
        <f ca="1">'2BAS Calcs'!N2095</f>
        <v>2.6424118816842586</v>
      </c>
    </row>
    <row r="2096" spans="1:4" x14ac:dyDescent="0.35">
      <c r="A2096" t="s">
        <v>22</v>
      </c>
      <c r="B2096" t="s">
        <v>5</v>
      </c>
      <c r="C2096" t="s">
        <v>38</v>
      </c>
      <c r="D2096">
        <f ca="1">'2BAS Calcs'!N2096</f>
        <v>1.002622680611144</v>
      </c>
    </row>
    <row r="2097" spans="1:4" x14ac:dyDescent="0.35">
      <c r="A2097" t="s">
        <v>23</v>
      </c>
      <c r="B2097" t="s">
        <v>5</v>
      </c>
      <c r="C2097" t="s">
        <v>38</v>
      </c>
      <c r="D2097">
        <f ca="1">'2BAS Calcs'!N2097</f>
        <v>6.7027541225809677E-9</v>
      </c>
    </row>
    <row r="2098" spans="1:4" x14ac:dyDescent="0.35">
      <c r="A2098" t="s">
        <v>24</v>
      </c>
      <c r="B2098" t="s">
        <v>5</v>
      </c>
      <c r="C2098" t="s">
        <v>38</v>
      </c>
      <c r="D2098">
        <f ca="1">'2BAS Calcs'!N2098</f>
        <v>0.19626916803722302</v>
      </c>
    </row>
    <row r="2099" spans="1:4" x14ac:dyDescent="0.35">
      <c r="A2099" t="s">
        <v>25</v>
      </c>
      <c r="B2099" t="s">
        <v>5</v>
      </c>
      <c r="C2099" t="s">
        <v>38</v>
      </c>
      <c r="D2099">
        <f ca="1">'2BAS Calcs'!N2099</f>
        <v>1.7172226224605593E-2</v>
      </c>
    </row>
    <row r="2100" spans="1:4" x14ac:dyDescent="0.35">
      <c r="A2100" t="s">
        <v>26</v>
      </c>
      <c r="B2100" t="s">
        <v>5</v>
      </c>
      <c r="C2100" t="s">
        <v>38</v>
      </c>
      <c r="D2100">
        <f ca="1">'2BAS Calcs'!N2100</f>
        <v>6.7027541225809677E-9</v>
      </c>
    </row>
    <row r="2101" spans="1:4" x14ac:dyDescent="0.35">
      <c r="A2101" t="s">
        <v>27</v>
      </c>
      <c r="B2101" t="s">
        <v>5</v>
      </c>
      <c r="C2101" t="s">
        <v>38</v>
      </c>
      <c r="D2101">
        <f ca="1">'2BAS Calcs'!N2101</f>
        <v>6.7027541225809677E-9</v>
      </c>
    </row>
    <row r="2102" spans="1:4" x14ac:dyDescent="0.35">
      <c r="A2102" t="s">
        <v>28</v>
      </c>
      <c r="B2102" t="s">
        <v>5</v>
      </c>
      <c r="C2102" t="s">
        <v>38</v>
      </c>
      <c r="D2102">
        <f ca="1">'2BAS Calcs'!N2102</f>
        <v>6.7027541225809677E-9</v>
      </c>
    </row>
    <row r="2103" spans="1:4" x14ac:dyDescent="0.35">
      <c r="A2103" t="s">
        <v>29</v>
      </c>
      <c r="B2103" t="s">
        <v>5</v>
      </c>
      <c r="C2103" t="s">
        <v>38</v>
      </c>
      <c r="D2103">
        <f ca="1">'2BAS Calcs'!N2103</f>
        <v>6.7027541225809677E-9</v>
      </c>
    </row>
    <row r="2104" spans="1:4" x14ac:dyDescent="0.35">
      <c r="A2104" t="s">
        <v>30</v>
      </c>
      <c r="B2104" t="s">
        <v>5</v>
      </c>
      <c r="C2104" t="s">
        <v>38</v>
      </c>
      <c r="D2104">
        <f ca="1">'2BAS Calcs'!N2104</f>
        <v>6.7027541225809677E-9</v>
      </c>
    </row>
    <row r="2105" spans="1:4" x14ac:dyDescent="0.35">
      <c r="A2105" t="s">
        <v>31</v>
      </c>
      <c r="B2105" t="s">
        <v>5</v>
      </c>
      <c r="C2105" t="s">
        <v>38</v>
      </c>
      <c r="D2105">
        <f ca="1">'2BAS Calcs'!N2105</f>
        <v>6.7027541225809677E-9</v>
      </c>
    </row>
    <row r="2106" spans="1:4" x14ac:dyDescent="0.35">
      <c r="A2106" t="s">
        <v>32</v>
      </c>
      <c r="B2106" t="s">
        <v>5</v>
      </c>
      <c r="C2106" t="s">
        <v>38</v>
      </c>
      <c r="D2106">
        <f ca="1">'2BAS Calcs'!N2106</f>
        <v>6.7027541225809677E-9</v>
      </c>
    </row>
    <row r="2107" spans="1:4" x14ac:dyDescent="0.35">
      <c r="A2107" t="s">
        <v>33</v>
      </c>
      <c r="B2107" t="s">
        <v>5</v>
      </c>
      <c r="C2107" t="s">
        <v>38</v>
      </c>
      <c r="D2107">
        <f ca="1">'2BAS Calcs'!N2107</f>
        <v>6.7027541225809677E-9</v>
      </c>
    </row>
    <row r="2108" spans="1:4" x14ac:dyDescent="0.35">
      <c r="A2108" t="s">
        <v>34</v>
      </c>
      <c r="B2108" t="s">
        <v>5</v>
      </c>
      <c r="C2108" t="s">
        <v>38</v>
      </c>
      <c r="D2108">
        <f ca="1">'2BAS Calcs'!N2108</f>
        <v>6.7027541225809677E-9</v>
      </c>
    </row>
    <row r="2109" spans="1:4" x14ac:dyDescent="0.35">
      <c r="A2109" t="s">
        <v>35</v>
      </c>
      <c r="B2109" t="s">
        <v>5</v>
      </c>
      <c r="C2109" t="s">
        <v>38</v>
      </c>
      <c r="D2109">
        <f ca="1">'2BAS Calcs'!N2109</f>
        <v>6.7027541225809677E-9</v>
      </c>
    </row>
    <row r="2110" spans="1:4" x14ac:dyDescent="0.35">
      <c r="A2110" t="s">
        <v>36</v>
      </c>
      <c r="B2110" t="s">
        <v>5</v>
      </c>
      <c r="C2110" t="s">
        <v>38</v>
      </c>
      <c r="D2110">
        <f ca="1">'2BAS Calcs'!N2110</f>
        <v>6.7027541225809677E-9</v>
      </c>
    </row>
    <row r="2111" spans="1:4" x14ac:dyDescent="0.35">
      <c r="A2111" t="s">
        <v>37</v>
      </c>
      <c r="B2111" t="s">
        <v>5</v>
      </c>
      <c r="C2111" t="s">
        <v>38</v>
      </c>
      <c r="D2111">
        <f ca="1">'2BAS Calcs'!N2111</f>
        <v>6.7027541225809677E-9</v>
      </c>
    </row>
    <row r="2112" spans="1:4" x14ac:dyDescent="0.35">
      <c r="A2112" t="s">
        <v>38</v>
      </c>
      <c r="B2112" t="s">
        <v>5</v>
      </c>
      <c r="C2112" t="s">
        <v>38</v>
      </c>
      <c r="D2112">
        <f ca="1">'2BAS Calcs'!N2112</f>
        <v>6.7027541225809677E-9</v>
      </c>
    </row>
    <row r="2113" spans="1:4" x14ac:dyDescent="0.35">
      <c r="A2113" t="s">
        <v>39</v>
      </c>
      <c r="B2113" t="s">
        <v>5</v>
      </c>
      <c r="C2113" t="s">
        <v>38</v>
      </c>
      <c r="D2113">
        <f ca="1">'2BAS Calcs'!N2113</f>
        <v>6.7027541225809677E-9</v>
      </c>
    </row>
    <row r="2114" spans="1:4" x14ac:dyDescent="0.35">
      <c r="A2114" t="s">
        <v>7</v>
      </c>
      <c r="B2114" t="s">
        <v>4</v>
      </c>
      <c r="C2114" t="s">
        <v>39</v>
      </c>
      <c r="D2114">
        <f ca="1">'2BAS Calcs'!N2114</f>
        <v>3.7848785672546222E-5</v>
      </c>
    </row>
    <row r="2115" spans="1:4" x14ac:dyDescent="0.35">
      <c r="A2115" t="s">
        <v>8</v>
      </c>
      <c r="B2115" t="s">
        <v>4</v>
      </c>
      <c r="C2115" t="s">
        <v>39</v>
      </c>
      <c r="D2115">
        <f ca="1">'2BAS Calcs'!N2115</f>
        <v>6.6024070344441755E-5</v>
      </c>
    </row>
    <row r="2116" spans="1:4" x14ac:dyDescent="0.35">
      <c r="A2116" t="s">
        <v>9</v>
      </c>
      <c r="B2116" t="s">
        <v>4</v>
      </c>
      <c r="C2116" t="s">
        <v>39</v>
      </c>
      <c r="D2116">
        <f ca="1">'2BAS Calcs'!N2116</f>
        <v>1.1117059429171761E-4</v>
      </c>
    </row>
    <row r="2117" spans="1:4" x14ac:dyDescent="0.35">
      <c r="A2117" t="s">
        <v>10</v>
      </c>
      <c r="B2117" t="s">
        <v>4</v>
      </c>
      <c r="C2117" t="s">
        <v>39</v>
      </c>
      <c r="D2117">
        <f ca="1">'2BAS Calcs'!N2117</f>
        <v>5.7907128706479534E-4</v>
      </c>
    </row>
    <row r="2118" spans="1:4" x14ac:dyDescent="0.35">
      <c r="A2118" t="s">
        <v>11</v>
      </c>
      <c r="B2118" t="s">
        <v>4</v>
      </c>
      <c r="C2118" t="s">
        <v>39</v>
      </c>
      <c r="D2118">
        <f ca="1">'2BAS Calcs'!N2118</f>
        <v>4.1089845440753874E-6</v>
      </c>
    </row>
    <row r="2119" spans="1:4" x14ac:dyDescent="0.35">
      <c r="A2119" t="s">
        <v>12</v>
      </c>
      <c r="B2119" t="s">
        <v>4</v>
      </c>
      <c r="C2119" t="s">
        <v>39</v>
      </c>
      <c r="D2119">
        <f ca="1">'2BAS Calcs'!N2119</f>
        <v>2.5294572114662206E-5</v>
      </c>
    </row>
    <row r="2120" spans="1:4" x14ac:dyDescent="0.35">
      <c r="A2120" t="s">
        <v>13</v>
      </c>
      <c r="B2120" t="s">
        <v>4</v>
      </c>
      <c r="C2120" t="s">
        <v>39</v>
      </c>
      <c r="D2120">
        <f ca="1">'2BAS Calcs'!N2120</f>
        <v>5.0628552557400455E-4</v>
      </c>
    </row>
    <row r="2121" spans="1:4" x14ac:dyDescent="0.35">
      <c r="A2121" t="s">
        <v>14</v>
      </c>
      <c r="B2121" t="s">
        <v>4</v>
      </c>
      <c r="C2121" t="s">
        <v>39</v>
      </c>
      <c r="D2121">
        <f ca="1">'2BAS Calcs'!N2121</f>
        <v>7.7148162929756262E-5</v>
      </c>
    </row>
    <row r="2122" spans="1:4" x14ac:dyDescent="0.35">
      <c r="A2122" t="s">
        <v>15</v>
      </c>
      <c r="B2122" t="s">
        <v>4</v>
      </c>
      <c r="C2122" t="s">
        <v>39</v>
      </c>
      <c r="D2122">
        <f ca="1">'2BAS Calcs'!N2122</f>
        <v>4.8041708754277659E-4</v>
      </c>
    </row>
    <row r="2123" spans="1:4" x14ac:dyDescent="0.35">
      <c r="A2123" t="s">
        <v>16</v>
      </c>
      <c r="B2123" t="s">
        <v>4</v>
      </c>
      <c r="C2123" t="s">
        <v>39</v>
      </c>
      <c r="D2123">
        <f ca="1">'2BAS Calcs'!N2123</f>
        <v>7.5204659309218119E-4</v>
      </c>
    </row>
    <row r="2124" spans="1:4" x14ac:dyDescent="0.35">
      <c r="A2124" t="s">
        <v>17</v>
      </c>
      <c r="B2124" t="s">
        <v>4</v>
      </c>
      <c r="C2124" t="s">
        <v>39</v>
      </c>
      <c r="D2124">
        <f ca="1">'2BAS Calcs'!N2124</f>
        <v>6.9667769510996388E-4</v>
      </c>
    </row>
    <row r="2125" spans="1:4" x14ac:dyDescent="0.35">
      <c r="A2125" t="s">
        <v>18</v>
      </c>
      <c r="B2125" t="s">
        <v>4</v>
      </c>
      <c r="C2125" t="s">
        <v>39</v>
      </c>
      <c r="D2125">
        <f ca="1">'2BAS Calcs'!N2125</f>
        <v>2.0376617014043049E-3</v>
      </c>
    </row>
    <row r="2126" spans="1:4" x14ac:dyDescent="0.35">
      <c r="A2126" t="s">
        <v>19</v>
      </c>
      <c r="B2126" t="s">
        <v>4</v>
      </c>
      <c r="C2126" t="s">
        <v>39</v>
      </c>
      <c r="D2126">
        <f ca="1">'2BAS Calcs'!N2126</f>
        <v>2.9493546759128369E-3</v>
      </c>
    </row>
    <row r="2127" spans="1:4" x14ac:dyDescent="0.35">
      <c r="A2127" t="s">
        <v>20</v>
      </c>
      <c r="B2127" t="s">
        <v>4</v>
      </c>
      <c r="C2127" t="s">
        <v>39</v>
      </c>
      <c r="D2127">
        <f ca="1">'2BAS Calcs'!N2127</f>
        <v>6.1352980860562747E-4</v>
      </c>
    </row>
    <row r="2128" spans="1:4" x14ac:dyDescent="0.35">
      <c r="A2128" t="s">
        <v>21</v>
      </c>
      <c r="B2128" t="s">
        <v>4</v>
      </c>
      <c r="C2128" t="s">
        <v>39</v>
      </c>
      <c r="D2128">
        <f ca="1">'2BAS Calcs'!N2128</f>
        <v>8.8624866972523021E-4</v>
      </c>
    </row>
    <row r="2129" spans="1:4" x14ac:dyDescent="0.35">
      <c r="A2129" t="s">
        <v>22</v>
      </c>
      <c r="B2129" t="s">
        <v>4</v>
      </c>
      <c r="C2129" t="s">
        <v>39</v>
      </c>
      <c r="D2129">
        <f ca="1">'2BAS Calcs'!N2129</f>
        <v>2.4131975836708432E-3</v>
      </c>
    </row>
    <row r="2130" spans="1:4" x14ac:dyDescent="0.35">
      <c r="A2130" t="s">
        <v>23</v>
      </c>
      <c r="B2130" t="s">
        <v>4</v>
      </c>
      <c r="C2130" t="s">
        <v>39</v>
      </c>
      <c r="D2130">
        <f ca="1">'2BAS Calcs'!N2130</f>
        <v>5.5067568721405837E-11</v>
      </c>
    </row>
    <row r="2131" spans="1:4" x14ac:dyDescent="0.35">
      <c r="A2131" t="s">
        <v>24</v>
      </c>
      <c r="B2131" t="s">
        <v>4</v>
      </c>
      <c r="C2131" t="s">
        <v>39</v>
      </c>
      <c r="D2131">
        <f ca="1">'2BAS Calcs'!N2131</f>
        <v>8.0162658491555475E-2</v>
      </c>
    </row>
    <row r="2132" spans="1:4" x14ac:dyDescent="0.35">
      <c r="A2132" t="s">
        <v>25</v>
      </c>
      <c r="B2132" t="s">
        <v>4</v>
      </c>
      <c r="C2132" t="s">
        <v>39</v>
      </c>
      <c r="D2132">
        <f ca="1">'2BAS Calcs'!N2132</f>
        <v>1.281747464366342E-2</v>
      </c>
    </row>
    <row r="2133" spans="1:4" x14ac:dyDescent="0.35">
      <c r="A2133" t="s">
        <v>26</v>
      </c>
      <c r="B2133" t="s">
        <v>4</v>
      </c>
      <c r="C2133" t="s">
        <v>39</v>
      </c>
      <c r="D2133">
        <f ca="1">'2BAS Calcs'!N2133</f>
        <v>5.5067568721405837E-11</v>
      </c>
    </row>
    <row r="2134" spans="1:4" x14ac:dyDescent="0.35">
      <c r="A2134" t="s">
        <v>27</v>
      </c>
      <c r="B2134" t="s">
        <v>4</v>
      </c>
      <c r="C2134" t="s">
        <v>39</v>
      </c>
      <c r="D2134">
        <f ca="1">'2BAS Calcs'!N2134</f>
        <v>5.5067568721405837E-11</v>
      </c>
    </row>
    <row r="2135" spans="1:4" x14ac:dyDescent="0.35">
      <c r="A2135" t="s">
        <v>28</v>
      </c>
      <c r="B2135" t="s">
        <v>4</v>
      </c>
      <c r="C2135" t="s">
        <v>39</v>
      </c>
      <c r="D2135">
        <f ca="1">'2BAS Calcs'!N2135</f>
        <v>5.5067568721405837E-11</v>
      </c>
    </row>
    <row r="2136" spans="1:4" x14ac:dyDescent="0.35">
      <c r="A2136" t="s">
        <v>29</v>
      </c>
      <c r="B2136" t="s">
        <v>4</v>
      </c>
      <c r="C2136" t="s">
        <v>39</v>
      </c>
      <c r="D2136">
        <f ca="1">'2BAS Calcs'!N2136</f>
        <v>5.5067568721405837E-11</v>
      </c>
    </row>
    <row r="2137" spans="1:4" x14ac:dyDescent="0.35">
      <c r="A2137" t="s">
        <v>30</v>
      </c>
      <c r="B2137" t="s">
        <v>4</v>
      </c>
      <c r="C2137" t="s">
        <v>39</v>
      </c>
      <c r="D2137">
        <f ca="1">'2BAS Calcs'!N2137</f>
        <v>5.5067568721405837E-11</v>
      </c>
    </row>
    <row r="2138" spans="1:4" x14ac:dyDescent="0.35">
      <c r="A2138" t="s">
        <v>31</v>
      </c>
      <c r="B2138" t="s">
        <v>4</v>
      </c>
      <c r="C2138" t="s">
        <v>39</v>
      </c>
      <c r="D2138">
        <f ca="1">'2BAS Calcs'!N2138</f>
        <v>5.5067568721405837E-11</v>
      </c>
    </row>
    <row r="2139" spans="1:4" x14ac:dyDescent="0.35">
      <c r="A2139" t="s">
        <v>32</v>
      </c>
      <c r="B2139" t="s">
        <v>4</v>
      </c>
      <c r="C2139" t="s">
        <v>39</v>
      </c>
      <c r="D2139">
        <f ca="1">'2BAS Calcs'!N2139</f>
        <v>5.5067568721405837E-11</v>
      </c>
    </row>
    <row r="2140" spans="1:4" x14ac:dyDescent="0.35">
      <c r="A2140" t="s">
        <v>33</v>
      </c>
      <c r="B2140" t="s">
        <v>4</v>
      </c>
      <c r="C2140" t="s">
        <v>39</v>
      </c>
      <c r="D2140">
        <f ca="1">'2BAS Calcs'!N2140</f>
        <v>5.5067568721405837E-11</v>
      </c>
    </row>
    <row r="2141" spans="1:4" x14ac:dyDescent="0.35">
      <c r="A2141" t="s">
        <v>34</v>
      </c>
      <c r="B2141" t="s">
        <v>4</v>
      </c>
      <c r="C2141" t="s">
        <v>39</v>
      </c>
      <c r="D2141">
        <f ca="1">'2BAS Calcs'!N2141</f>
        <v>5.5067568721405837E-11</v>
      </c>
    </row>
    <row r="2142" spans="1:4" x14ac:dyDescent="0.35">
      <c r="A2142" t="s">
        <v>35</v>
      </c>
      <c r="B2142" t="s">
        <v>4</v>
      </c>
      <c r="C2142" t="s">
        <v>39</v>
      </c>
      <c r="D2142">
        <f ca="1">'2BAS Calcs'!N2142</f>
        <v>5.5067568721405837E-11</v>
      </c>
    </row>
    <row r="2143" spans="1:4" x14ac:dyDescent="0.35">
      <c r="A2143" t="s">
        <v>36</v>
      </c>
      <c r="B2143" t="s">
        <v>4</v>
      </c>
      <c r="C2143" t="s">
        <v>39</v>
      </c>
      <c r="D2143">
        <f ca="1">'2BAS Calcs'!N2143</f>
        <v>5.5067568721405837E-11</v>
      </c>
    </row>
    <row r="2144" spans="1:4" x14ac:dyDescent="0.35">
      <c r="A2144" t="s">
        <v>37</v>
      </c>
      <c r="B2144" t="s">
        <v>4</v>
      </c>
      <c r="C2144" t="s">
        <v>39</v>
      </c>
      <c r="D2144">
        <f ca="1">'2BAS Calcs'!N2144</f>
        <v>5.5067568721405837E-11</v>
      </c>
    </row>
    <row r="2145" spans="1:4" x14ac:dyDescent="0.35">
      <c r="A2145" t="s">
        <v>38</v>
      </c>
      <c r="B2145" t="s">
        <v>4</v>
      </c>
      <c r="C2145" t="s">
        <v>39</v>
      </c>
      <c r="D2145">
        <f ca="1">'2BAS Calcs'!N2145</f>
        <v>5.5067568721405837E-11</v>
      </c>
    </row>
    <row r="2146" spans="1:4" x14ac:dyDescent="0.35">
      <c r="A2146" t="s">
        <v>39</v>
      </c>
      <c r="B2146" t="s">
        <v>4</v>
      </c>
      <c r="C2146" t="s">
        <v>39</v>
      </c>
      <c r="D2146">
        <f ca="1">'2BAS Calcs'!N2146</f>
        <v>5.5067568721405837E-11</v>
      </c>
    </row>
    <row r="2147" spans="1:4" x14ac:dyDescent="0.35">
      <c r="A2147" t="s">
        <v>7</v>
      </c>
      <c r="B2147" t="s">
        <v>5</v>
      </c>
      <c r="C2147" t="s">
        <v>39</v>
      </c>
      <c r="D2147">
        <f ca="1">'2BAS Calcs'!N2147</f>
        <v>5.0947545621798571E-4</v>
      </c>
    </row>
    <row r="2148" spans="1:4" x14ac:dyDescent="0.35">
      <c r="A2148" t="s">
        <v>8</v>
      </c>
      <c r="B2148" t="s">
        <v>5</v>
      </c>
      <c r="C2148" t="s">
        <v>39</v>
      </c>
      <c r="D2148">
        <f ca="1">'2BAS Calcs'!N2148</f>
        <v>8.0376462510334213E-4</v>
      </c>
    </row>
    <row r="2149" spans="1:4" x14ac:dyDescent="0.35">
      <c r="A2149" t="s">
        <v>9</v>
      </c>
      <c r="B2149" t="s">
        <v>5</v>
      </c>
      <c r="C2149" t="s">
        <v>39</v>
      </c>
      <c r="D2149">
        <f ca="1">'2BAS Calcs'!N2149</f>
        <v>2.0112656327950736E-4</v>
      </c>
    </row>
    <row r="2150" spans="1:4" x14ac:dyDescent="0.35">
      <c r="A2150" t="s">
        <v>10</v>
      </c>
      <c r="B2150" t="s">
        <v>5</v>
      </c>
      <c r="C2150" t="s">
        <v>39</v>
      </c>
      <c r="D2150">
        <f ca="1">'2BAS Calcs'!N2150</f>
        <v>3.946910879787463E-3</v>
      </c>
    </row>
    <row r="2151" spans="1:4" x14ac:dyDescent="0.35">
      <c r="A2151" t="s">
        <v>11</v>
      </c>
      <c r="B2151" t="s">
        <v>5</v>
      </c>
      <c r="C2151" t="s">
        <v>39</v>
      </c>
      <c r="D2151">
        <f ca="1">'2BAS Calcs'!N2151</f>
        <v>2.0570094830033823E-3</v>
      </c>
    </row>
    <row r="2152" spans="1:4" x14ac:dyDescent="0.35">
      <c r="A2152" t="s">
        <v>12</v>
      </c>
      <c r="B2152" t="s">
        <v>5</v>
      </c>
      <c r="C2152" t="s">
        <v>39</v>
      </c>
      <c r="D2152">
        <f ca="1">'2BAS Calcs'!N2152</f>
        <v>3.681896454358606E-5</v>
      </c>
    </row>
    <row r="2153" spans="1:4" x14ac:dyDescent="0.35">
      <c r="A2153" t="s">
        <v>13</v>
      </c>
      <c r="B2153" t="s">
        <v>5</v>
      </c>
      <c r="C2153" t="s">
        <v>39</v>
      </c>
      <c r="D2153">
        <f ca="1">'2BAS Calcs'!N2153</f>
        <v>5.3018937426626937E-4</v>
      </c>
    </row>
    <row r="2154" spans="1:4" x14ac:dyDescent="0.35">
      <c r="A2154" t="s">
        <v>14</v>
      </c>
      <c r="B2154" t="s">
        <v>5</v>
      </c>
      <c r="C2154" t="s">
        <v>39</v>
      </c>
      <c r="D2154">
        <f ca="1">'2BAS Calcs'!N2154</f>
        <v>1.335079188858352E-4</v>
      </c>
    </row>
    <row r="2155" spans="1:4" x14ac:dyDescent="0.35">
      <c r="A2155" t="s">
        <v>15</v>
      </c>
      <c r="B2155" t="s">
        <v>5</v>
      </c>
      <c r="C2155" t="s">
        <v>39</v>
      </c>
      <c r="D2155">
        <f ca="1">'2BAS Calcs'!N2155</f>
        <v>1.8301706490263232E-3</v>
      </c>
    </row>
    <row r="2156" spans="1:4" x14ac:dyDescent="0.35">
      <c r="A2156" t="s">
        <v>16</v>
      </c>
      <c r="B2156" t="s">
        <v>5</v>
      </c>
      <c r="C2156" t="s">
        <v>39</v>
      </c>
      <c r="D2156">
        <f ca="1">'2BAS Calcs'!N2156</f>
        <v>1.4016674621897469E-3</v>
      </c>
    </row>
    <row r="2157" spans="1:4" x14ac:dyDescent="0.35">
      <c r="A2157" t="s">
        <v>17</v>
      </c>
      <c r="B2157" t="s">
        <v>5</v>
      </c>
      <c r="C2157" t="s">
        <v>39</v>
      </c>
      <c r="D2157">
        <f ca="1">'2BAS Calcs'!N2157</f>
        <v>5.2911177290598506E-4</v>
      </c>
    </row>
    <row r="2158" spans="1:4" x14ac:dyDescent="0.35">
      <c r="A2158" t="s">
        <v>18</v>
      </c>
      <c r="B2158" t="s">
        <v>5</v>
      </c>
      <c r="C2158" t="s">
        <v>39</v>
      </c>
      <c r="D2158">
        <f ca="1">'2BAS Calcs'!N2158</f>
        <v>6.6229649420071618E-3</v>
      </c>
    </row>
    <row r="2159" spans="1:4" x14ac:dyDescent="0.35">
      <c r="A2159" t="s">
        <v>19</v>
      </c>
      <c r="B2159" t="s">
        <v>5</v>
      </c>
      <c r="C2159" t="s">
        <v>39</v>
      </c>
      <c r="D2159">
        <f ca="1">'2BAS Calcs'!N2159</f>
        <v>2.5371067836824964E-2</v>
      </c>
    </row>
    <row r="2160" spans="1:4" x14ac:dyDescent="0.35">
      <c r="A2160" t="s">
        <v>20</v>
      </c>
      <c r="B2160" t="s">
        <v>5</v>
      </c>
      <c r="C2160" t="s">
        <v>39</v>
      </c>
      <c r="D2160">
        <f ca="1">'2BAS Calcs'!N2160</f>
        <v>1.3603192654541581E-2</v>
      </c>
    </row>
    <row r="2161" spans="1:4" x14ac:dyDescent="0.35">
      <c r="A2161" t="s">
        <v>21</v>
      </c>
      <c r="B2161" t="s">
        <v>5</v>
      </c>
      <c r="C2161" t="s">
        <v>39</v>
      </c>
      <c r="D2161">
        <f ca="1">'2BAS Calcs'!N2161</f>
        <v>2.1709165400337939E-2</v>
      </c>
    </row>
    <row r="2162" spans="1:4" x14ac:dyDescent="0.35">
      <c r="A2162" t="s">
        <v>22</v>
      </c>
      <c r="B2162" t="s">
        <v>5</v>
      </c>
      <c r="C2162" t="s">
        <v>39</v>
      </c>
      <c r="D2162">
        <f ca="1">'2BAS Calcs'!N2162</f>
        <v>8.2372100119546595E-3</v>
      </c>
    </row>
    <row r="2163" spans="1:4" x14ac:dyDescent="0.35">
      <c r="A2163" t="s">
        <v>23</v>
      </c>
      <c r="B2163" t="s">
        <v>5</v>
      </c>
      <c r="C2163" t="s">
        <v>39</v>
      </c>
      <c r="D2163">
        <f ca="1">'2BAS Calcs'!N2163</f>
        <v>5.5067568721405837E-11</v>
      </c>
    </row>
    <row r="2164" spans="1:4" x14ac:dyDescent="0.35">
      <c r="A2164" t="s">
        <v>24</v>
      </c>
      <c r="B2164" t="s">
        <v>5</v>
      </c>
      <c r="C2164" t="s">
        <v>39</v>
      </c>
      <c r="D2164">
        <f ca="1">'2BAS Calcs'!N2164</f>
        <v>1.61248133246773E-3</v>
      </c>
    </row>
    <row r="2165" spans="1:4" x14ac:dyDescent="0.35">
      <c r="A2165" t="s">
        <v>25</v>
      </c>
      <c r="B2165" t="s">
        <v>5</v>
      </c>
      <c r="C2165" t="s">
        <v>39</v>
      </c>
      <c r="D2165">
        <f ca="1">'2BAS Calcs'!N2165</f>
        <v>1.4108122279724472E-4</v>
      </c>
    </row>
    <row r="2166" spans="1:4" x14ac:dyDescent="0.35">
      <c r="A2166" t="s">
        <v>26</v>
      </c>
      <c r="B2166" t="s">
        <v>5</v>
      </c>
      <c r="C2166" t="s">
        <v>39</v>
      </c>
      <c r="D2166">
        <f ca="1">'2BAS Calcs'!N2166</f>
        <v>5.5067568721405837E-11</v>
      </c>
    </row>
    <row r="2167" spans="1:4" x14ac:dyDescent="0.35">
      <c r="A2167" t="s">
        <v>27</v>
      </c>
      <c r="B2167" t="s">
        <v>5</v>
      </c>
      <c r="C2167" t="s">
        <v>39</v>
      </c>
      <c r="D2167">
        <f ca="1">'2BAS Calcs'!N2167</f>
        <v>5.5067568721405837E-11</v>
      </c>
    </row>
    <row r="2168" spans="1:4" x14ac:dyDescent="0.35">
      <c r="A2168" t="s">
        <v>28</v>
      </c>
      <c r="B2168" t="s">
        <v>5</v>
      </c>
      <c r="C2168" t="s">
        <v>39</v>
      </c>
      <c r="D2168">
        <f ca="1">'2BAS Calcs'!N2168</f>
        <v>5.5067568721405837E-11</v>
      </c>
    </row>
    <row r="2169" spans="1:4" x14ac:dyDescent="0.35">
      <c r="A2169" t="s">
        <v>29</v>
      </c>
      <c r="B2169" t="s">
        <v>5</v>
      </c>
      <c r="C2169" t="s">
        <v>39</v>
      </c>
      <c r="D2169">
        <f ca="1">'2BAS Calcs'!N2169</f>
        <v>5.5067568721405837E-11</v>
      </c>
    </row>
    <row r="2170" spans="1:4" x14ac:dyDescent="0.35">
      <c r="A2170" t="s">
        <v>30</v>
      </c>
      <c r="B2170" t="s">
        <v>5</v>
      </c>
      <c r="C2170" t="s">
        <v>39</v>
      </c>
      <c r="D2170">
        <f ca="1">'2BAS Calcs'!N2170</f>
        <v>5.5067568721405837E-11</v>
      </c>
    </row>
    <row r="2171" spans="1:4" x14ac:dyDescent="0.35">
      <c r="A2171" t="s">
        <v>31</v>
      </c>
      <c r="B2171" t="s">
        <v>5</v>
      </c>
      <c r="C2171" t="s">
        <v>39</v>
      </c>
      <c r="D2171">
        <f ca="1">'2BAS Calcs'!N2171</f>
        <v>5.5067568721405837E-11</v>
      </c>
    </row>
    <row r="2172" spans="1:4" x14ac:dyDescent="0.35">
      <c r="A2172" t="s">
        <v>32</v>
      </c>
      <c r="B2172" t="s">
        <v>5</v>
      </c>
      <c r="C2172" t="s">
        <v>39</v>
      </c>
      <c r="D2172">
        <f ca="1">'2BAS Calcs'!N2172</f>
        <v>5.5067568721405837E-11</v>
      </c>
    </row>
    <row r="2173" spans="1:4" x14ac:dyDescent="0.35">
      <c r="A2173" t="s">
        <v>33</v>
      </c>
      <c r="B2173" t="s">
        <v>5</v>
      </c>
      <c r="C2173" t="s">
        <v>39</v>
      </c>
      <c r="D2173">
        <f ca="1">'2BAS Calcs'!N2173</f>
        <v>5.5067568721405837E-11</v>
      </c>
    </row>
    <row r="2174" spans="1:4" x14ac:dyDescent="0.35">
      <c r="A2174" t="s">
        <v>34</v>
      </c>
      <c r="B2174" t="s">
        <v>5</v>
      </c>
      <c r="C2174" t="s">
        <v>39</v>
      </c>
      <c r="D2174">
        <f ca="1">'2BAS Calcs'!N2174</f>
        <v>5.5067568721405837E-11</v>
      </c>
    </row>
    <row r="2175" spans="1:4" x14ac:dyDescent="0.35">
      <c r="A2175" t="s">
        <v>35</v>
      </c>
      <c r="B2175" t="s">
        <v>5</v>
      </c>
      <c r="C2175" t="s">
        <v>39</v>
      </c>
      <c r="D2175">
        <f ca="1">'2BAS Calcs'!N2175</f>
        <v>5.5067568721405837E-11</v>
      </c>
    </row>
    <row r="2176" spans="1:4" x14ac:dyDescent="0.35">
      <c r="A2176" t="s">
        <v>36</v>
      </c>
      <c r="B2176" t="s">
        <v>5</v>
      </c>
      <c r="C2176" t="s">
        <v>39</v>
      </c>
      <c r="D2176">
        <f ca="1">'2BAS Calcs'!N2176</f>
        <v>5.5067568721405837E-11</v>
      </c>
    </row>
    <row r="2177" spans="1:4" x14ac:dyDescent="0.35">
      <c r="A2177" t="s">
        <v>37</v>
      </c>
      <c r="B2177" t="s">
        <v>5</v>
      </c>
      <c r="C2177" t="s">
        <v>39</v>
      </c>
      <c r="D2177">
        <f ca="1">'2BAS Calcs'!N2177</f>
        <v>5.5067568721405837E-11</v>
      </c>
    </row>
    <row r="2178" spans="1:4" x14ac:dyDescent="0.35">
      <c r="A2178" t="s">
        <v>38</v>
      </c>
      <c r="B2178" t="s">
        <v>5</v>
      </c>
      <c r="C2178" t="s">
        <v>39</v>
      </c>
      <c r="D2178">
        <f ca="1">'2BAS Calcs'!N2178</f>
        <v>5.5067568721405837E-11</v>
      </c>
    </row>
    <row r="2179" spans="1:4" x14ac:dyDescent="0.35">
      <c r="A2179" t="s">
        <v>39</v>
      </c>
      <c r="B2179" t="s">
        <v>5</v>
      </c>
      <c r="C2179" t="s">
        <v>39</v>
      </c>
      <c r="D2179">
        <f ca="1">'2BAS Calcs'!N2179</f>
        <v>5.5067568721405837E-11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0">
    <tabColor rgb="FFFF0000"/>
  </sheetPr>
  <dimension ref="A1:C67"/>
  <sheetViews>
    <sheetView workbookViewId="0">
      <selection activeCell="C2" sqref="C2:C67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t="s">
        <v>7</v>
      </c>
      <c r="B2" t="s">
        <v>4</v>
      </c>
      <c r="C2">
        <v>188.42553580404552</v>
      </c>
    </row>
    <row r="3" spans="1:3" x14ac:dyDescent="0.35">
      <c r="A3" t="s">
        <v>8</v>
      </c>
      <c r="B3" t="s">
        <v>4</v>
      </c>
      <c r="C3">
        <v>39.022699424311682</v>
      </c>
    </row>
    <row r="4" spans="1:3" x14ac:dyDescent="0.35">
      <c r="A4" t="s">
        <v>9</v>
      </c>
      <c r="B4" t="s">
        <v>4</v>
      </c>
      <c r="C4">
        <v>3252.1204783516596</v>
      </c>
    </row>
    <row r="5" spans="1:3" x14ac:dyDescent="0.35">
      <c r="A5" t="s">
        <v>10</v>
      </c>
      <c r="B5" t="s">
        <v>4</v>
      </c>
      <c r="C5">
        <v>354.34700493649331</v>
      </c>
    </row>
    <row r="6" spans="1:3" x14ac:dyDescent="0.35">
      <c r="A6" t="s">
        <v>11</v>
      </c>
      <c r="B6" t="s">
        <v>4</v>
      </c>
      <c r="C6">
        <v>3.9002269655998689</v>
      </c>
    </row>
    <row r="7" spans="1:3" x14ac:dyDescent="0.35">
      <c r="A7" t="s">
        <v>12</v>
      </c>
      <c r="B7" t="s">
        <v>4</v>
      </c>
      <c r="C7">
        <v>9.9999999999999995E-7</v>
      </c>
    </row>
    <row r="8" spans="1:3" x14ac:dyDescent="0.35">
      <c r="A8" t="s">
        <v>13</v>
      </c>
      <c r="B8" t="s">
        <v>4</v>
      </c>
      <c r="C8">
        <v>125.19657744070621</v>
      </c>
    </row>
    <row r="9" spans="1:3" x14ac:dyDescent="0.35">
      <c r="A9" t="s">
        <v>14</v>
      </c>
      <c r="B9" t="s">
        <v>4</v>
      </c>
      <c r="C9">
        <v>661.44051065241194</v>
      </c>
    </row>
    <row r="10" spans="1:3" x14ac:dyDescent="0.35">
      <c r="A10" t="s">
        <v>15</v>
      </c>
      <c r="B10" t="s">
        <v>4</v>
      </c>
      <c r="C10">
        <v>527.86508852449344</v>
      </c>
    </row>
    <row r="11" spans="1:3" x14ac:dyDescent="0.35">
      <c r="A11" t="s">
        <v>16</v>
      </c>
      <c r="B11" t="s">
        <v>4</v>
      </c>
      <c r="C11">
        <v>2.6051413351742525</v>
      </c>
    </row>
    <row r="12" spans="1:3" x14ac:dyDescent="0.35">
      <c r="A12" t="s">
        <v>17</v>
      </c>
      <c r="B12" t="s">
        <v>4</v>
      </c>
      <c r="C12">
        <v>50.778097765980561</v>
      </c>
    </row>
    <row r="13" spans="1:3" x14ac:dyDescent="0.35">
      <c r="A13" t="s">
        <v>18</v>
      </c>
      <c r="B13" t="s">
        <v>4</v>
      </c>
      <c r="C13">
        <v>22.327324522355244</v>
      </c>
    </row>
    <row r="14" spans="1:3" x14ac:dyDescent="0.35">
      <c r="A14" t="s">
        <v>19</v>
      </c>
      <c r="B14" t="s">
        <v>4</v>
      </c>
      <c r="C14">
        <v>2.4711659374008907</v>
      </c>
    </row>
    <row r="15" spans="1:3" x14ac:dyDescent="0.35">
      <c r="A15" t="s">
        <v>20</v>
      </c>
      <c r="B15" t="s">
        <v>4</v>
      </c>
      <c r="C15">
        <v>15.927874544957639</v>
      </c>
    </row>
    <row r="16" spans="1:3" x14ac:dyDescent="0.35">
      <c r="A16" t="s">
        <v>21</v>
      </c>
      <c r="B16" t="s">
        <v>4</v>
      </c>
      <c r="C16">
        <v>21.395993908481675</v>
      </c>
    </row>
    <row r="17" spans="1:3" x14ac:dyDescent="0.35">
      <c r="A17" t="s">
        <v>22</v>
      </c>
      <c r="B17" t="s">
        <v>4</v>
      </c>
      <c r="C17">
        <v>93.284318849165771</v>
      </c>
    </row>
    <row r="18" spans="1:3" x14ac:dyDescent="0.35">
      <c r="A18" t="s">
        <v>23</v>
      </c>
      <c r="B18" t="s">
        <v>4</v>
      </c>
      <c r="C18">
        <v>5753.7453403574918</v>
      </c>
    </row>
    <row r="19" spans="1:3" x14ac:dyDescent="0.35">
      <c r="A19" t="s">
        <v>24</v>
      </c>
      <c r="B19" t="s">
        <v>4</v>
      </c>
      <c r="C19">
        <v>541.67109369934224</v>
      </c>
    </row>
    <row r="20" spans="1:3" x14ac:dyDescent="0.35">
      <c r="A20" t="s">
        <v>25</v>
      </c>
      <c r="B20" t="s">
        <v>4</v>
      </c>
      <c r="C20">
        <v>4919.0920032474323</v>
      </c>
    </row>
    <row r="21" spans="1:3" x14ac:dyDescent="0.35">
      <c r="A21" t="s">
        <v>26</v>
      </c>
      <c r="B21" t="s">
        <v>4</v>
      </c>
      <c r="C21">
        <v>5736.0724572131112</v>
      </c>
    </row>
    <row r="22" spans="1:3" x14ac:dyDescent="0.35">
      <c r="A22" t="s">
        <v>27</v>
      </c>
      <c r="B22" t="s">
        <v>4</v>
      </c>
      <c r="C22">
        <v>1025.7777052125568</v>
      </c>
    </row>
    <row r="23" spans="1:3" x14ac:dyDescent="0.35">
      <c r="A23" t="s">
        <v>28</v>
      </c>
      <c r="B23" t="s">
        <v>4</v>
      </c>
      <c r="C23">
        <v>1358.6492343213297</v>
      </c>
    </row>
    <row r="24" spans="1:3" x14ac:dyDescent="0.35">
      <c r="A24" t="s">
        <v>29</v>
      </c>
      <c r="B24" t="s">
        <v>4</v>
      </c>
      <c r="C24">
        <v>3131.280728153054</v>
      </c>
    </row>
    <row r="25" spans="1:3" x14ac:dyDescent="0.35">
      <c r="A25" t="s">
        <v>30</v>
      </c>
      <c r="B25" t="s">
        <v>4</v>
      </c>
      <c r="C25">
        <v>1398.6912006287707</v>
      </c>
    </row>
    <row r="26" spans="1:3" x14ac:dyDescent="0.35">
      <c r="A26" t="s">
        <v>31</v>
      </c>
      <c r="B26" t="s">
        <v>4</v>
      </c>
      <c r="C26">
        <v>4404.4309818604443</v>
      </c>
    </row>
    <row r="27" spans="1:3" x14ac:dyDescent="0.35">
      <c r="A27" t="s">
        <v>32</v>
      </c>
      <c r="B27" t="s">
        <v>4</v>
      </c>
      <c r="C27">
        <v>3368.3930984564072</v>
      </c>
    </row>
    <row r="28" spans="1:3" x14ac:dyDescent="0.35">
      <c r="A28" t="s">
        <v>33</v>
      </c>
      <c r="B28" t="s">
        <v>4</v>
      </c>
      <c r="C28">
        <v>39468.38239646201</v>
      </c>
    </row>
    <row r="29" spans="1:3" x14ac:dyDescent="0.35">
      <c r="A29" t="s">
        <v>34</v>
      </c>
      <c r="B29" t="s">
        <v>4</v>
      </c>
      <c r="C29">
        <v>1425.7262242703957</v>
      </c>
    </row>
    <row r="30" spans="1:3" x14ac:dyDescent="0.35">
      <c r="A30" t="s">
        <v>35</v>
      </c>
      <c r="B30" t="s">
        <v>4</v>
      </c>
      <c r="C30">
        <v>5245.0050575992427</v>
      </c>
    </row>
    <row r="31" spans="1:3" x14ac:dyDescent="0.35">
      <c r="A31" t="s">
        <v>36</v>
      </c>
      <c r="B31" t="s">
        <v>4</v>
      </c>
      <c r="C31">
        <v>7012.3316154662944</v>
      </c>
    </row>
    <row r="32" spans="1:3" x14ac:dyDescent="0.35">
      <c r="A32" t="s">
        <v>37</v>
      </c>
      <c r="B32" t="s">
        <v>4</v>
      </c>
      <c r="C32">
        <v>1369.3313807434611</v>
      </c>
    </row>
    <row r="33" spans="1:3" x14ac:dyDescent="0.35">
      <c r="A33" t="s">
        <v>38</v>
      </c>
      <c r="B33" t="s">
        <v>4</v>
      </c>
      <c r="C33">
        <v>1743.4787852896261</v>
      </c>
    </row>
    <row r="34" spans="1:3" x14ac:dyDescent="0.35">
      <c r="A34" t="s">
        <v>39</v>
      </c>
      <c r="B34" t="s">
        <v>4</v>
      </c>
      <c r="C34">
        <v>1945.3419243888934</v>
      </c>
    </row>
    <row r="35" spans="1:3" x14ac:dyDescent="0.35">
      <c r="A35" t="s">
        <v>7</v>
      </c>
      <c r="B35" t="s">
        <v>5</v>
      </c>
      <c r="C35">
        <v>2536.3644548886659</v>
      </c>
    </row>
    <row r="36" spans="1:3" x14ac:dyDescent="0.35">
      <c r="A36" t="s">
        <v>8</v>
      </c>
      <c r="B36" t="s">
        <v>5</v>
      </c>
      <c r="C36">
        <v>475.05536213068115</v>
      </c>
    </row>
    <row r="37" spans="1:3" x14ac:dyDescent="0.35">
      <c r="A37" t="s">
        <v>9</v>
      </c>
      <c r="B37" t="s">
        <v>5</v>
      </c>
      <c r="C37">
        <v>5883.6418404577607</v>
      </c>
    </row>
    <row r="38" spans="1:3" x14ac:dyDescent="0.35">
      <c r="A38" t="s">
        <v>10</v>
      </c>
      <c r="B38" t="s">
        <v>5</v>
      </c>
      <c r="C38">
        <v>2415.2055029557714</v>
      </c>
    </row>
    <row r="39" spans="1:3" x14ac:dyDescent="0.35">
      <c r="A39" t="s">
        <v>11</v>
      </c>
      <c r="B39" t="s">
        <v>5</v>
      </c>
      <c r="C39">
        <v>1952.528421891717</v>
      </c>
    </row>
    <row r="40" spans="1:3" x14ac:dyDescent="0.35">
      <c r="A40" t="s">
        <v>12</v>
      </c>
      <c r="B40" t="s">
        <v>5</v>
      </c>
      <c r="C40">
        <v>9.9999999999999995E-7</v>
      </c>
    </row>
    <row r="41" spans="1:3" x14ac:dyDescent="0.35">
      <c r="A41" t="s">
        <v>13</v>
      </c>
      <c r="B41" t="s">
        <v>5</v>
      </c>
      <c r="C41">
        <v>131.10762998786825</v>
      </c>
    </row>
    <row r="42" spans="1:3" x14ac:dyDescent="0.35">
      <c r="A42" t="s">
        <v>14</v>
      </c>
      <c r="B42" t="s">
        <v>5</v>
      </c>
      <c r="C42">
        <v>1144.6490654243132</v>
      </c>
    </row>
    <row r="43" spans="1:3" x14ac:dyDescent="0.35">
      <c r="A43" t="s">
        <v>15</v>
      </c>
      <c r="B43" t="s">
        <v>5</v>
      </c>
      <c r="C43">
        <v>2010.926124470961</v>
      </c>
    </row>
    <row r="44" spans="1:3" x14ac:dyDescent="0.35">
      <c r="A44" t="s">
        <v>16</v>
      </c>
      <c r="B44" t="s">
        <v>5</v>
      </c>
      <c r="C44">
        <v>4.8554721898342539</v>
      </c>
    </row>
    <row r="45" spans="1:3" x14ac:dyDescent="0.35">
      <c r="A45" t="s">
        <v>17</v>
      </c>
      <c r="B45" t="s">
        <v>5</v>
      </c>
      <c r="C45">
        <v>38.564875863471059</v>
      </c>
    </row>
    <row r="46" spans="1:3" x14ac:dyDescent="0.35">
      <c r="A46" t="s">
        <v>18</v>
      </c>
      <c r="B46" t="s">
        <v>5</v>
      </c>
      <c r="C46">
        <v>72.569988256590023</v>
      </c>
    </row>
    <row r="47" spans="1:3" x14ac:dyDescent="0.35">
      <c r="A47" t="s">
        <v>19</v>
      </c>
      <c r="B47" t="s">
        <v>5</v>
      </c>
      <c r="C47">
        <v>21.257564496630984</v>
      </c>
    </row>
    <row r="48" spans="1:3" x14ac:dyDescent="0.35">
      <c r="A48" t="s">
        <v>20</v>
      </c>
      <c r="B48" t="s">
        <v>5</v>
      </c>
      <c r="C48">
        <v>353.15309631876693</v>
      </c>
    </row>
    <row r="49" spans="1:3" x14ac:dyDescent="0.35">
      <c r="A49" t="s">
        <v>21</v>
      </c>
      <c r="B49" t="s">
        <v>5</v>
      </c>
      <c r="C49">
        <v>524.10705188197301</v>
      </c>
    </row>
    <row r="50" spans="1:3" x14ac:dyDescent="0.35">
      <c r="A50" t="s">
        <v>22</v>
      </c>
      <c r="B50" t="s">
        <v>5</v>
      </c>
      <c r="C50">
        <v>318.41675002315566</v>
      </c>
    </row>
    <row r="51" spans="1:3" x14ac:dyDescent="0.35">
      <c r="A51" t="s">
        <v>23</v>
      </c>
      <c r="B51" t="s">
        <v>5</v>
      </c>
      <c r="C51">
        <v>44.419940085865626</v>
      </c>
    </row>
    <row r="52" spans="1:3" x14ac:dyDescent="0.35">
      <c r="A52" t="s">
        <v>24</v>
      </c>
      <c r="B52" t="s">
        <v>5</v>
      </c>
      <c r="C52">
        <v>10.895778566790536</v>
      </c>
    </row>
    <row r="53" spans="1:3" x14ac:dyDescent="0.35">
      <c r="A53" t="s">
        <v>25</v>
      </c>
      <c r="B53" t="s">
        <v>5</v>
      </c>
      <c r="C53">
        <v>54.144149213427781</v>
      </c>
    </row>
    <row r="54" spans="1:3" x14ac:dyDescent="0.35">
      <c r="A54" t="s">
        <v>26</v>
      </c>
      <c r="B54" t="s">
        <v>5</v>
      </c>
      <c r="C54">
        <v>123.8640115923983</v>
      </c>
    </row>
    <row r="55" spans="1:3" x14ac:dyDescent="0.35">
      <c r="A55" t="s">
        <v>27</v>
      </c>
      <c r="B55" t="s">
        <v>5</v>
      </c>
      <c r="C55">
        <v>19.71961914812082</v>
      </c>
    </row>
    <row r="56" spans="1:3" x14ac:dyDescent="0.35">
      <c r="A56" t="s">
        <v>28</v>
      </c>
      <c r="B56" t="s">
        <v>5</v>
      </c>
      <c r="C56">
        <v>6.9928271473578052</v>
      </c>
    </row>
    <row r="57" spans="1:3" x14ac:dyDescent="0.35">
      <c r="A57" t="s">
        <v>29</v>
      </c>
      <c r="B57" t="s">
        <v>5</v>
      </c>
      <c r="C57">
        <v>52.57905621906464</v>
      </c>
    </row>
    <row r="58" spans="1:3" x14ac:dyDescent="0.35">
      <c r="A58" t="s">
        <v>30</v>
      </c>
      <c r="B58" t="s">
        <v>5</v>
      </c>
      <c r="C58">
        <v>6.2111762219416198</v>
      </c>
    </row>
    <row r="59" spans="1:3" x14ac:dyDescent="0.35">
      <c r="A59" t="s">
        <v>31</v>
      </c>
      <c r="B59" t="s">
        <v>5</v>
      </c>
      <c r="C59">
        <v>113.25919817288404</v>
      </c>
    </row>
    <row r="60" spans="1:3" x14ac:dyDescent="0.35">
      <c r="A60" t="s">
        <v>32</v>
      </c>
      <c r="B60" t="s">
        <v>5</v>
      </c>
      <c r="C60">
        <v>31.863868367090895</v>
      </c>
    </row>
    <row r="61" spans="1:3" x14ac:dyDescent="0.35">
      <c r="A61" t="s">
        <v>33</v>
      </c>
      <c r="B61" t="s">
        <v>5</v>
      </c>
      <c r="C61">
        <v>1055.6261890568567</v>
      </c>
    </row>
    <row r="62" spans="1:3" x14ac:dyDescent="0.35">
      <c r="A62" t="s">
        <v>34</v>
      </c>
      <c r="B62" t="s">
        <v>5</v>
      </c>
      <c r="C62">
        <v>8.7050961616391422</v>
      </c>
    </row>
    <row r="63" spans="1:3" x14ac:dyDescent="0.35">
      <c r="A63" t="s">
        <v>35</v>
      </c>
      <c r="B63" t="s">
        <v>5</v>
      </c>
      <c r="C63">
        <v>79.807067058338291</v>
      </c>
    </row>
    <row r="64" spans="1:3" x14ac:dyDescent="0.35">
      <c r="A64" t="s">
        <v>36</v>
      </c>
      <c r="B64" t="s">
        <v>5</v>
      </c>
      <c r="C64">
        <v>2412.2961261401219</v>
      </c>
    </row>
    <row r="65" spans="1:3" x14ac:dyDescent="0.35">
      <c r="A65" t="s">
        <v>37</v>
      </c>
      <c r="B65" t="s">
        <v>5</v>
      </c>
      <c r="C65">
        <v>45.496983528721508</v>
      </c>
    </row>
    <row r="66" spans="1:3" x14ac:dyDescent="0.35">
      <c r="A66" t="s">
        <v>38</v>
      </c>
      <c r="B66" t="s">
        <v>5</v>
      </c>
      <c r="C66">
        <v>144.87502641372132</v>
      </c>
    </row>
    <row r="67" spans="1:3" x14ac:dyDescent="0.35">
      <c r="A67" t="s">
        <v>39</v>
      </c>
      <c r="B67" t="s">
        <v>5</v>
      </c>
      <c r="C67">
        <v>9.9999999999999995E-7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1">
    <tabColor rgb="FFFF0000"/>
  </sheetPr>
  <dimension ref="A1:C34"/>
  <sheetViews>
    <sheetView workbookViewId="0">
      <selection activeCell="L43" sqref="L43"/>
    </sheetView>
  </sheetViews>
  <sheetFormatPr defaultRowHeight="14.5" x14ac:dyDescent="0.35"/>
  <cols>
    <col min="1" max="1" width="11.26953125" bestFit="1" customWidth="1"/>
    <col min="2" max="2" width="12.36328125" bestFit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 s="2">
        <v>13478.351902081989</v>
      </c>
    </row>
    <row r="3" spans="1:2" x14ac:dyDescent="0.35">
      <c r="A3" t="s">
        <v>8</v>
      </c>
      <c r="B3" s="2">
        <v>125317.36036255097</v>
      </c>
    </row>
    <row r="4" spans="1:2" x14ac:dyDescent="0.35">
      <c r="A4" t="s">
        <v>9</v>
      </c>
      <c r="B4" s="2">
        <v>40267.724701005194</v>
      </c>
    </row>
    <row r="5" spans="1:2" x14ac:dyDescent="0.35">
      <c r="A5" t="s">
        <v>10</v>
      </c>
      <c r="B5" s="2">
        <v>18250.608304205467</v>
      </c>
    </row>
    <row r="6" spans="1:2" x14ac:dyDescent="0.35">
      <c r="A6" t="s">
        <v>11</v>
      </c>
      <c r="B6" s="2">
        <v>11177.054523798743</v>
      </c>
    </row>
    <row r="7" spans="1:2" x14ac:dyDescent="0.35">
      <c r="A7" t="s">
        <v>12</v>
      </c>
      <c r="B7" s="2">
        <v>2027.6278314589742</v>
      </c>
    </row>
    <row r="8" spans="1:2" x14ac:dyDescent="0.35">
      <c r="A8" t="s">
        <v>13</v>
      </c>
      <c r="B8" s="2">
        <v>3806.5155733022907</v>
      </c>
    </row>
    <row r="9" spans="1:2" x14ac:dyDescent="0.35">
      <c r="A9" t="s">
        <v>14</v>
      </c>
      <c r="B9" s="2">
        <v>23605.032081154142</v>
      </c>
    </row>
    <row r="10" spans="1:2" x14ac:dyDescent="0.35">
      <c r="A10" t="s">
        <v>15</v>
      </c>
      <c r="B10" s="2">
        <v>44799.937548905371</v>
      </c>
    </row>
    <row r="11" spans="1:2" x14ac:dyDescent="0.35">
      <c r="A11" t="s">
        <v>16</v>
      </c>
      <c r="B11" s="2">
        <v>11455.931012608735</v>
      </c>
    </row>
    <row r="12" spans="1:2" x14ac:dyDescent="0.35">
      <c r="A12" t="s">
        <v>17</v>
      </c>
      <c r="B12" s="2">
        <v>4728.6532694254747</v>
      </c>
    </row>
    <row r="13" spans="1:2" x14ac:dyDescent="0.35">
      <c r="A13" t="s">
        <v>18</v>
      </c>
      <c r="B13" s="2">
        <v>129405.85466863023</v>
      </c>
    </row>
    <row r="14" spans="1:2" x14ac:dyDescent="0.35">
      <c r="A14" t="s">
        <v>19</v>
      </c>
      <c r="B14" s="2">
        <v>40306.887845423233</v>
      </c>
    </row>
    <row r="15" spans="1:2" x14ac:dyDescent="0.35">
      <c r="A15" t="s">
        <v>20</v>
      </c>
      <c r="B15" s="2">
        <v>127465.50584737753</v>
      </c>
    </row>
    <row r="16" spans="1:2" x14ac:dyDescent="0.35">
      <c r="A16" t="s">
        <v>21</v>
      </c>
      <c r="B16" s="2">
        <v>32111.616276144228</v>
      </c>
    </row>
    <row r="17" spans="1:3" x14ac:dyDescent="0.35">
      <c r="A17" t="s">
        <v>22</v>
      </c>
      <c r="B17" s="2">
        <v>45765.019005968468</v>
      </c>
    </row>
    <row r="18" spans="1:3" x14ac:dyDescent="0.35">
      <c r="A18" t="s">
        <v>23</v>
      </c>
      <c r="B18" s="2">
        <v>0</v>
      </c>
    </row>
    <row r="19" spans="1:3" x14ac:dyDescent="0.35">
      <c r="A19" t="s">
        <v>24</v>
      </c>
      <c r="B19" s="2">
        <v>10439.045282394723</v>
      </c>
    </row>
    <row r="20" spans="1:3" x14ac:dyDescent="0.35">
      <c r="A20" t="s">
        <v>25</v>
      </c>
      <c r="B20" s="2">
        <v>120060.02418812897</v>
      </c>
    </row>
    <row r="21" spans="1:3" x14ac:dyDescent="0.35">
      <c r="A21" t="s">
        <v>26</v>
      </c>
      <c r="B21" s="2">
        <v>53293.127960201848</v>
      </c>
    </row>
    <row r="22" spans="1:3" x14ac:dyDescent="0.35">
      <c r="A22" t="s">
        <v>27</v>
      </c>
      <c r="B22" s="2">
        <v>5980.5938984171889</v>
      </c>
    </row>
    <row r="23" spans="1:3" x14ac:dyDescent="0.35">
      <c r="A23" t="s">
        <v>28</v>
      </c>
      <c r="B23" s="2">
        <v>0</v>
      </c>
    </row>
    <row r="24" spans="1:3" x14ac:dyDescent="0.35">
      <c r="A24" t="s">
        <v>29</v>
      </c>
      <c r="B24" s="2">
        <v>86575.175357681437</v>
      </c>
    </row>
    <row r="25" spans="1:3" x14ac:dyDescent="0.35">
      <c r="A25" t="s">
        <v>30</v>
      </c>
      <c r="B25" s="2">
        <v>6757.0071099840179</v>
      </c>
    </row>
    <row r="26" spans="1:3" x14ac:dyDescent="0.35">
      <c r="A26" t="s">
        <v>31</v>
      </c>
      <c r="B26" s="2">
        <v>13336.454154241277</v>
      </c>
    </row>
    <row r="27" spans="1:3" x14ac:dyDescent="0.35">
      <c r="A27" t="s">
        <v>32</v>
      </c>
      <c r="B27" s="2">
        <v>14947.814660519402</v>
      </c>
    </row>
    <row r="28" spans="1:3" x14ac:dyDescent="0.35">
      <c r="A28" t="s">
        <v>33</v>
      </c>
      <c r="B28" s="2">
        <v>0</v>
      </c>
    </row>
    <row r="29" spans="1:3" x14ac:dyDescent="0.35">
      <c r="A29" t="s">
        <v>34</v>
      </c>
      <c r="B29" s="2">
        <v>20041.790776604397</v>
      </c>
    </row>
    <row r="30" spans="1:3" x14ac:dyDescent="0.35">
      <c r="A30" t="s">
        <v>35</v>
      </c>
      <c r="B30" s="2">
        <v>7236.4416155575545</v>
      </c>
      <c r="C30" s="3"/>
    </row>
    <row r="31" spans="1:3" x14ac:dyDescent="0.35">
      <c r="A31" t="s">
        <v>36</v>
      </c>
      <c r="B31" s="2">
        <v>0</v>
      </c>
    </row>
    <row r="32" spans="1:3" x14ac:dyDescent="0.35">
      <c r="A32" t="s">
        <v>37</v>
      </c>
      <c r="B32">
        <v>1372.375750150024</v>
      </c>
    </row>
    <row r="33" spans="1:2" x14ac:dyDescent="0.35">
      <c r="A33" t="s">
        <v>38</v>
      </c>
      <c r="B33">
        <v>3516.9781825325385</v>
      </c>
    </row>
    <row r="34" spans="1:2" x14ac:dyDescent="0.35">
      <c r="A34" t="s">
        <v>39</v>
      </c>
      <c r="B34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2"/>
  <dimension ref="A1:C67"/>
  <sheetViews>
    <sheetView workbookViewId="0">
      <selection activeCell="C2" sqref="C2:C67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t="s">
        <v>7</v>
      </c>
      <c r="B2" t="s">
        <v>4</v>
      </c>
      <c r="C2">
        <v>0</v>
      </c>
    </row>
    <row r="3" spans="1:3" x14ac:dyDescent="0.35">
      <c r="A3" t="s">
        <v>8</v>
      </c>
      <c r="B3" t="s">
        <v>4</v>
      </c>
      <c r="C3">
        <v>0</v>
      </c>
    </row>
    <row r="4" spans="1:3" x14ac:dyDescent="0.35">
      <c r="A4" t="s">
        <v>9</v>
      </c>
      <c r="B4" t="s">
        <v>4</v>
      </c>
      <c r="C4">
        <v>0</v>
      </c>
    </row>
    <row r="5" spans="1:3" x14ac:dyDescent="0.35">
      <c r="A5" t="s">
        <v>10</v>
      </c>
      <c r="B5" t="s">
        <v>4</v>
      </c>
      <c r="C5">
        <v>0</v>
      </c>
    </row>
    <row r="6" spans="1:3" x14ac:dyDescent="0.35">
      <c r="A6" t="s">
        <v>11</v>
      </c>
      <c r="B6" t="s">
        <v>4</v>
      </c>
      <c r="C6">
        <v>0</v>
      </c>
    </row>
    <row r="7" spans="1:3" x14ac:dyDescent="0.35">
      <c r="A7" t="s">
        <v>12</v>
      </c>
      <c r="B7" t="s">
        <v>4</v>
      </c>
      <c r="C7">
        <v>0</v>
      </c>
    </row>
    <row r="8" spans="1:3" x14ac:dyDescent="0.35">
      <c r="A8" t="s">
        <v>13</v>
      </c>
      <c r="B8" t="s">
        <v>4</v>
      </c>
      <c r="C8">
        <v>0</v>
      </c>
    </row>
    <row r="9" spans="1:3" x14ac:dyDescent="0.35">
      <c r="A9" t="s">
        <v>14</v>
      </c>
      <c r="B9" t="s">
        <v>4</v>
      </c>
      <c r="C9">
        <v>0</v>
      </c>
    </row>
    <row r="10" spans="1:3" x14ac:dyDescent="0.35">
      <c r="A10" t="s">
        <v>15</v>
      </c>
      <c r="B10" t="s">
        <v>4</v>
      </c>
      <c r="C10">
        <v>0</v>
      </c>
    </row>
    <row r="11" spans="1:3" x14ac:dyDescent="0.35">
      <c r="A11" t="s">
        <v>16</v>
      </c>
      <c r="B11" t="s">
        <v>4</v>
      </c>
      <c r="C11">
        <v>0</v>
      </c>
    </row>
    <row r="12" spans="1:3" x14ac:dyDescent="0.35">
      <c r="A12" t="s">
        <v>17</v>
      </c>
      <c r="B12" t="s">
        <v>4</v>
      </c>
      <c r="C12">
        <v>0</v>
      </c>
    </row>
    <row r="13" spans="1:3" x14ac:dyDescent="0.35">
      <c r="A13" t="s">
        <v>18</v>
      </c>
      <c r="B13" t="s">
        <v>4</v>
      </c>
      <c r="C13">
        <v>0</v>
      </c>
    </row>
    <row r="14" spans="1:3" x14ac:dyDescent="0.35">
      <c r="A14" t="s">
        <v>19</v>
      </c>
      <c r="B14" t="s">
        <v>4</v>
      </c>
      <c r="C14">
        <v>0</v>
      </c>
    </row>
    <row r="15" spans="1:3" x14ac:dyDescent="0.35">
      <c r="A15" t="s">
        <v>20</v>
      </c>
      <c r="B15" t="s">
        <v>4</v>
      </c>
      <c r="C15">
        <v>0</v>
      </c>
    </row>
    <row r="16" spans="1:3" x14ac:dyDescent="0.35">
      <c r="A16" t="s">
        <v>21</v>
      </c>
      <c r="B16" t="s">
        <v>4</v>
      </c>
      <c r="C16">
        <v>0</v>
      </c>
    </row>
    <row r="17" spans="1:3" x14ac:dyDescent="0.35">
      <c r="A17" t="s">
        <v>22</v>
      </c>
      <c r="B17" t="s">
        <v>4</v>
      </c>
      <c r="C17">
        <v>0</v>
      </c>
    </row>
    <row r="18" spans="1:3" x14ac:dyDescent="0.35">
      <c r="A18" t="s">
        <v>23</v>
      </c>
      <c r="B18" t="s">
        <v>4</v>
      </c>
      <c r="C18">
        <v>4682.9203569903157</v>
      </c>
    </row>
    <row r="19" spans="1:3" x14ac:dyDescent="0.35">
      <c r="A19" t="s">
        <v>24</v>
      </c>
      <c r="B19" t="s">
        <v>4</v>
      </c>
      <c r="C19">
        <v>0</v>
      </c>
    </row>
    <row r="20" spans="1:3" x14ac:dyDescent="0.35">
      <c r="A20" t="s">
        <v>25</v>
      </c>
      <c r="B20" t="s">
        <v>4</v>
      </c>
      <c r="C20">
        <v>0</v>
      </c>
    </row>
    <row r="21" spans="1:3" x14ac:dyDescent="0.35">
      <c r="A21" t="s">
        <v>26</v>
      </c>
      <c r="B21" t="s">
        <v>4</v>
      </c>
      <c r="C21">
        <v>0</v>
      </c>
    </row>
    <row r="22" spans="1:3" x14ac:dyDescent="0.35">
      <c r="A22" t="s">
        <v>27</v>
      </c>
      <c r="B22" t="s">
        <v>4</v>
      </c>
      <c r="C22">
        <v>0</v>
      </c>
    </row>
    <row r="23" spans="1:3" x14ac:dyDescent="0.35">
      <c r="A23" t="s">
        <v>28</v>
      </c>
      <c r="B23" t="s">
        <v>4</v>
      </c>
      <c r="C23">
        <v>0</v>
      </c>
    </row>
    <row r="24" spans="1:3" x14ac:dyDescent="0.35">
      <c r="A24" t="s">
        <v>29</v>
      </c>
      <c r="B24" t="s">
        <v>4</v>
      </c>
      <c r="C24">
        <v>0</v>
      </c>
    </row>
    <row r="25" spans="1:3" x14ac:dyDescent="0.35">
      <c r="A25" t="s">
        <v>30</v>
      </c>
      <c r="B25" t="s">
        <v>4</v>
      </c>
      <c r="C25">
        <v>0</v>
      </c>
    </row>
    <row r="26" spans="1:3" x14ac:dyDescent="0.35">
      <c r="A26" t="s">
        <v>31</v>
      </c>
      <c r="B26" t="s">
        <v>4</v>
      </c>
      <c r="C26">
        <v>0</v>
      </c>
    </row>
    <row r="27" spans="1:3" x14ac:dyDescent="0.35">
      <c r="A27" t="s">
        <v>32</v>
      </c>
      <c r="B27" t="s">
        <v>4</v>
      </c>
      <c r="C27">
        <v>0</v>
      </c>
    </row>
    <row r="28" spans="1:3" x14ac:dyDescent="0.35">
      <c r="A28" t="s">
        <v>33</v>
      </c>
      <c r="B28" t="s">
        <v>4</v>
      </c>
      <c r="C28">
        <v>0</v>
      </c>
    </row>
    <row r="29" spans="1:3" x14ac:dyDescent="0.35">
      <c r="A29" t="s">
        <v>34</v>
      </c>
      <c r="B29" t="s">
        <v>4</v>
      </c>
      <c r="C29">
        <v>0</v>
      </c>
    </row>
    <row r="30" spans="1:3" x14ac:dyDescent="0.35">
      <c r="A30" t="s">
        <v>35</v>
      </c>
      <c r="B30" t="s">
        <v>4</v>
      </c>
      <c r="C30">
        <v>35809.413824931071</v>
      </c>
    </row>
    <row r="31" spans="1:3" x14ac:dyDescent="0.35">
      <c r="A31" t="s">
        <v>36</v>
      </c>
      <c r="B31" t="s">
        <v>4</v>
      </c>
      <c r="C31">
        <v>4822.6353823717964</v>
      </c>
    </row>
    <row r="32" spans="1:3" x14ac:dyDescent="0.35">
      <c r="A32" t="s">
        <v>37</v>
      </c>
      <c r="B32" t="s">
        <v>4</v>
      </c>
      <c r="C32">
        <v>6067.0465409454337</v>
      </c>
    </row>
    <row r="33" spans="1:3" x14ac:dyDescent="0.35">
      <c r="A33" t="s">
        <v>38</v>
      </c>
      <c r="B33" t="s">
        <v>4</v>
      </c>
      <c r="C33">
        <v>855.2854046109768</v>
      </c>
    </row>
    <row r="34" spans="1:3" x14ac:dyDescent="0.35">
      <c r="A34" t="s">
        <v>39</v>
      </c>
      <c r="B34" t="s">
        <v>4</v>
      </c>
      <c r="C34">
        <v>0</v>
      </c>
    </row>
    <row r="35" spans="1:3" x14ac:dyDescent="0.35">
      <c r="A35" t="s">
        <v>7</v>
      </c>
      <c r="B35" t="s">
        <v>5</v>
      </c>
      <c r="C35">
        <v>0</v>
      </c>
    </row>
    <row r="36" spans="1:3" x14ac:dyDescent="0.35">
      <c r="A36" t="s">
        <v>8</v>
      </c>
      <c r="B36" t="s">
        <v>5</v>
      </c>
      <c r="C36">
        <v>0</v>
      </c>
    </row>
    <row r="37" spans="1:3" x14ac:dyDescent="0.35">
      <c r="A37" t="s">
        <v>9</v>
      </c>
      <c r="B37" t="s">
        <v>5</v>
      </c>
      <c r="C37">
        <v>0</v>
      </c>
    </row>
    <row r="38" spans="1:3" x14ac:dyDescent="0.35">
      <c r="A38" t="s">
        <v>10</v>
      </c>
      <c r="B38" t="s">
        <v>5</v>
      </c>
      <c r="C38">
        <v>0</v>
      </c>
    </row>
    <row r="39" spans="1:3" x14ac:dyDescent="0.35">
      <c r="A39" t="s">
        <v>11</v>
      </c>
      <c r="B39" t="s">
        <v>5</v>
      </c>
      <c r="C39">
        <v>0</v>
      </c>
    </row>
    <row r="40" spans="1:3" x14ac:dyDescent="0.35">
      <c r="A40" t="s">
        <v>12</v>
      </c>
      <c r="B40" t="s">
        <v>5</v>
      </c>
      <c r="C40">
        <v>0</v>
      </c>
    </row>
    <row r="41" spans="1:3" x14ac:dyDescent="0.35">
      <c r="A41" t="s">
        <v>13</v>
      </c>
      <c r="B41" t="s">
        <v>5</v>
      </c>
      <c r="C41">
        <v>0</v>
      </c>
    </row>
    <row r="42" spans="1:3" x14ac:dyDescent="0.35">
      <c r="A42" t="s">
        <v>14</v>
      </c>
      <c r="B42" t="s">
        <v>5</v>
      </c>
      <c r="C42">
        <v>0</v>
      </c>
    </row>
    <row r="43" spans="1:3" x14ac:dyDescent="0.35">
      <c r="A43" t="s">
        <v>15</v>
      </c>
      <c r="B43" t="s">
        <v>5</v>
      </c>
      <c r="C43">
        <v>0</v>
      </c>
    </row>
    <row r="44" spans="1:3" x14ac:dyDescent="0.35">
      <c r="A44" t="s">
        <v>16</v>
      </c>
      <c r="B44" t="s">
        <v>5</v>
      </c>
      <c r="C44">
        <v>0</v>
      </c>
    </row>
    <row r="45" spans="1:3" x14ac:dyDescent="0.35">
      <c r="A45" t="s">
        <v>17</v>
      </c>
      <c r="B45" t="s">
        <v>5</v>
      </c>
      <c r="C45">
        <v>0</v>
      </c>
    </row>
    <row r="46" spans="1:3" x14ac:dyDescent="0.35">
      <c r="A46" t="s">
        <v>18</v>
      </c>
      <c r="B46" t="s">
        <v>5</v>
      </c>
      <c r="C46">
        <v>0</v>
      </c>
    </row>
    <row r="47" spans="1:3" x14ac:dyDescent="0.35">
      <c r="A47" t="s">
        <v>19</v>
      </c>
      <c r="B47" t="s">
        <v>5</v>
      </c>
      <c r="C47">
        <v>0</v>
      </c>
    </row>
    <row r="48" spans="1:3" x14ac:dyDescent="0.35">
      <c r="A48" t="s">
        <v>20</v>
      </c>
      <c r="B48" t="s">
        <v>5</v>
      </c>
      <c r="C48">
        <v>0</v>
      </c>
    </row>
    <row r="49" spans="1:3" x14ac:dyDescent="0.35">
      <c r="A49" t="s">
        <v>21</v>
      </c>
      <c r="B49" t="s">
        <v>5</v>
      </c>
      <c r="C49">
        <v>0</v>
      </c>
    </row>
    <row r="50" spans="1:3" x14ac:dyDescent="0.35">
      <c r="A50" t="s">
        <v>22</v>
      </c>
      <c r="B50" t="s">
        <v>5</v>
      </c>
      <c r="C50">
        <v>0</v>
      </c>
    </row>
    <row r="51" spans="1:3" x14ac:dyDescent="0.35">
      <c r="A51" t="s">
        <v>23</v>
      </c>
      <c r="B51" t="s">
        <v>5</v>
      </c>
      <c r="C51">
        <v>36.152979447765851</v>
      </c>
    </row>
    <row r="52" spans="1:3" x14ac:dyDescent="0.35">
      <c r="A52" t="s">
        <v>24</v>
      </c>
      <c r="B52" t="s">
        <v>5</v>
      </c>
      <c r="C52">
        <v>0</v>
      </c>
    </row>
    <row r="53" spans="1:3" x14ac:dyDescent="0.35">
      <c r="A53" t="s">
        <v>25</v>
      </c>
      <c r="B53" t="s">
        <v>5</v>
      </c>
      <c r="C53">
        <v>0</v>
      </c>
    </row>
    <row r="54" spans="1:3" x14ac:dyDescent="0.35">
      <c r="A54" t="s">
        <v>26</v>
      </c>
      <c r="B54" t="s">
        <v>5</v>
      </c>
      <c r="C54">
        <v>0</v>
      </c>
    </row>
    <row r="55" spans="1:3" x14ac:dyDescent="0.35">
      <c r="A55" t="s">
        <v>27</v>
      </c>
      <c r="B55" t="s">
        <v>5</v>
      </c>
      <c r="C55">
        <v>0</v>
      </c>
    </row>
    <row r="56" spans="1:3" x14ac:dyDescent="0.35">
      <c r="A56" t="s">
        <v>28</v>
      </c>
      <c r="B56" t="s">
        <v>5</v>
      </c>
      <c r="C56">
        <v>0</v>
      </c>
    </row>
    <row r="57" spans="1:3" x14ac:dyDescent="0.35">
      <c r="A57" t="s">
        <v>29</v>
      </c>
      <c r="B57" t="s">
        <v>5</v>
      </c>
      <c r="C57">
        <v>0</v>
      </c>
    </row>
    <row r="58" spans="1:3" x14ac:dyDescent="0.35">
      <c r="A58" t="s">
        <v>30</v>
      </c>
      <c r="B58" t="s">
        <v>5</v>
      </c>
      <c r="C58">
        <v>0</v>
      </c>
    </row>
    <row r="59" spans="1:3" x14ac:dyDescent="0.35">
      <c r="A59" t="s">
        <v>31</v>
      </c>
      <c r="B59" t="s">
        <v>5</v>
      </c>
      <c r="C59">
        <v>0</v>
      </c>
    </row>
    <row r="60" spans="1:3" x14ac:dyDescent="0.35">
      <c r="A60" t="s">
        <v>32</v>
      </c>
      <c r="B60" t="s">
        <v>5</v>
      </c>
      <c r="C60">
        <v>0</v>
      </c>
    </row>
    <row r="61" spans="1:3" x14ac:dyDescent="0.35">
      <c r="A61" t="s">
        <v>33</v>
      </c>
      <c r="B61" t="s">
        <v>5</v>
      </c>
      <c r="C61">
        <v>0</v>
      </c>
    </row>
    <row r="62" spans="1:3" x14ac:dyDescent="0.35">
      <c r="A62" t="s">
        <v>34</v>
      </c>
      <c r="B62" t="s">
        <v>5</v>
      </c>
      <c r="C62">
        <v>0</v>
      </c>
    </row>
    <row r="63" spans="1:3" x14ac:dyDescent="0.35">
      <c r="A63" t="s">
        <v>35</v>
      </c>
      <c r="B63" t="s">
        <v>5</v>
      </c>
      <c r="C63">
        <v>544.86968530962974</v>
      </c>
    </row>
    <row r="64" spans="1:3" x14ac:dyDescent="0.35">
      <c r="A64" t="s">
        <v>36</v>
      </c>
      <c r="B64" t="s">
        <v>5</v>
      </c>
      <c r="C64">
        <v>1659.0237435233682</v>
      </c>
    </row>
    <row r="65" spans="1:3" x14ac:dyDescent="0.35">
      <c r="A65" t="s">
        <v>37</v>
      </c>
      <c r="B65" t="s">
        <v>5</v>
      </c>
      <c r="C65">
        <v>201.58181909630105</v>
      </c>
    </row>
    <row r="66" spans="1:3" x14ac:dyDescent="0.35">
      <c r="A66" t="s">
        <v>38</v>
      </c>
      <c r="B66" t="s">
        <v>5</v>
      </c>
      <c r="C66">
        <v>71.070262423346122</v>
      </c>
    </row>
    <row r="67" spans="1:3" x14ac:dyDescent="0.35">
      <c r="A67" t="s">
        <v>39</v>
      </c>
      <c r="B67" t="s">
        <v>5</v>
      </c>
      <c r="C67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3"/>
  <dimension ref="A1:C67"/>
  <sheetViews>
    <sheetView workbookViewId="0"/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t="s">
        <v>7</v>
      </c>
      <c r="B2" t="s">
        <v>4</v>
      </c>
      <c r="C2">
        <v>0</v>
      </c>
    </row>
    <row r="3" spans="1:3" x14ac:dyDescent="0.35">
      <c r="A3" t="s">
        <v>8</v>
      </c>
      <c r="B3" t="s">
        <v>4</v>
      </c>
      <c r="C3">
        <v>0</v>
      </c>
    </row>
    <row r="4" spans="1:3" x14ac:dyDescent="0.35">
      <c r="A4" t="s">
        <v>9</v>
      </c>
      <c r="B4" t="s">
        <v>4</v>
      </c>
      <c r="C4">
        <v>0</v>
      </c>
    </row>
    <row r="5" spans="1:3" x14ac:dyDescent="0.35">
      <c r="A5" t="s">
        <v>10</v>
      </c>
      <c r="B5" t="s">
        <v>4</v>
      </c>
      <c r="C5">
        <v>0</v>
      </c>
    </row>
    <row r="6" spans="1:3" x14ac:dyDescent="0.35">
      <c r="A6" t="s">
        <v>11</v>
      </c>
      <c r="B6" t="s">
        <v>4</v>
      </c>
      <c r="C6">
        <v>0</v>
      </c>
    </row>
    <row r="7" spans="1:3" x14ac:dyDescent="0.35">
      <c r="A7" t="s">
        <v>12</v>
      </c>
      <c r="B7" t="s">
        <v>4</v>
      </c>
      <c r="C7">
        <v>0</v>
      </c>
    </row>
    <row r="8" spans="1:3" x14ac:dyDescent="0.35">
      <c r="A8" t="s">
        <v>13</v>
      </c>
      <c r="B8" t="s">
        <v>4</v>
      </c>
      <c r="C8">
        <v>0</v>
      </c>
    </row>
    <row r="9" spans="1:3" x14ac:dyDescent="0.35">
      <c r="A9" t="s">
        <v>14</v>
      </c>
      <c r="B9" t="s">
        <v>4</v>
      </c>
      <c r="C9">
        <v>0</v>
      </c>
    </row>
    <row r="10" spans="1:3" x14ac:dyDescent="0.35">
      <c r="A10" t="s">
        <v>15</v>
      </c>
      <c r="B10" t="s">
        <v>4</v>
      </c>
      <c r="C10">
        <v>0</v>
      </c>
    </row>
    <row r="11" spans="1:3" x14ac:dyDescent="0.35">
      <c r="A11" t="s">
        <v>16</v>
      </c>
      <c r="B11" t="s">
        <v>4</v>
      </c>
      <c r="C11">
        <v>0</v>
      </c>
    </row>
    <row r="12" spans="1:3" x14ac:dyDescent="0.35">
      <c r="A12" t="s">
        <v>17</v>
      </c>
      <c r="B12" t="s">
        <v>4</v>
      </c>
      <c r="C12">
        <v>0</v>
      </c>
    </row>
    <row r="13" spans="1:3" x14ac:dyDescent="0.35">
      <c r="A13" t="s">
        <v>18</v>
      </c>
      <c r="B13" t="s">
        <v>4</v>
      </c>
      <c r="C13">
        <v>0</v>
      </c>
    </row>
    <row r="14" spans="1:3" x14ac:dyDescent="0.35">
      <c r="A14" t="s">
        <v>19</v>
      </c>
      <c r="B14" t="s">
        <v>4</v>
      </c>
      <c r="C14">
        <v>0</v>
      </c>
    </row>
    <row r="15" spans="1:3" x14ac:dyDescent="0.35">
      <c r="A15" t="s">
        <v>20</v>
      </c>
      <c r="B15" t="s">
        <v>4</v>
      </c>
      <c r="C15">
        <v>0</v>
      </c>
    </row>
    <row r="16" spans="1:3" x14ac:dyDescent="0.35">
      <c r="A16" t="s">
        <v>21</v>
      </c>
      <c r="B16" t="s">
        <v>4</v>
      </c>
      <c r="C16">
        <v>0</v>
      </c>
    </row>
    <row r="17" spans="1:3" x14ac:dyDescent="0.35">
      <c r="A17" t="s">
        <v>22</v>
      </c>
      <c r="B17" t="s">
        <v>4</v>
      </c>
      <c r="C17">
        <v>0</v>
      </c>
    </row>
    <row r="18" spans="1:3" x14ac:dyDescent="0.35">
      <c r="A18" t="s">
        <v>23</v>
      </c>
      <c r="B18" t="s">
        <v>4</v>
      </c>
      <c r="C18">
        <v>0</v>
      </c>
    </row>
    <row r="19" spans="1:3" x14ac:dyDescent="0.35">
      <c r="A19" t="s">
        <v>24</v>
      </c>
      <c r="B19" t="s">
        <v>4</v>
      </c>
      <c r="C19">
        <v>0</v>
      </c>
    </row>
    <row r="20" spans="1:3" x14ac:dyDescent="0.35">
      <c r="A20" t="s">
        <v>25</v>
      </c>
      <c r="B20" t="s">
        <v>4</v>
      </c>
      <c r="C20">
        <v>0</v>
      </c>
    </row>
    <row r="21" spans="1:3" x14ac:dyDescent="0.35">
      <c r="A21" t="s">
        <v>26</v>
      </c>
      <c r="B21" t="s">
        <v>4</v>
      </c>
      <c r="C21">
        <v>0</v>
      </c>
    </row>
    <row r="22" spans="1:3" x14ac:dyDescent="0.35">
      <c r="A22" t="s">
        <v>27</v>
      </c>
      <c r="B22" t="s">
        <v>4</v>
      </c>
      <c r="C22">
        <v>0</v>
      </c>
    </row>
    <row r="23" spans="1:3" x14ac:dyDescent="0.35">
      <c r="A23" t="s">
        <v>28</v>
      </c>
      <c r="B23" t="s">
        <v>4</v>
      </c>
      <c r="C23">
        <v>0</v>
      </c>
    </row>
    <row r="24" spans="1:3" x14ac:dyDescent="0.35">
      <c r="A24" t="s">
        <v>29</v>
      </c>
      <c r="B24" t="s">
        <v>4</v>
      </c>
      <c r="C24">
        <v>0</v>
      </c>
    </row>
    <row r="25" spans="1:3" x14ac:dyDescent="0.35">
      <c r="A25" t="s">
        <v>30</v>
      </c>
      <c r="B25" t="s">
        <v>4</v>
      </c>
      <c r="C25">
        <v>0</v>
      </c>
    </row>
    <row r="26" spans="1:3" x14ac:dyDescent="0.35">
      <c r="A26" t="s">
        <v>31</v>
      </c>
      <c r="B26" t="s">
        <v>4</v>
      </c>
      <c r="C26">
        <v>0</v>
      </c>
    </row>
    <row r="27" spans="1:3" x14ac:dyDescent="0.35">
      <c r="A27" t="s">
        <v>32</v>
      </c>
      <c r="B27" t="s">
        <v>4</v>
      </c>
      <c r="C27">
        <v>0</v>
      </c>
    </row>
    <row r="28" spans="1:3" x14ac:dyDescent="0.35">
      <c r="A28" t="s">
        <v>33</v>
      </c>
      <c r="B28" t="s">
        <v>4</v>
      </c>
      <c r="C28">
        <v>0</v>
      </c>
    </row>
    <row r="29" spans="1:3" x14ac:dyDescent="0.35">
      <c r="A29" t="s">
        <v>34</v>
      </c>
      <c r="B29" t="s">
        <v>4</v>
      </c>
      <c r="C29">
        <v>0</v>
      </c>
    </row>
    <row r="30" spans="1:3" x14ac:dyDescent="0.35">
      <c r="A30" t="s">
        <v>35</v>
      </c>
      <c r="B30" t="s">
        <v>4</v>
      </c>
      <c r="C30">
        <v>0</v>
      </c>
    </row>
    <row r="31" spans="1:3" x14ac:dyDescent="0.35">
      <c r="A31" t="s">
        <v>36</v>
      </c>
      <c r="B31" t="s">
        <v>4</v>
      </c>
      <c r="C31">
        <v>0</v>
      </c>
    </row>
    <row r="32" spans="1:3" x14ac:dyDescent="0.35">
      <c r="A32" t="s">
        <v>37</v>
      </c>
      <c r="B32" t="s">
        <v>4</v>
      </c>
      <c r="C32">
        <v>0</v>
      </c>
    </row>
    <row r="33" spans="1:3" x14ac:dyDescent="0.35">
      <c r="A33" t="s">
        <v>38</v>
      </c>
      <c r="B33" t="s">
        <v>4</v>
      </c>
      <c r="C33">
        <v>0</v>
      </c>
    </row>
    <row r="34" spans="1:3" x14ac:dyDescent="0.35">
      <c r="A34" t="s">
        <v>39</v>
      </c>
      <c r="B34" t="s">
        <v>4</v>
      </c>
      <c r="C34">
        <v>0</v>
      </c>
    </row>
    <row r="35" spans="1:3" x14ac:dyDescent="0.35">
      <c r="A35" t="s">
        <v>7</v>
      </c>
      <c r="B35" t="s">
        <v>5</v>
      </c>
      <c r="C35">
        <v>0</v>
      </c>
    </row>
    <row r="36" spans="1:3" x14ac:dyDescent="0.35">
      <c r="A36" t="s">
        <v>8</v>
      </c>
      <c r="B36" t="s">
        <v>5</v>
      </c>
      <c r="C36">
        <v>0</v>
      </c>
    </row>
    <row r="37" spans="1:3" x14ac:dyDescent="0.35">
      <c r="A37" t="s">
        <v>9</v>
      </c>
      <c r="B37" t="s">
        <v>5</v>
      </c>
      <c r="C37">
        <v>0</v>
      </c>
    </row>
    <row r="38" spans="1:3" x14ac:dyDescent="0.35">
      <c r="A38" t="s">
        <v>10</v>
      </c>
      <c r="B38" t="s">
        <v>5</v>
      </c>
      <c r="C38">
        <v>0</v>
      </c>
    </row>
    <row r="39" spans="1:3" x14ac:dyDescent="0.35">
      <c r="A39" t="s">
        <v>11</v>
      </c>
      <c r="B39" t="s">
        <v>5</v>
      </c>
      <c r="C39">
        <v>0</v>
      </c>
    </row>
    <row r="40" spans="1:3" x14ac:dyDescent="0.35">
      <c r="A40" t="s">
        <v>12</v>
      </c>
      <c r="B40" t="s">
        <v>5</v>
      </c>
      <c r="C40">
        <v>0</v>
      </c>
    </row>
    <row r="41" spans="1:3" x14ac:dyDescent="0.35">
      <c r="A41" t="s">
        <v>13</v>
      </c>
      <c r="B41" t="s">
        <v>5</v>
      </c>
      <c r="C41">
        <v>0</v>
      </c>
    </row>
    <row r="42" spans="1:3" x14ac:dyDescent="0.35">
      <c r="A42" t="s">
        <v>14</v>
      </c>
      <c r="B42" t="s">
        <v>5</v>
      </c>
      <c r="C42">
        <v>0</v>
      </c>
    </row>
    <row r="43" spans="1:3" x14ac:dyDescent="0.35">
      <c r="A43" t="s">
        <v>15</v>
      </c>
      <c r="B43" t="s">
        <v>5</v>
      </c>
      <c r="C43">
        <v>0</v>
      </c>
    </row>
    <row r="44" spans="1:3" x14ac:dyDescent="0.35">
      <c r="A44" t="s">
        <v>16</v>
      </c>
      <c r="B44" t="s">
        <v>5</v>
      </c>
      <c r="C44">
        <v>0</v>
      </c>
    </row>
    <row r="45" spans="1:3" x14ac:dyDescent="0.35">
      <c r="A45" t="s">
        <v>17</v>
      </c>
      <c r="B45" t="s">
        <v>5</v>
      </c>
      <c r="C45">
        <v>0</v>
      </c>
    </row>
    <row r="46" spans="1:3" x14ac:dyDescent="0.35">
      <c r="A46" t="s">
        <v>18</v>
      </c>
      <c r="B46" t="s">
        <v>5</v>
      </c>
      <c r="C46">
        <v>0</v>
      </c>
    </row>
    <row r="47" spans="1:3" x14ac:dyDescent="0.35">
      <c r="A47" t="s">
        <v>19</v>
      </c>
      <c r="B47" t="s">
        <v>5</v>
      </c>
      <c r="C47">
        <v>0</v>
      </c>
    </row>
    <row r="48" spans="1:3" x14ac:dyDescent="0.35">
      <c r="A48" t="s">
        <v>20</v>
      </c>
      <c r="B48" t="s">
        <v>5</v>
      </c>
      <c r="C48">
        <v>0</v>
      </c>
    </row>
    <row r="49" spans="1:3" x14ac:dyDescent="0.35">
      <c r="A49" t="s">
        <v>21</v>
      </c>
      <c r="B49" t="s">
        <v>5</v>
      </c>
      <c r="C49">
        <v>0</v>
      </c>
    </row>
    <row r="50" spans="1:3" x14ac:dyDescent="0.35">
      <c r="A50" t="s">
        <v>22</v>
      </c>
      <c r="B50" t="s">
        <v>5</v>
      </c>
      <c r="C50">
        <v>0</v>
      </c>
    </row>
    <row r="51" spans="1:3" x14ac:dyDescent="0.35">
      <c r="A51" t="s">
        <v>23</v>
      </c>
      <c r="B51" t="s">
        <v>5</v>
      </c>
      <c r="C51">
        <v>0</v>
      </c>
    </row>
    <row r="52" spans="1:3" x14ac:dyDescent="0.35">
      <c r="A52" t="s">
        <v>24</v>
      </c>
      <c r="B52" t="s">
        <v>5</v>
      </c>
      <c r="C52">
        <v>0</v>
      </c>
    </row>
    <row r="53" spans="1:3" x14ac:dyDescent="0.35">
      <c r="A53" t="s">
        <v>25</v>
      </c>
      <c r="B53" t="s">
        <v>5</v>
      </c>
      <c r="C53">
        <v>0</v>
      </c>
    </row>
    <row r="54" spans="1:3" x14ac:dyDescent="0.35">
      <c r="A54" t="s">
        <v>26</v>
      </c>
      <c r="B54" t="s">
        <v>5</v>
      </c>
      <c r="C54">
        <v>0</v>
      </c>
    </row>
    <row r="55" spans="1:3" x14ac:dyDescent="0.35">
      <c r="A55" t="s">
        <v>27</v>
      </c>
      <c r="B55" t="s">
        <v>5</v>
      </c>
      <c r="C55">
        <v>0</v>
      </c>
    </row>
    <row r="56" spans="1:3" x14ac:dyDescent="0.35">
      <c r="A56" t="s">
        <v>28</v>
      </c>
      <c r="B56" t="s">
        <v>5</v>
      </c>
      <c r="C56">
        <v>0</v>
      </c>
    </row>
    <row r="57" spans="1:3" x14ac:dyDescent="0.35">
      <c r="A57" t="s">
        <v>29</v>
      </c>
      <c r="B57" t="s">
        <v>5</v>
      </c>
      <c r="C57">
        <v>0</v>
      </c>
    </row>
    <row r="58" spans="1:3" x14ac:dyDescent="0.35">
      <c r="A58" t="s">
        <v>30</v>
      </c>
      <c r="B58" t="s">
        <v>5</v>
      </c>
      <c r="C58">
        <v>0</v>
      </c>
    </row>
    <row r="59" spans="1:3" x14ac:dyDescent="0.35">
      <c r="A59" t="s">
        <v>31</v>
      </c>
      <c r="B59" t="s">
        <v>5</v>
      </c>
      <c r="C59">
        <v>0</v>
      </c>
    </row>
    <row r="60" spans="1:3" x14ac:dyDescent="0.35">
      <c r="A60" t="s">
        <v>32</v>
      </c>
      <c r="B60" t="s">
        <v>5</v>
      </c>
      <c r="C60">
        <v>0</v>
      </c>
    </row>
    <row r="61" spans="1:3" x14ac:dyDescent="0.35">
      <c r="A61" t="s">
        <v>33</v>
      </c>
      <c r="B61" t="s">
        <v>5</v>
      </c>
      <c r="C61">
        <v>0</v>
      </c>
    </row>
    <row r="62" spans="1:3" x14ac:dyDescent="0.35">
      <c r="A62" t="s">
        <v>34</v>
      </c>
      <c r="B62" t="s">
        <v>5</v>
      </c>
      <c r="C62">
        <v>0</v>
      </c>
    </row>
    <row r="63" spans="1:3" x14ac:dyDescent="0.35">
      <c r="A63" t="s">
        <v>35</v>
      </c>
      <c r="B63" t="s">
        <v>5</v>
      </c>
      <c r="C63">
        <v>0</v>
      </c>
    </row>
    <row r="64" spans="1:3" x14ac:dyDescent="0.35">
      <c r="A64" t="s">
        <v>36</v>
      </c>
      <c r="B64" t="s">
        <v>5</v>
      </c>
      <c r="C64">
        <v>0</v>
      </c>
    </row>
    <row r="65" spans="1:3" x14ac:dyDescent="0.35">
      <c r="A65" t="s">
        <v>37</v>
      </c>
      <c r="B65" t="s">
        <v>5</v>
      </c>
      <c r="C65">
        <v>0</v>
      </c>
    </row>
    <row r="66" spans="1:3" x14ac:dyDescent="0.35">
      <c r="A66" t="s">
        <v>38</v>
      </c>
      <c r="B66" t="s">
        <v>5</v>
      </c>
      <c r="C66">
        <v>0</v>
      </c>
    </row>
    <row r="67" spans="1:3" x14ac:dyDescent="0.35">
      <c r="A67" t="s">
        <v>39</v>
      </c>
      <c r="B67" t="s">
        <v>5</v>
      </c>
      <c r="C6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D2179"/>
  <sheetViews>
    <sheetView workbookViewId="0">
      <selection activeCell="I35" sqref="I35"/>
    </sheetView>
  </sheetViews>
  <sheetFormatPr defaultRowHeight="14.5" x14ac:dyDescent="0.35"/>
  <sheetData>
    <row r="1" spans="1:4" x14ac:dyDescent="0.3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5">
      <c r="A2" t="s">
        <v>7</v>
      </c>
      <c r="B2" t="s">
        <v>4</v>
      </c>
      <c r="C2" t="s">
        <v>7</v>
      </c>
      <c r="D2">
        <v>0</v>
      </c>
    </row>
    <row r="3" spans="1:4" x14ac:dyDescent="0.35">
      <c r="A3" t="s">
        <v>8</v>
      </c>
      <c r="B3" t="s">
        <v>4</v>
      </c>
      <c r="C3" t="s">
        <v>7</v>
      </c>
      <c r="D3">
        <v>0</v>
      </c>
    </row>
    <row r="4" spans="1:4" x14ac:dyDescent="0.35">
      <c r="A4" t="s">
        <v>9</v>
      </c>
      <c r="B4" t="s">
        <v>4</v>
      </c>
      <c r="C4" t="s">
        <v>7</v>
      </c>
      <c r="D4">
        <v>0</v>
      </c>
    </row>
    <row r="5" spans="1:4" x14ac:dyDescent="0.35">
      <c r="A5" t="s">
        <v>10</v>
      </c>
      <c r="B5" t="s">
        <v>4</v>
      </c>
      <c r="C5" t="s">
        <v>7</v>
      </c>
      <c r="D5">
        <v>0</v>
      </c>
    </row>
    <row r="6" spans="1:4" x14ac:dyDescent="0.35">
      <c r="A6" t="s">
        <v>11</v>
      </c>
      <c r="B6" t="s">
        <v>4</v>
      </c>
      <c r="C6" t="s">
        <v>7</v>
      </c>
      <c r="D6">
        <v>0</v>
      </c>
    </row>
    <row r="7" spans="1:4" x14ac:dyDescent="0.35">
      <c r="A7" t="s">
        <v>12</v>
      </c>
      <c r="B7" t="s">
        <v>4</v>
      </c>
      <c r="C7" t="s">
        <v>7</v>
      </c>
      <c r="D7">
        <v>0</v>
      </c>
    </row>
    <row r="8" spans="1:4" x14ac:dyDescent="0.35">
      <c r="A8" t="s">
        <v>13</v>
      </c>
      <c r="B8" t="s">
        <v>4</v>
      </c>
      <c r="C8" t="s">
        <v>7</v>
      </c>
      <c r="D8">
        <v>0</v>
      </c>
    </row>
    <row r="9" spans="1:4" x14ac:dyDescent="0.35">
      <c r="A9" t="s">
        <v>14</v>
      </c>
      <c r="B9" t="s">
        <v>4</v>
      </c>
      <c r="C9" t="s">
        <v>7</v>
      </c>
      <c r="D9">
        <v>0</v>
      </c>
    </row>
    <row r="10" spans="1:4" x14ac:dyDescent="0.35">
      <c r="A10" t="s">
        <v>15</v>
      </c>
      <c r="B10" t="s">
        <v>4</v>
      </c>
      <c r="C10" t="s">
        <v>7</v>
      </c>
      <c r="D10">
        <v>0</v>
      </c>
    </row>
    <row r="11" spans="1:4" x14ac:dyDescent="0.35">
      <c r="A11" t="s">
        <v>16</v>
      </c>
      <c r="B11" t="s">
        <v>4</v>
      </c>
      <c r="C11" t="s">
        <v>7</v>
      </c>
      <c r="D11">
        <v>0</v>
      </c>
    </row>
    <row r="12" spans="1:4" x14ac:dyDescent="0.35">
      <c r="A12" t="s">
        <v>17</v>
      </c>
      <c r="B12" t="s">
        <v>4</v>
      </c>
      <c r="C12" t="s">
        <v>7</v>
      </c>
      <c r="D12">
        <v>0</v>
      </c>
    </row>
    <row r="13" spans="1:4" x14ac:dyDescent="0.35">
      <c r="A13" t="s">
        <v>18</v>
      </c>
      <c r="B13" t="s">
        <v>4</v>
      </c>
      <c r="C13" t="s">
        <v>7</v>
      </c>
      <c r="D13">
        <v>0</v>
      </c>
    </row>
    <row r="14" spans="1:4" x14ac:dyDescent="0.35">
      <c r="A14" t="s">
        <v>19</v>
      </c>
      <c r="B14" t="s">
        <v>4</v>
      </c>
      <c r="C14" t="s">
        <v>7</v>
      </c>
      <c r="D14">
        <v>0</v>
      </c>
    </row>
    <row r="15" spans="1:4" x14ac:dyDescent="0.35">
      <c r="A15" t="s">
        <v>20</v>
      </c>
      <c r="B15" t="s">
        <v>4</v>
      </c>
      <c r="C15" t="s">
        <v>7</v>
      </c>
      <c r="D15">
        <v>0</v>
      </c>
    </row>
    <row r="16" spans="1:4" x14ac:dyDescent="0.35">
      <c r="A16" t="s">
        <v>21</v>
      </c>
      <c r="B16" t="s">
        <v>4</v>
      </c>
      <c r="C16" t="s">
        <v>7</v>
      </c>
      <c r="D16">
        <v>0</v>
      </c>
    </row>
    <row r="17" spans="1:4" x14ac:dyDescent="0.35">
      <c r="A17" t="s">
        <v>22</v>
      </c>
      <c r="B17" t="s">
        <v>4</v>
      </c>
      <c r="C17" t="s">
        <v>7</v>
      </c>
      <c r="D17">
        <v>0</v>
      </c>
    </row>
    <row r="18" spans="1:4" x14ac:dyDescent="0.35">
      <c r="A18" t="s">
        <v>23</v>
      </c>
      <c r="B18" t="s">
        <v>4</v>
      </c>
      <c r="C18" t="s">
        <v>7</v>
      </c>
      <c r="D18">
        <v>0</v>
      </c>
    </row>
    <row r="19" spans="1:4" x14ac:dyDescent="0.35">
      <c r="A19" t="s">
        <v>24</v>
      </c>
      <c r="B19" t="s">
        <v>4</v>
      </c>
      <c r="C19" t="s">
        <v>7</v>
      </c>
      <c r="D19">
        <v>0</v>
      </c>
    </row>
    <row r="20" spans="1:4" x14ac:dyDescent="0.35">
      <c r="A20" t="s">
        <v>25</v>
      </c>
      <c r="B20" t="s">
        <v>4</v>
      </c>
      <c r="C20" t="s">
        <v>7</v>
      </c>
      <c r="D20">
        <v>0</v>
      </c>
    </row>
    <row r="21" spans="1:4" x14ac:dyDescent="0.35">
      <c r="A21" t="s">
        <v>26</v>
      </c>
      <c r="B21" t="s">
        <v>4</v>
      </c>
      <c r="C21" t="s">
        <v>7</v>
      </c>
      <c r="D21">
        <v>0</v>
      </c>
    </row>
    <row r="22" spans="1:4" x14ac:dyDescent="0.35">
      <c r="A22" t="s">
        <v>27</v>
      </c>
      <c r="B22" t="s">
        <v>4</v>
      </c>
      <c r="C22" t="s">
        <v>7</v>
      </c>
      <c r="D22">
        <v>0</v>
      </c>
    </row>
    <row r="23" spans="1:4" x14ac:dyDescent="0.35">
      <c r="A23" t="s">
        <v>28</v>
      </c>
      <c r="B23" t="s">
        <v>4</v>
      </c>
      <c r="C23" t="s">
        <v>7</v>
      </c>
      <c r="D23">
        <v>0</v>
      </c>
    </row>
    <row r="24" spans="1:4" x14ac:dyDescent="0.35">
      <c r="A24" t="s">
        <v>29</v>
      </c>
      <c r="B24" t="s">
        <v>4</v>
      </c>
      <c r="C24" t="s">
        <v>7</v>
      </c>
      <c r="D24">
        <v>0</v>
      </c>
    </row>
    <row r="25" spans="1:4" x14ac:dyDescent="0.35">
      <c r="A25" t="s">
        <v>30</v>
      </c>
      <c r="B25" t="s">
        <v>4</v>
      </c>
      <c r="C25" t="s">
        <v>7</v>
      </c>
      <c r="D25">
        <v>0</v>
      </c>
    </row>
    <row r="26" spans="1:4" x14ac:dyDescent="0.35">
      <c r="A26" t="s">
        <v>31</v>
      </c>
      <c r="B26" t="s">
        <v>4</v>
      </c>
      <c r="C26" t="s">
        <v>7</v>
      </c>
      <c r="D26">
        <v>0</v>
      </c>
    </row>
    <row r="27" spans="1:4" x14ac:dyDescent="0.35">
      <c r="A27" t="s">
        <v>32</v>
      </c>
      <c r="B27" t="s">
        <v>4</v>
      </c>
      <c r="C27" t="s">
        <v>7</v>
      </c>
      <c r="D27">
        <v>0</v>
      </c>
    </row>
    <row r="28" spans="1:4" x14ac:dyDescent="0.35">
      <c r="A28" t="s">
        <v>33</v>
      </c>
      <c r="B28" t="s">
        <v>4</v>
      </c>
      <c r="C28" t="s">
        <v>7</v>
      </c>
      <c r="D28">
        <v>0</v>
      </c>
    </row>
    <row r="29" spans="1:4" x14ac:dyDescent="0.35">
      <c r="A29" t="s">
        <v>34</v>
      </c>
      <c r="B29" t="s">
        <v>4</v>
      </c>
      <c r="C29" t="s">
        <v>7</v>
      </c>
      <c r="D29">
        <v>0</v>
      </c>
    </row>
    <row r="30" spans="1:4" x14ac:dyDescent="0.35">
      <c r="A30" t="s">
        <v>35</v>
      </c>
      <c r="B30" t="s">
        <v>4</v>
      </c>
      <c r="C30" t="s">
        <v>7</v>
      </c>
      <c r="D30">
        <v>0</v>
      </c>
    </row>
    <row r="31" spans="1:4" x14ac:dyDescent="0.35">
      <c r="A31" t="s">
        <v>36</v>
      </c>
      <c r="B31" t="s">
        <v>4</v>
      </c>
      <c r="C31" t="s">
        <v>7</v>
      </c>
      <c r="D31">
        <v>0</v>
      </c>
    </row>
    <row r="32" spans="1:4" x14ac:dyDescent="0.35">
      <c r="A32" t="s">
        <v>37</v>
      </c>
      <c r="B32" t="s">
        <v>4</v>
      </c>
      <c r="C32" t="s">
        <v>7</v>
      </c>
      <c r="D32">
        <v>0</v>
      </c>
    </row>
    <row r="33" spans="1:4" x14ac:dyDescent="0.35">
      <c r="A33" t="s">
        <v>38</v>
      </c>
      <c r="B33" t="s">
        <v>4</v>
      </c>
      <c r="C33" t="s">
        <v>7</v>
      </c>
      <c r="D33">
        <v>0</v>
      </c>
    </row>
    <row r="34" spans="1:4" x14ac:dyDescent="0.35">
      <c r="A34" t="s">
        <v>39</v>
      </c>
      <c r="B34" t="s">
        <v>4</v>
      </c>
      <c r="C34" t="s">
        <v>7</v>
      </c>
      <c r="D34">
        <v>0</v>
      </c>
    </row>
    <row r="35" spans="1:4" x14ac:dyDescent="0.35">
      <c r="A35" t="s">
        <v>7</v>
      </c>
      <c r="B35" t="s">
        <v>4</v>
      </c>
      <c r="C35" t="s">
        <v>8</v>
      </c>
      <c r="D35">
        <v>0</v>
      </c>
    </row>
    <row r="36" spans="1:4" x14ac:dyDescent="0.35">
      <c r="A36" t="s">
        <v>8</v>
      </c>
      <c r="B36" t="s">
        <v>4</v>
      </c>
      <c r="C36" t="s">
        <v>8</v>
      </c>
      <c r="D36">
        <v>0</v>
      </c>
    </row>
    <row r="37" spans="1:4" x14ac:dyDescent="0.35">
      <c r="A37" t="s">
        <v>9</v>
      </c>
      <c r="B37" t="s">
        <v>4</v>
      </c>
      <c r="C37" t="s">
        <v>8</v>
      </c>
      <c r="D37">
        <v>0</v>
      </c>
    </row>
    <row r="38" spans="1:4" x14ac:dyDescent="0.35">
      <c r="A38" t="s">
        <v>10</v>
      </c>
      <c r="B38" t="s">
        <v>4</v>
      </c>
      <c r="C38" t="s">
        <v>8</v>
      </c>
      <c r="D38">
        <v>0</v>
      </c>
    </row>
    <row r="39" spans="1:4" x14ac:dyDescent="0.35">
      <c r="A39" t="s">
        <v>11</v>
      </c>
      <c r="B39" t="s">
        <v>4</v>
      </c>
      <c r="C39" t="s">
        <v>8</v>
      </c>
      <c r="D39">
        <v>0</v>
      </c>
    </row>
    <row r="40" spans="1:4" x14ac:dyDescent="0.35">
      <c r="A40" t="s">
        <v>12</v>
      </c>
      <c r="B40" t="s">
        <v>4</v>
      </c>
      <c r="C40" t="s">
        <v>8</v>
      </c>
      <c r="D40">
        <v>0</v>
      </c>
    </row>
    <row r="41" spans="1:4" x14ac:dyDescent="0.35">
      <c r="A41" t="s">
        <v>13</v>
      </c>
      <c r="B41" t="s">
        <v>4</v>
      </c>
      <c r="C41" t="s">
        <v>8</v>
      </c>
      <c r="D41">
        <v>0</v>
      </c>
    </row>
    <row r="42" spans="1:4" x14ac:dyDescent="0.35">
      <c r="A42" t="s">
        <v>14</v>
      </c>
      <c r="B42" t="s">
        <v>4</v>
      </c>
      <c r="C42" t="s">
        <v>8</v>
      </c>
      <c r="D42">
        <v>0</v>
      </c>
    </row>
    <row r="43" spans="1:4" x14ac:dyDescent="0.35">
      <c r="A43" t="s">
        <v>15</v>
      </c>
      <c r="B43" t="s">
        <v>4</v>
      </c>
      <c r="C43" t="s">
        <v>8</v>
      </c>
      <c r="D43">
        <v>0</v>
      </c>
    </row>
    <row r="44" spans="1:4" x14ac:dyDescent="0.35">
      <c r="A44" t="s">
        <v>16</v>
      </c>
      <c r="B44" t="s">
        <v>4</v>
      </c>
      <c r="C44" t="s">
        <v>8</v>
      </c>
      <c r="D44">
        <v>0</v>
      </c>
    </row>
    <row r="45" spans="1:4" x14ac:dyDescent="0.35">
      <c r="A45" t="s">
        <v>17</v>
      </c>
      <c r="B45" t="s">
        <v>4</v>
      </c>
      <c r="C45" t="s">
        <v>8</v>
      </c>
      <c r="D45">
        <v>0</v>
      </c>
    </row>
    <row r="46" spans="1:4" x14ac:dyDescent="0.35">
      <c r="A46" t="s">
        <v>18</v>
      </c>
      <c r="B46" t="s">
        <v>4</v>
      </c>
      <c r="C46" t="s">
        <v>8</v>
      </c>
      <c r="D46">
        <v>0</v>
      </c>
    </row>
    <row r="47" spans="1:4" x14ac:dyDescent="0.35">
      <c r="A47" t="s">
        <v>19</v>
      </c>
      <c r="B47" t="s">
        <v>4</v>
      </c>
      <c r="C47" t="s">
        <v>8</v>
      </c>
      <c r="D47">
        <v>0</v>
      </c>
    </row>
    <row r="48" spans="1:4" x14ac:dyDescent="0.35">
      <c r="A48" t="s">
        <v>20</v>
      </c>
      <c r="B48" t="s">
        <v>4</v>
      </c>
      <c r="C48" t="s">
        <v>8</v>
      </c>
      <c r="D48">
        <v>0</v>
      </c>
    </row>
    <row r="49" spans="1:4" x14ac:dyDescent="0.35">
      <c r="A49" t="s">
        <v>21</v>
      </c>
      <c r="B49" t="s">
        <v>4</v>
      </c>
      <c r="C49" t="s">
        <v>8</v>
      </c>
      <c r="D49">
        <v>0</v>
      </c>
    </row>
    <row r="50" spans="1:4" x14ac:dyDescent="0.35">
      <c r="A50" t="s">
        <v>22</v>
      </c>
      <c r="B50" t="s">
        <v>4</v>
      </c>
      <c r="C50" t="s">
        <v>8</v>
      </c>
      <c r="D50">
        <v>0</v>
      </c>
    </row>
    <row r="51" spans="1:4" x14ac:dyDescent="0.35">
      <c r="A51" t="s">
        <v>23</v>
      </c>
      <c r="B51" t="s">
        <v>4</v>
      </c>
      <c r="C51" t="s">
        <v>8</v>
      </c>
      <c r="D51">
        <v>0</v>
      </c>
    </row>
    <row r="52" spans="1:4" x14ac:dyDescent="0.35">
      <c r="A52" t="s">
        <v>24</v>
      </c>
      <c r="B52" t="s">
        <v>4</v>
      </c>
      <c r="C52" t="s">
        <v>8</v>
      </c>
      <c r="D52">
        <v>0</v>
      </c>
    </row>
    <row r="53" spans="1:4" x14ac:dyDescent="0.35">
      <c r="A53" t="s">
        <v>25</v>
      </c>
      <c r="B53" t="s">
        <v>4</v>
      </c>
      <c r="C53" t="s">
        <v>8</v>
      </c>
      <c r="D53">
        <v>0</v>
      </c>
    </row>
    <row r="54" spans="1:4" x14ac:dyDescent="0.35">
      <c r="A54" t="s">
        <v>26</v>
      </c>
      <c r="B54" t="s">
        <v>4</v>
      </c>
      <c r="C54" t="s">
        <v>8</v>
      </c>
      <c r="D54">
        <v>0</v>
      </c>
    </row>
    <row r="55" spans="1:4" x14ac:dyDescent="0.35">
      <c r="A55" t="s">
        <v>27</v>
      </c>
      <c r="B55" t="s">
        <v>4</v>
      </c>
      <c r="C55" t="s">
        <v>8</v>
      </c>
      <c r="D55">
        <v>0</v>
      </c>
    </row>
    <row r="56" spans="1:4" x14ac:dyDescent="0.35">
      <c r="A56" t="s">
        <v>28</v>
      </c>
      <c r="B56" t="s">
        <v>4</v>
      </c>
      <c r="C56" t="s">
        <v>8</v>
      </c>
      <c r="D56">
        <v>0</v>
      </c>
    </row>
    <row r="57" spans="1:4" x14ac:dyDescent="0.35">
      <c r="A57" t="s">
        <v>29</v>
      </c>
      <c r="B57" t="s">
        <v>4</v>
      </c>
      <c r="C57" t="s">
        <v>8</v>
      </c>
      <c r="D57">
        <v>0</v>
      </c>
    </row>
    <row r="58" spans="1:4" x14ac:dyDescent="0.35">
      <c r="A58" t="s">
        <v>30</v>
      </c>
      <c r="B58" t="s">
        <v>4</v>
      </c>
      <c r="C58" t="s">
        <v>8</v>
      </c>
      <c r="D58">
        <v>0</v>
      </c>
    </row>
    <row r="59" spans="1:4" x14ac:dyDescent="0.35">
      <c r="A59" t="s">
        <v>31</v>
      </c>
      <c r="B59" t="s">
        <v>4</v>
      </c>
      <c r="C59" t="s">
        <v>8</v>
      </c>
      <c r="D59">
        <v>0</v>
      </c>
    </row>
    <row r="60" spans="1:4" x14ac:dyDescent="0.35">
      <c r="A60" t="s">
        <v>32</v>
      </c>
      <c r="B60" t="s">
        <v>4</v>
      </c>
      <c r="C60" t="s">
        <v>8</v>
      </c>
      <c r="D60">
        <v>0</v>
      </c>
    </row>
    <row r="61" spans="1:4" x14ac:dyDescent="0.35">
      <c r="A61" t="s">
        <v>33</v>
      </c>
      <c r="B61" t="s">
        <v>4</v>
      </c>
      <c r="C61" t="s">
        <v>8</v>
      </c>
      <c r="D61">
        <v>0</v>
      </c>
    </row>
    <row r="62" spans="1:4" x14ac:dyDescent="0.35">
      <c r="A62" t="s">
        <v>34</v>
      </c>
      <c r="B62" t="s">
        <v>4</v>
      </c>
      <c r="C62" t="s">
        <v>8</v>
      </c>
      <c r="D62">
        <v>0</v>
      </c>
    </row>
    <row r="63" spans="1:4" x14ac:dyDescent="0.35">
      <c r="A63" t="s">
        <v>35</v>
      </c>
      <c r="B63" t="s">
        <v>4</v>
      </c>
      <c r="C63" t="s">
        <v>8</v>
      </c>
      <c r="D63">
        <v>0</v>
      </c>
    </row>
    <row r="64" spans="1:4" x14ac:dyDescent="0.35">
      <c r="A64" t="s">
        <v>36</v>
      </c>
      <c r="B64" t="s">
        <v>4</v>
      </c>
      <c r="C64" t="s">
        <v>8</v>
      </c>
      <c r="D64">
        <v>0</v>
      </c>
    </row>
    <row r="65" spans="1:4" x14ac:dyDescent="0.35">
      <c r="A65" t="s">
        <v>37</v>
      </c>
      <c r="B65" t="s">
        <v>4</v>
      </c>
      <c r="C65" t="s">
        <v>8</v>
      </c>
      <c r="D65">
        <v>0</v>
      </c>
    </row>
    <row r="66" spans="1:4" x14ac:dyDescent="0.35">
      <c r="A66" t="s">
        <v>38</v>
      </c>
      <c r="B66" t="s">
        <v>4</v>
      </c>
      <c r="C66" t="s">
        <v>8</v>
      </c>
      <c r="D66">
        <v>0</v>
      </c>
    </row>
    <row r="67" spans="1:4" x14ac:dyDescent="0.35">
      <c r="A67" t="s">
        <v>39</v>
      </c>
      <c r="B67" t="s">
        <v>4</v>
      </c>
      <c r="C67" t="s">
        <v>8</v>
      </c>
      <c r="D67">
        <v>0</v>
      </c>
    </row>
    <row r="68" spans="1:4" x14ac:dyDescent="0.35">
      <c r="A68" t="s">
        <v>7</v>
      </c>
      <c r="B68" t="s">
        <v>4</v>
      </c>
      <c r="C68" t="s">
        <v>9</v>
      </c>
      <c r="D68">
        <v>0</v>
      </c>
    </row>
    <row r="69" spans="1:4" x14ac:dyDescent="0.35">
      <c r="A69" t="s">
        <v>8</v>
      </c>
      <c r="B69" t="s">
        <v>4</v>
      </c>
      <c r="C69" t="s">
        <v>9</v>
      </c>
      <c r="D69">
        <v>0</v>
      </c>
    </row>
    <row r="70" spans="1:4" x14ac:dyDescent="0.35">
      <c r="A70" t="s">
        <v>9</v>
      </c>
      <c r="B70" t="s">
        <v>4</v>
      </c>
      <c r="C70" t="s">
        <v>9</v>
      </c>
      <c r="D70">
        <v>0</v>
      </c>
    </row>
    <row r="71" spans="1:4" x14ac:dyDescent="0.35">
      <c r="A71" t="s">
        <v>10</v>
      </c>
      <c r="B71" t="s">
        <v>4</v>
      </c>
      <c r="C71" t="s">
        <v>9</v>
      </c>
      <c r="D71">
        <v>0</v>
      </c>
    </row>
    <row r="72" spans="1:4" x14ac:dyDescent="0.35">
      <c r="A72" t="s">
        <v>11</v>
      </c>
      <c r="B72" t="s">
        <v>4</v>
      </c>
      <c r="C72" t="s">
        <v>9</v>
      </c>
      <c r="D72">
        <v>0</v>
      </c>
    </row>
    <row r="73" spans="1:4" x14ac:dyDescent="0.35">
      <c r="A73" t="s">
        <v>12</v>
      </c>
      <c r="B73" t="s">
        <v>4</v>
      </c>
      <c r="C73" t="s">
        <v>9</v>
      </c>
      <c r="D73">
        <v>0</v>
      </c>
    </row>
    <row r="74" spans="1:4" x14ac:dyDescent="0.35">
      <c r="A74" t="s">
        <v>13</v>
      </c>
      <c r="B74" t="s">
        <v>4</v>
      </c>
      <c r="C74" t="s">
        <v>9</v>
      </c>
      <c r="D74">
        <v>0</v>
      </c>
    </row>
    <row r="75" spans="1:4" x14ac:dyDescent="0.35">
      <c r="A75" t="s">
        <v>14</v>
      </c>
      <c r="B75" t="s">
        <v>4</v>
      </c>
      <c r="C75" t="s">
        <v>9</v>
      </c>
      <c r="D75">
        <v>0</v>
      </c>
    </row>
    <row r="76" spans="1:4" x14ac:dyDescent="0.35">
      <c r="A76" t="s">
        <v>15</v>
      </c>
      <c r="B76" t="s">
        <v>4</v>
      </c>
      <c r="C76" t="s">
        <v>9</v>
      </c>
      <c r="D76">
        <v>0</v>
      </c>
    </row>
    <row r="77" spans="1:4" x14ac:dyDescent="0.35">
      <c r="A77" t="s">
        <v>16</v>
      </c>
      <c r="B77" t="s">
        <v>4</v>
      </c>
      <c r="C77" t="s">
        <v>9</v>
      </c>
      <c r="D77">
        <v>0</v>
      </c>
    </row>
    <row r="78" spans="1:4" x14ac:dyDescent="0.35">
      <c r="A78" t="s">
        <v>17</v>
      </c>
      <c r="B78" t="s">
        <v>4</v>
      </c>
      <c r="C78" t="s">
        <v>9</v>
      </c>
      <c r="D78">
        <v>0</v>
      </c>
    </row>
    <row r="79" spans="1:4" x14ac:dyDescent="0.35">
      <c r="A79" t="s">
        <v>18</v>
      </c>
      <c r="B79" t="s">
        <v>4</v>
      </c>
      <c r="C79" t="s">
        <v>9</v>
      </c>
      <c r="D79">
        <v>0</v>
      </c>
    </row>
    <row r="80" spans="1:4" x14ac:dyDescent="0.35">
      <c r="A80" t="s">
        <v>19</v>
      </c>
      <c r="B80" t="s">
        <v>4</v>
      </c>
      <c r="C80" t="s">
        <v>9</v>
      </c>
      <c r="D80">
        <v>0</v>
      </c>
    </row>
    <row r="81" spans="1:4" x14ac:dyDescent="0.35">
      <c r="A81" t="s">
        <v>20</v>
      </c>
      <c r="B81" t="s">
        <v>4</v>
      </c>
      <c r="C81" t="s">
        <v>9</v>
      </c>
      <c r="D81">
        <v>0</v>
      </c>
    </row>
    <row r="82" spans="1:4" x14ac:dyDescent="0.35">
      <c r="A82" t="s">
        <v>21</v>
      </c>
      <c r="B82" t="s">
        <v>4</v>
      </c>
      <c r="C82" t="s">
        <v>9</v>
      </c>
      <c r="D82">
        <v>0</v>
      </c>
    </row>
    <row r="83" spans="1:4" x14ac:dyDescent="0.35">
      <c r="A83" t="s">
        <v>22</v>
      </c>
      <c r="B83" t="s">
        <v>4</v>
      </c>
      <c r="C83" t="s">
        <v>9</v>
      </c>
      <c r="D83">
        <v>0</v>
      </c>
    </row>
    <row r="84" spans="1:4" x14ac:dyDescent="0.35">
      <c r="A84" t="s">
        <v>23</v>
      </c>
      <c r="B84" t="s">
        <v>4</v>
      </c>
      <c r="C84" t="s">
        <v>9</v>
      </c>
      <c r="D84">
        <v>0</v>
      </c>
    </row>
    <row r="85" spans="1:4" x14ac:dyDescent="0.35">
      <c r="A85" t="s">
        <v>24</v>
      </c>
      <c r="B85" t="s">
        <v>4</v>
      </c>
      <c r="C85" t="s">
        <v>9</v>
      </c>
      <c r="D85">
        <v>0</v>
      </c>
    </row>
    <row r="86" spans="1:4" x14ac:dyDescent="0.35">
      <c r="A86" t="s">
        <v>25</v>
      </c>
      <c r="B86" t="s">
        <v>4</v>
      </c>
      <c r="C86" t="s">
        <v>9</v>
      </c>
      <c r="D86">
        <v>0</v>
      </c>
    </row>
    <row r="87" spans="1:4" x14ac:dyDescent="0.35">
      <c r="A87" t="s">
        <v>26</v>
      </c>
      <c r="B87" t="s">
        <v>4</v>
      </c>
      <c r="C87" t="s">
        <v>9</v>
      </c>
      <c r="D87">
        <v>0</v>
      </c>
    </row>
    <row r="88" spans="1:4" x14ac:dyDescent="0.35">
      <c r="A88" t="s">
        <v>27</v>
      </c>
      <c r="B88" t="s">
        <v>4</v>
      </c>
      <c r="C88" t="s">
        <v>9</v>
      </c>
      <c r="D88">
        <v>0</v>
      </c>
    </row>
    <row r="89" spans="1:4" x14ac:dyDescent="0.35">
      <c r="A89" t="s">
        <v>28</v>
      </c>
      <c r="B89" t="s">
        <v>4</v>
      </c>
      <c r="C89" t="s">
        <v>9</v>
      </c>
      <c r="D89">
        <v>0</v>
      </c>
    </row>
    <row r="90" spans="1:4" x14ac:dyDescent="0.35">
      <c r="A90" t="s">
        <v>29</v>
      </c>
      <c r="B90" t="s">
        <v>4</v>
      </c>
      <c r="C90" t="s">
        <v>9</v>
      </c>
      <c r="D90">
        <v>0</v>
      </c>
    </row>
    <row r="91" spans="1:4" x14ac:dyDescent="0.35">
      <c r="A91" t="s">
        <v>30</v>
      </c>
      <c r="B91" t="s">
        <v>4</v>
      </c>
      <c r="C91" t="s">
        <v>9</v>
      </c>
      <c r="D91">
        <v>0</v>
      </c>
    </row>
    <row r="92" spans="1:4" x14ac:dyDescent="0.35">
      <c r="A92" t="s">
        <v>31</v>
      </c>
      <c r="B92" t="s">
        <v>4</v>
      </c>
      <c r="C92" t="s">
        <v>9</v>
      </c>
      <c r="D92">
        <v>0</v>
      </c>
    </row>
    <row r="93" spans="1:4" x14ac:dyDescent="0.35">
      <c r="A93" t="s">
        <v>32</v>
      </c>
      <c r="B93" t="s">
        <v>4</v>
      </c>
      <c r="C93" t="s">
        <v>9</v>
      </c>
      <c r="D93">
        <v>0</v>
      </c>
    </row>
    <row r="94" spans="1:4" x14ac:dyDescent="0.35">
      <c r="A94" t="s">
        <v>33</v>
      </c>
      <c r="B94" t="s">
        <v>4</v>
      </c>
      <c r="C94" t="s">
        <v>9</v>
      </c>
      <c r="D94">
        <v>0</v>
      </c>
    </row>
    <row r="95" spans="1:4" x14ac:dyDescent="0.35">
      <c r="A95" t="s">
        <v>34</v>
      </c>
      <c r="B95" t="s">
        <v>4</v>
      </c>
      <c r="C95" t="s">
        <v>9</v>
      </c>
      <c r="D95">
        <v>0</v>
      </c>
    </row>
    <row r="96" spans="1:4" x14ac:dyDescent="0.35">
      <c r="A96" t="s">
        <v>35</v>
      </c>
      <c r="B96" t="s">
        <v>4</v>
      </c>
      <c r="C96" t="s">
        <v>9</v>
      </c>
      <c r="D96">
        <v>0</v>
      </c>
    </row>
    <row r="97" spans="1:4" x14ac:dyDescent="0.35">
      <c r="A97" t="s">
        <v>36</v>
      </c>
      <c r="B97" t="s">
        <v>4</v>
      </c>
      <c r="C97" t="s">
        <v>9</v>
      </c>
      <c r="D97">
        <v>0</v>
      </c>
    </row>
    <row r="98" spans="1:4" x14ac:dyDescent="0.35">
      <c r="A98" t="s">
        <v>37</v>
      </c>
      <c r="B98" t="s">
        <v>4</v>
      </c>
      <c r="C98" t="s">
        <v>9</v>
      </c>
      <c r="D98">
        <v>0</v>
      </c>
    </row>
    <row r="99" spans="1:4" x14ac:dyDescent="0.35">
      <c r="A99" t="s">
        <v>38</v>
      </c>
      <c r="B99" t="s">
        <v>4</v>
      </c>
      <c r="C99" t="s">
        <v>9</v>
      </c>
      <c r="D99">
        <v>0</v>
      </c>
    </row>
    <row r="100" spans="1:4" x14ac:dyDescent="0.35">
      <c r="A100" t="s">
        <v>39</v>
      </c>
      <c r="B100" t="s">
        <v>4</v>
      </c>
      <c r="C100" t="s">
        <v>9</v>
      </c>
      <c r="D100">
        <v>0</v>
      </c>
    </row>
    <row r="101" spans="1:4" x14ac:dyDescent="0.35">
      <c r="A101" t="s">
        <v>7</v>
      </c>
      <c r="B101" t="s">
        <v>4</v>
      </c>
      <c r="C101" t="s">
        <v>10</v>
      </c>
      <c r="D101">
        <v>0</v>
      </c>
    </row>
    <row r="102" spans="1:4" x14ac:dyDescent="0.35">
      <c r="A102" t="s">
        <v>8</v>
      </c>
      <c r="B102" t="s">
        <v>4</v>
      </c>
      <c r="C102" t="s">
        <v>10</v>
      </c>
      <c r="D102">
        <v>0</v>
      </c>
    </row>
    <row r="103" spans="1:4" x14ac:dyDescent="0.35">
      <c r="A103" t="s">
        <v>9</v>
      </c>
      <c r="B103" t="s">
        <v>4</v>
      </c>
      <c r="C103" t="s">
        <v>10</v>
      </c>
      <c r="D103">
        <v>0</v>
      </c>
    </row>
    <row r="104" spans="1:4" x14ac:dyDescent="0.35">
      <c r="A104" t="s">
        <v>10</v>
      </c>
      <c r="B104" t="s">
        <v>4</v>
      </c>
      <c r="C104" t="s">
        <v>10</v>
      </c>
      <c r="D104">
        <v>0</v>
      </c>
    </row>
    <row r="105" spans="1:4" x14ac:dyDescent="0.35">
      <c r="A105" t="s">
        <v>11</v>
      </c>
      <c r="B105" t="s">
        <v>4</v>
      </c>
      <c r="C105" t="s">
        <v>10</v>
      </c>
      <c r="D105">
        <v>0</v>
      </c>
    </row>
    <row r="106" spans="1:4" x14ac:dyDescent="0.35">
      <c r="A106" t="s">
        <v>12</v>
      </c>
      <c r="B106" t="s">
        <v>4</v>
      </c>
      <c r="C106" t="s">
        <v>10</v>
      </c>
      <c r="D106">
        <v>0</v>
      </c>
    </row>
    <row r="107" spans="1:4" x14ac:dyDescent="0.35">
      <c r="A107" t="s">
        <v>13</v>
      </c>
      <c r="B107" t="s">
        <v>4</v>
      </c>
      <c r="C107" t="s">
        <v>10</v>
      </c>
      <c r="D107">
        <v>0</v>
      </c>
    </row>
    <row r="108" spans="1:4" x14ac:dyDescent="0.35">
      <c r="A108" t="s">
        <v>14</v>
      </c>
      <c r="B108" t="s">
        <v>4</v>
      </c>
      <c r="C108" t="s">
        <v>10</v>
      </c>
      <c r="D108">
        <v>0</v>
      </c>
    </row>
    <row r="109" spans="1:4" x14ac:dyDescent="0.35">
      <c r="A109" t="s">
        <v>15</v>
      </c>
      <c r="B109" t="s">
        <v>4</v>
      </c>
      <c r="C109" t="s">
        <v>10</v>
      </c>
      <c r="D109">
        <v>0</v>
      </c>
    </row>
    <row r="110" spans="1:4" x14ac:dyDescent="0.35">
      <c r="A110" t="s">
        <v>16</v>
      </c>
      <c r="B110" t="s">
        <v>4</v>
      </c>
      <c r="C110" t="s">
        <v>10</v>
      </c>
      <c r="D110">
        <v>0</v>
      </c>
    </row>
    <row r="111" spans="1:4" x14ac:dyDescent="0.35">
      <c r="A111" t="s">
        <v>17</v>
      </c>
      <c r="B111" t="s">
        <v>4</v>
      </c>
      <c r="C111" t="s">
        <v>10</v>
      </c>
      <c r="D111">
        <v>0</v>
      </c>
    </row>
    <row r="112" spans="1:4" x14ac:dyDescent="0.35">
      <c r="A112" t="s">
        <v>18</v>
      </c>
      <c r="B112" t="s">
        <v>4</v>
      </c>
      <c r="C112" t="s">
        <v>10</v>
      </c>
      <c r="D112">
        <v>0</v>
      </c>
    </row>
    <row r="113" spans="1:4" x14ac:dyDescent="0.35">
      <c r="A113" t="s">
        <v>19</v>
      </c>
      <c r="B113" t="s">
        <v>4</v>
      </c>
      <c r="C113" t="s">
        <v>10</v>
      </c>
      <c r="D113">
        <v>0</v>
      </c>
    </row>
    <row r="114" spans="1:4" x14ac:dyDescent="0.35">
      <c r="A114" t="s">
        <v>20</v>
      </c>
      <c r="B114" t="s">
        <v>4</v>
      </c>
      <c r="C114" t="s">
        <v>10</v>
      </c>
      <c r="D114">
        <v>0</v>
      </c>
    </row>
    <row r="115" spans="1:4" x14ac:dyDescent="0.35">
      <c r="A115" t="s">
        <v>21</v>
      </c>
      <c r="B115" t="s">
        <v>4</v>
      </c>
      <c r="C115" t="s">
        <v>10</v>
      </c>
      <c r="D115">
        <v>0</v>
      </c>
    </row>
    <row r="116" spans="1:4" x14ac:dyDescent="0.35">
      <c r="A116" t="s">
        <v>22</v>
      </c>
      <c r="B116" t="s">
        <v>4</v>
      </c>
      <c r="C116" t="s">
        <v>10</v>
      </c>
      <c r="D116">
        <v>0</v>
      </c>
    </row>
    <row r="117" spans="1:4" x14ac:dyDescent="0.35">
      <c r="A117" t="s">
        <v>23</v>
      </c>
      <c r="B117" t="s">
        <v>4</v>
      </c>
      <c r="C117" t="s">
        <v>10</v>
      </c>
      <c r="D117">
        <v>0</v>
      </c>
    </row>
    <row r="118" spans="1:4" x14ac:dyDescent="0.35">
      <c r="A118" t="s">
        <v>24</v>
      </c>
      <c r="B118" t="s">
        <v>4</v>
      </c>
      <c r="C118" t="s">
        <v>10</v>
      </c>
      <c r="D118">
        <v>0</v>
      </c>
    </row>
    <row r="119" spans="1:4" x14ac:dyDescent="0.35">
      <c r="A119" t="s">
        <v>25</v>
      </c>
      <c r="B119" t="s">
        <v>4</v>
      </c>
      <c r="C119" t="s">
        <v>10</v>
      </c>
      <c r="D119">
        <v>0</v>
      </c>
    </row>
    <row r="120" spans="1:4" x14ac:dyDescent="0.35">
      <c r="A120" t="s">
        <v>26</v>
      </c>
      <c r="B120" t="s">
        <v>4</v>
      </c>
      <c r="C120" t="s">
        <v>10</v>
      </c>
      <c r="D120">
        <v>0</v>
      </c>
    </row>
    <row r="121" spans="1:4" x14ac:dyDescent="0.35">
      <c r="A121" t="s">
        <v>27</v>
      </c>
      <c r="B121" t="s">
        <v>4</v>
      </c>
      <c r="C121" t="s">
        <v>10</v>
      </c>
      <c r="D121">
        <v>0</v>
      </c>
    </row>
    <row r="122" spans="1:4" x14ac:dyDescent="0.35">
      <c r="A122" t="s">
        <v>28</v>
      </c>
      <c r="B122" t="s">
        <v>4</v>
      </c>
      <c r="C122" t="s">
        <v>10</v>
      </c>
      <c r="D122">
        <v>0</v>
      </c>
    </row>
    <row r="123" spans="1:4" x14ac:dyDescent="0.35">
      <c r="A123" t="s">
        <v>29</v>
      </c>
      <c r="B123" t="s">
        <v>4</v>
      </c>
      <c r="C123" t="s">
        <v>10</v>
      </c>
      <c r="D123">
        <v>0</v>
      </c>
    </row>
    <row r="124" spans="1:4" x14ac:dyDescent="0.35">
      <c r="A124" t="s">
        <v>30</v>
      </c>
      <c r="B124" t="s">
        <v>4</v>
      </c>
      <c r="C124" t="s">
        <v>10</v>
      </c>
      <c r="D124">
        <v>0</v>
      </c>
    </row>
    <row r="125" spans="1:4" x14ac:dyDescent="0.35">
      <c r="A125" t="s">
        <v>31</v>
      </c>
      <c r="B125" t="s">
        <v>4</v>
      </c>
      <c r="C125" t="s">
        <v>10</v>
      </c>
      <c r="D125">
        <v>0</v>
      </c>
    </row>
    <row r="126" spans="1:4" x14ac:dyDescent="0.35">
      <c r="A126" t="s">
        <v>32</v>
      </c>
      <c r="B126" t="s">
        <v>4</v>
      </c>
      <c r="C126" t="s">
        <v>10</v>
      </c>
      <c r="D126">
        <v>0</v>
      </c>
    </row>
    <row r="127" spans="1:4" x14ac:dyDescent="0.35">
      <c r="A127" t="s">
        <v>33</v>
      </c>
      <c r="B127" t="s">
        <v>4</v>
      </c>
      <c r="C127" t="s">
        <v>10</v>
      </c>
      <c r="D127">
        <v>0</v>
      </c>
    </row>
    <row r="128" spans="1:4" x14ac:dyDescent="0.35">
      <c r="A128" t="s">
        <v>34</v>
      </c>
      <c r="B128" t="s">
        <v>4</v>
      </c>
      <c r="C128" t="s">
        <v>10</v>
      </c>
      <c r="D128">
        <v>0</v>
      </c>
    </row>
    <row r="129" spans="1:4" x14ac:dyDescent="0.35">
      <c r="A129" t="s">
        <v>35</v>
      </c>
      <c r="B129" t="s">
        <v>4</v>
      </c>
      <c r="C129" t="s">
        <v>10</v>
      </c>
      <c r="D129">
        <v>0</v>
      </c>
    </row>
    <row r="130" spans="1:4" x14ac:dyDescent="0.35">
      <c r="A130" t="s">
        <v>36</v>
      </c>
      <c r="B130" t="s">
        <v>4</v>
      </c>
      <c r="C130" t="s">
        <v>10</v>
      </c>
      <c r="D130">
        <v>0</v>
      </c>
    </row>
    <row r="131" spans="1:4" x14ac:dyDescent="0.35">
      <c r="A131" t="s">
        <v>37</v>
      </c>
      <c r="B131" t="s">
        <v>4</v>
      </c>
      <c r="C131" t="s">
        <v>10</v>
      </c>
      <c r="D131">
        <v>0</v>
      </c>
    </row>
    <row r="132" spans="1:4" x14ac:dyDescent="0.35">
      <c r="A132" t="s">
        <v>38</v>
      </c>
      <c r="B132" t="s">
        <v>4</v>
      </c>
      <c r="C132" t="s">
        <v>10</v>
      </c>
      <c r="D132">
        <v>0</v>
      </c>
    </row>
    <row r="133" spans="1:4" x14ac:dyDescent="0.35">
      <c r="A133" t="s">
        <v>39</v>
      </c>
      <c r="B133" t="s">
        <v>4</v>
      </c>
      <c r="C133" t="s">
        <v>10</v>
      </c>
      <c r="D133">
        <v>0</v>
      </c>
    </row>
    <row r="134" spans="1:4" x14ac:dyDescent="0.35">
      <c r="A134" t="s">
        <v>7</v>
      </c>
      <c r="B134" t="s">
        <v>4</v>
      </c>
      <c r="C134" t="s">
        <v>11</v>
      </c>
      <c r="D134">
        <v>0</v>
      </c>
    </row>
    <row r="135" spans="1:4" x14ac:dyDescent="0.35">
      <c r="A135" t="s">
        <v>8</v>
      </c>
      <c r="B135" t="s">
        <v>4</v>
      </c>
      <c r="C135" t="s">
        <v>11</v>
      </c>
      <c r="D135">
        <v>0</v>
      </c>
    </row>
    <row r="136" spans="1:4" x14ac:dyDescent="0.35">
      <c r="A136" t="s">
        <v>9</v>
      </c>
      <c r="B136" t="s">
        <v>4</v>
      </c>
      <c r="C136" t="s">
        <v>11</v>
      </c>
      <c r="D136">
        <v>0</v>
      </c>
    </row>
    <row r="137" spans="1:4" x14ac:dyDescent="0.35">
      <c r="A137" t="s">
        <v>10</v>
      </c>
      <c r="B137" t="s">
        <v>4</v>
      </c>
      <c r="C137" t="s">
        <v>11</v>
      </c>
      <c r="D137">
        <v>0</v>
      </c>
    </row>
    <row r="138" spans="1:4" x14ac:dyDescent="0.35">
      <c r="A138" t="s">
        <v>11</v>
      </c>
      <c r="B138" t="s">
        <v>4</v>
      </c>
      <c r="C138" t="s">
        <v>11</v>
      </c>
      <c r="D138">
        <v>0</v>
      </c>
    </row>
    <row r="139" spans="1:4" x14ac:dyDescent="0.35">
      <c r="A139" t="s">
        <v>12</v>
      </c>
      <c r="B139" t="s">
        <v>4</v>
      </c>
      <c r="C139" t="s">
        <v>11</v>
      </c>
      <c r="D139">
        <v>0</v>
      </c>
    </row>
    <row r="140" spans="1:4" x14ac:dyDescent="0.35">
      <c r="A140" t="s">
        <v>13</v>
      </c>
      <c r="B140" t="s">
        <v>4</v>
      </c>
      <c r="C140" t="s">
        <v>11</v>
      </c>
      <c r="D140">
        <v>0</v>
      </c>
    </row>
    <row r="141" spans="1:4" x14ac:dyDescent="0.35">
      <c r="A141" t="s">
        <v>14</v>
      </c>
      <c r="B141" t="s">
        <v>4</v>
      </c>
      <c r="C141" t="s">
        <v>11</v>
      </c>
      <c r="D141">
        <v>0</v>
      </c>
    </row>
    <row r="142" spans="1:4" x14ac:dyDescent="0.35">
      <c r="A142" t="s">
        <v>15</v>
      </c>
      <c r="B142" t="s">
        <v>4</v>
      </c>
      <c r="C142" t="s">
        <v>11</v>
      </c>
      <c r="D142">
        <v>0</v>
      </c>
    </row>
    <row r="143" spans="1:4" x14ac:dyDescent="0.35">
      <c r="A143" t="s">
        <v>16</v>
      </c>
      <c r="B143" t="s">
        <v>4</v>
      </c>
      <c r="C143" t="s">
        <v>11</v>
      </c>
      <c r="D143">
        <v>0</v>
      </c>
    </row>
    <row r="144" spans="1:4" x14ac:dyDescent="0.35">
      <c r="A144" t="s">
        <v>17</v>
      </c>
      <c r="B144" t="s">
        <v>4</v>
      </c>
      <c r="C144" t="s">
        <v>11</v>
      </c>
      <c r="D144">
        <v>0</v>
      </c>
    </row>
    <row r="145" spans="1:4" x14ac:dyDescent="0.35">
      <c r="A145" t="s">
        <v>18</v>
      </c>
      <c r="B145" t="s">
        <v>4</v>
      </c>
      <c r="C145" t="s">
        <v>11</v>
      </c>
      <c r="D145">
        <v>0</v>
      </c>
    </row>
    <row r="146" spans="1:4" x14ac:dyDescent="0.35">
      <c r="A146" t="s">
        <v>19</v>
      </c>
      <c r="B146" t="s">
        <v>4</v>
      </c>
      <c r="C146" t="s">
        <v>11</v>
      </c>
      <c r="D146">
        <v>0</v>
      </c>
    </row>
    <row r="147" spans="1:4" x14ac:dyDescent="0.35">
      <c r="A147" t="s">
        <v>20</v>
      </c>
      <c r="B147" t="s">
        <v>4</v>
      </c>
      <c r="C147" t="s">
        <v>11</v>
      </c>
      <c r="D147">
        <v>0</v>
      </c>
    </row>
    <row r="148" spans="1:4" x14ac:dyDescent="0.35">
      <c r="A148" t="s">
        <v>21</v>
      </c>
      <c r="B148" t="s">
        <v>4</v>
      </c>
      <c r="C148" t="s">
        <v>11</v>
      </c>
      <c r="D148">
        <v>0</v>
      </c>
    </row>
    <row r="149" spans="1:4" x14ac:dyDescent="0.35">
      <c r="A149" t="s">
        <v>22</v>
      </c>
      <c r="B149" t="s">
        <v>4</v>
      </c>
      <c r="C149" t="s">
        <v>11</v>
      </c>
      <c r="D149">
        <v>0</v>
      </c>
    </row>
    <row r="150" spans="1:4" x14ac:dyDescent="0.35">
      <c r="A150" t="s">
        <v>23</v>
      </c>
      <c r="B150" t="s">
        <v>4</v>
      </c>
      <c r="C150" t="s">
        <v>11</v>
      </c>
      <c r="D150">
        <v>0</v>
      </c>
    </row>
    <row r="151" spans="1:4" x14ac:dyDescent="0.35">
      <c r="A151" t="s">
        <v>24</v>
      </c>
      <c r="B151" t="s">
        <v>4</v>
      </c>
      <c r="C151" t="s">
        <v>11</v>
      </c>
      <c r="D151">
        <v>0</v>
      </c>
    </row>
    <row r="152" spans="1:4" x14ac:dyDescent="0.35">
      <c r="A152" t="s">
        <v>25</v>
      </c>
      <c r="B152" t="s">
        <v>4</v>
      </c>
      <c r="C152" t="s">
        <v>11</v>
      </c>
      <c r="D152">
        <v>0</v>
      </c>
    </row>
    <row r="153" spans="1:4" x14ac:dyDescent="0.35">
      <c r="A153" t="s">
        <v>26</v>
      </c>
      <c r="B153" t="s">
        <v>4</v>
      </c>
      <c r="C153" t="s">
        <v>11</v>
      </c>
      <c r="D153">
        <v>0</v>
      </c>
    </row>
    <row r="154" spans="1:4" x14ac:dyDescent="0.35">
      <c r="A154" t="s">
        <v>27</v>
      </c>
      <c r="B154" t="s">
        <v>4</v>
      </c>
      <c r="C154" t="s">
        <v>11</v>
      </c>
      <c r="D154">
        <v>0</v>
      </c>
    </row>
    <row r="155" spans="1:4" x14ac:dyDescent="0.35">
      <c r="A155" t="s">
        <v>28</v>
      </c>
      <c r="B155" t="s">
        <v>4</v>
      </c>
      <c r="C155" t="s">
        <v>11</v>
      </c>
      <c r="D155">
        <v>0</v>
      </c>
    </row>
    <row r="156" spans="1:4" x14ac:dyDescent="0.35">
      <c r="A156" t="s">
        <v>29</v>
      </c>
      <c r="B156" t="s">
        <v>4</v>
      </c>
      <c r="C156" t="s">
        <v>11</v>
      </c>
      <c r="D156">
        <v>0</v>
      </c>
    </row>
    <row r="157" spans="1:4" x14ac:dyDescent="0.35">
      <c r="A157" t="s">
        <v>30</v>
      </c>
      <c r="B157" t="s">
        <v>4</v>
      </c>
      <c r="C157" t="s">
        <v>11</v>
      </c>
      <c r="D157">
        <v>0</v>
      </c>
    </row>
    <row r="158" spans="1:4" x14ac:dyDescent="0.35">
      <c r="A158" t="s">
        <v>31</v>
      </c>
      <c r="B158" t="s">
        <v>4</v>
      </c>
      <c r="C158" t="s">
        <v>11</v>
      </c>
      <c r="D158">
        <v>0</v>
      </c>
    </row>
    <row r="159" spans="1:4" x14ac:dyDescent="0.35">
      <c r="A159" t="s">
        <v>32</v>
      </c>
      <c r="B159" t="s">
        <v>4</v>
      </c>
      <c r="C159" t="s">
        <v>11</v>
      </c>
      <c r="D159">
        <v>0</v>
      </c>
    </row>
    <row r="160" spans="1:4" x14ac:dyDescent="0.35">
      <c r="A160" t="s">
        <v>33</v>
      </c>
      <c r="B160" t="s">
        <v>4</v>
      </c>
      <c r="C160" t="s">
        <v>11</v>
      </c>
      <c r="D160">
        <v>0</v>
      </c>
    </row>
    <row r="161" spans="1:4" x14ac:dyDescent="0.35">
      <c r="A161" t="s">
        <v>34</v>
      </c>
      <c r="B161" t="s">
        <v>4</v>
      </c>
      <c r="C161" t="s">
        <v>11</v>
      </c>
      <c r="D161">
        <v>0</v>
      </c>
    </row>
    <row r="162" spans="1:4" x14ac:dyDescent="0.35">
      <c r="A162" t="s">
        <v>35</v>
      </c>
      <c r="B162" t="s">
        <v>4</v>
      </c>
      <c r="C162" t="s">
        <v>11</v>
      </c>
      <c r="D162">
        <v>0</v>
      </c>
    </row>
    <row r="163" spans="1:4" x14ac:dyDescent="0.35">
      <c r="A163" t="s">
        <v>36</v>
      </c>
      <c r="B163" t="s">
        <v>4</v>
      </c>
      <c r="C163" t="s">
        <v>11</v>
      </c>
      <c r="D163">
        <v>0</v>
      </c>
    </row>
    <row r="164" spans="1:4" x14ac:dyDescent="0.35">
      <c r="A164" t="s">
        <v>37</v>
      </c>
      <c r="B164" t="s">
        <v>4</v>
      </c>
      <c r="C164" t="s">
        <v>11</v>
      </c>
      <c r="D164">
        <v>0</v>
      </c>
    </row>
    <row r="165" spans="1:4" x14ac:dyDescent="0.35">
      <c r="A165" t="s">
        <v>38</v>
      </c>
      <c r="B165" t="s">
        <v>4</v>
      </c>
      <c r="C165" t="s">
        <v>11</v>
      </c>
      <c r="D165">
        <v>0</v>
      </c>
    </row>
    <row r="166" spans="1:4" x14ac:dyDescent="0.35">
      <c r="A166" t="s">
        <v>39</v>
      </c>
      <c r="B166" t="s">
        <v>4</v>
      </c>
      <c r="C166" t="s">
        <v>11</v>
      </c>
      <c r="D166">
        <v>0</v>
      </c>
    </row>
    <row r="167" spans="1:4" x14ac:dyDescent="0.35">
      <c r="A167" t="s">
        <v>7</v>
      </c>
      <c r="B167" t="s">
        <v>4</v>
      </c>
      <c r="C167" t="s">
        <v>12</v>
      </c>
      <c r="D167">
        <v>0</v>
      </c>
    </row>
    <row r="168" spans="1:4" x14ac:dyDescent="0.35">
      <c r="A168" t="s">
        <v>8</v>
      </c>
      <c r="B168" t="s">
        <v>4</v>
      </c>
      <c r="C168" t="s">
        <v>12</v>
      </c>
      <c r="D168">
        <v>0</v>
      </c>
    </row>
    <row r="169" spans="1:4" x14ac:dyDescent="0.35">
      <c r="A169" t="s">
        <v>9</v>
      </c>
      <c r="B169" t="s">
        <v>4</v>
      </c>
      <c r="C169" t="s">
        <v>12</v>
      </c>
      <c r="D169">
        <v>0</v>
      </c>
    </row>
    <row r="170" spans="1:4" x14ac:dyDescent="0.35">
      <c r="A170" t="s">
        <v>10</v>
      </c>
      <c r="B170" t="s">
        <v>4</v>
      </c>
      <c r="C170" t="s">
        <v>12</v>
      </c>
      <c r="D170">
        <v>0</v>
      </c>
    </row>
    <row r="171" spans="1:4" x14ac:dyDescent="0.35">
      <c r="A171" t="s">
        <v>11</v>
      </c>
      <c r="B171" t="s">
        <v>4</v>
      </c>
      <c r="C171" t="s">
        <v>12</v>
      </c>
      <c r="D171">
        <v>0</v>
      </c>
    </row>
    <row r="172" spans="1:4" x14ac:dyDescent="0.35">
      <c r="A172" t="s">
        <v>12</v>
      </c>
      <c r="B172" t="s">
        <v>4</v>
      </c>
      <c r="C172" t="s">
        <v>12</v>
      </c>
      <c r="D172">
        <v>0</v>
      </c>
    </row>
    <row r="173" spans="1:4" x14ac:dyDescent="0.35">
      <c r="A173" t="s">
        <v>13</v>
      </c>
      <c r="B173" t="s">
        <v>4</v>
      </c>
      <c r="C173" t="s">
        <v>12</v>
      </c>
      <c r="D173">
        <v>0</v>
      </c>
    </row>
    <row r="174" spans="1:4" x14ac:dyDescent="0.35">
      <c r="A174" t="s">
        <v>14</v>
      </c>
      <c r="B174" t="s">
        <v>4</v>
      </c>
      <c r="C174" t="s">
        <v>12</v>
      </c>
      <c r="D174">
        <v>0</v>
      </c>
    </row>
    <row r="175" spans="1:4" x14ac:dyDescent="0.35">
      <c r="A175" t="s">
        <v>15</v>
      </c>
      <c r="B175" t="s">
        <v>4</v>
      </c>
      <c r="C175" t="s">
        <v>12</v>
      </c>
      <c r="D175">
        <v>0</v>
      </c>
    </row>
    <row r="176" spans="1:4" x14ac:dyDescent="0.35">
      <c r="A176" t="s">
        <v>16</v>
      </c>
      <c r="B176" t="s">
        <v>4</v>
      </c>
      <c r="C176" t="s">
        <v>12</v>
      </c>
      <c r="D176">
        <v>0</v>
      </c>
    </row>
    <row r="177" spans="1:4" x14ac:dyDescent="0.35">
      <c r="A177" t="s">
        <v>17</v>
      </c>
      <c r="B177" t="s">
        <v>4</v>
      </c>
      <c r="C177" t="s">
        <v>12</v>
      </c>
      <c r="D177">
        <v>0</v>
      </c>
    </row>
    <row r="178" spans="1:4" x14ac:dyDescent="0.35">
      <c r="A178" t="s">
        <v>18</v>
      </c>
      <c r="B178" t="s">
        <v>4</v>
      </c>
      <c r="C178" t="s">
        <v>12</v>
      </c>
      <c r="D178">
        <v>0</v>
      </c>
    </row>
    <row r="179" spans="1:4" x14ac:dyDescent="0.35">
      <c r="A179" t="s">
        <v>19</v>
      </c>
      <c r="B179" t="s">
        <v>4</v>
      </c>
      <c r="C179" t="s">
        <v>12</v>
      </c>
      <c r="D179">
        <v>0</v>
      </c>
    </row>
    <row r="180" spans="1:4" x14ac:dyDescent="0.35">
      <c r="A180" t="s">
        <v>20</v>
      </c>
      <c r="B180" t="s">
        <v>4</v>
      </c>
      <c r="C180" t="s">
        <v>12</v>
      </c>
      <c r="D180">
        <v>0</v>
      </c>
    </row>
    <row r="181" spans="1:4" x14ac:dyDescent="0.35">
      <c r="A181" t="s">
        <v>21</v>
      </c>
      <c r="B181" t="s">
        <v>4</v>
      </c>
      <c r="C181" t="s">
        <v>12</v>
      </c>
      <c r="D181">
        <v>0</v>
      </c>
    </row>
    <row r="182" spans="1:4" x14ac:dyDescent="0.35">
      <c r="A182" t="s">
        <v>22</v>
      </c>
      <c r="B182" t="s">
        <v>4</v>
      </c>
      <c r="C182" t="s">
        <v>12</v>
      </c>
      <c r="D182">
        <v>0</v>
      </c>
    </row>
    <row r="183" spans="1:4" x14ac:dyDescent="0.35">
      <c r="A183" t="s">
        <v>23</v>
      </c>
      <c r="B183" t="s">
        <v>4</v>
      </c>
      <c r="C183" t="s">
        <v>12</v>
      </c>
      <c r="D183">
        <v>0</v>
      </c>
    </row>
    <row r="184" spans="1:4" x14ac:dyDescent="0.35">
      <c r="A184" t="s">
        <v>24</v>
      </c>
      <c r="B184" t="s">
        <v>4</v>
      </c>
      <c r="C184" t="s">
        <v>12</v>
      </c>
      <c r="D184">
        <v>0</v>
      </c>
    </row>
    <row r="185" spans="1:4" x14ac:dyDescent="0.35">
      <c r="A185" t="s">
        <v>25</v>
      </c>
      <c r="B185" t="s">
        <v>4</v>
      </c>
      <c r="C185" t="s">
        <v>12</v>
      </c>
      <c r="D185">
        <v>0</v>
      </c>
    </row>
    <row r="186" spans="1:4" x14ac:dyDescent="0.35">
      <c r="A186" t="s">
        <v>26</v>
      </c>
      <c r="B186" t="s">
        <v>4</v>
      </c>
      <c r="C186" t="s">
        <v>12</v>
      </c>
      <c r="D186">
        <v>0</v>
      </c>
    </row>
    <row r="187" spans="1:4" x14ac:dyDescent="0.35">
      <c r="A187" t="s">
        <v>27</v>
      </c>
      <c r="B187" t="s">
        <v>4</v>
      </c>
      <c r="C187" t="s">
        <v>12</v>
      </c>
      <c r="D187">
        <v>0</v>
      </c>
    </row>
    <row r="188" spans="1:4" x14ac:dyDescent="0.35">
      <c r="A188" t="s">
        <v>28</v>
      </c>
      <c r="B188" t="s">
        <v>4</v>
      </c>
      <c r="C188" t="s">
        <v>12</v>
      </c>
      <c r="D188">
        <v>0</v>
      </c>
    </row>
    <row r="189" spans="1:4" x14ac:dyDescent="0.35">
      <c r="A189" t="s">
        <v>29</v>
      </c>
      <c r="B189" t="s">
        <v>4</v>
      </c>
      <c r="C189" t="s">
        <v>12</v>
      </c>
      <c r="D189">
        <v>0</v>
      </c>
    </row>
    <row r="190" spans="1:4" x14ac:dyDescent="0.35">
      <c r="A190" t="s">
        <v>30</v>
      </c>
      <c r="B190" t="s">
        <v>4</v>
      </c>
      <c r="C190" t="s">
        <v>12</v>
      </c>
      <c r="D190">
        <v>0</v>
      </c>
    </row>
    <row r="191" spans="1:4" x14ac:dyDescent="0.35">
      <c r="A191" t="s">
        <v>31</v>
      </c>
      <c r="B191" t="s">
        <v>4</v>
      </c>
      <c r="C191" t="s">
        <v>12</v>
      </c>
      <c r="D191">
        <v>0</v>
      </c>
    </row>
    <row r="192" spans="1:4" x14ac:dyDescent="0.35">
      <c r="A192" t="s">
        <v>32</v>
      </c>
      <c r="B192" t="s">
        <v>4</v>
      </c>
      <c r="C192" t="s">
        <v>12</v>
      </c>
      <c r="D192">
        <v>0</v>
      </c>
    </row>
    <row r="193" spans="1:4" x14ac:dyDescent="0.35">
      <c r="A193" t="s">
        <v>33</v>
      </c>
      <c r="B193" t="s">
        <v>4</v>
      </c>
      <c r="C193" t="s">
        <v>12</v>
      </c>
      <c r="D193">
        <v>0</v>
      </c>
    </row>
    <row r="194" spans="1:4" x14ac:dyDescent="0.35">
      <c r="A194" t="s">
        <v>34</v>
      </c>
      <c r="B194" t="s">
        <v>4</v>
      </c>
      <c r="C194" t="s">
        <v>12</v>
      </c>
      <c r="D194">
        <v>0</v>
      </c>
    </row>
    <row r="195" spans="1:4" x14ac:dyDescent="0.35">
      <c r="A195" t="s">
        <v>35</v>
      </c>
      <c r="B195" t="s">
        <v>4</v>
      </c>
      <c r="C195" t="s">
        <v>12</v>
      </c>
      <c r="D195">
        <v>0</v>
      </c>
    </row>
    <row r="196" spans="1:4" x14ac:dyDescent="0.35">
      <c r="A196" t="s">
        <v>36</v>
      </c>
      <c r="B196" t="s">
        <v>4</v>
      </c>
      <c r="C196" t="s">
        <v>12</v>
      </c>
      <c r="D196">
        <v>0</v>
      </c>
    </row>
    <row r="197" spans="1:4" x14ac:dyDescent="0.35">
      <c r="A197" t="s">
        <v>37</v>
      </c>
      <c r="B197" t="s">
        <v>4</v>
      </c>
      <c r="C197" t="s">
        <v>12</v>
      </c>
      <c r="D197">
        <v>0</v>
      </c>
    </row>
    <row r="198" spans="1:4" x14ac:dyDescent="0.35">
      <c r="A198" t="s">
        <v>38</v>
      </c>
      <c r="B198" t="s">
        <v>4</v>
      </c>
      <c r="C198" t="s">
        <v>12</v>
      </c>
      <c r="D198">
        <v>0</v>
      </c>
    </row>
    <row r="199" spans="1:4" x14ac:dyDescent="0.35">
      <c r="A199" t="s">
        <v>39</v>
      </c>
      <c r="B199" t="s">
        <v>4</v>
      </c>
      <c r="C199" t="s">
        <v>12</v>
      </c>
      <c r="D199">
        <v>0</v>
      </c>
    </row>
    <row r="200" spans="1:4" x14ac:dyDescent="0.35">
      <c r="A200" t="s">
        <v>7</v>
      </c>
      <c r="B200" t="s">
        <v>4</v>
      </c>
      <c r="C200" t="s">
        <v>13</v>
      </c>
      <c r="D200">
        <v>0</v>
      </c>
    </row>
    <row r="201" spans="1:4" x14ac:dyDescent="0.35">
      <c r="A201" t="s">
        <v>8</v>
      </c>
      <c r="B201" t="s">
        <v>4</v>
      </c>
      <c r="C201" t="s">
        <v>13</v>
      </c>
      <c r="D201">
        <v>0</v>
      </c>
    </row>
    <row r="202" spans="1:4" x14ac:dyDescent="0.35">
      <c r="A202" t="s">
        <v>9</v>
      </c>
      <c r="B202" t="s">
        <v>4</v>
      </c>
      <c r="C202" t="s">
        <v>13</v>
      </c>
      <c r="D202">
        <v>0</v>
      </c>
    </row>
    <row r="203" spans="1:4" x14ac:dyDescent="0.35">
      <c r="A203" t="s">
        <v>10</v>
      </c>
      <c r="B203" t="s">
        <v>4</v>
      </c>
      <c r="C203" t="s">
        <v>13</v>
      </c>
      <c r="D203">
        <v>0</v>
      </c>
    </row>
    <row r="204" spans="1:4" x14ac:dyDescent="0.35">
      <c r="A204" t="s">
        <v>11</v>
      </c>
      <c r="B204" t="s">
        <v>4</v>
      </c>
      <c r="C204" t="s">
        <v>13</v>
      </c>
      <c r="D204">
        <v>0</v>
      </c>
    </row>
    <row r="205" spans="1:4" x14ac:dyDescent="0.35">
      <c r="A205" t="s">
        <v>12</v>
      </c>
      <c r="B205" t="s">
        <v>4</v>
      </c>
      <c r="C205" t="s">
        <v>13</v>
      </c>
      <c r="D205">
        <v>0</v>
      </c>
    </row>
    <row r="206" spans="1:4" x14ac:dyDescent="0.35">
      <c r="A206" t="s">
        <v>13</v>
      </c>
      <c r="B206" t="s">
        <v>4</v>
      </c>
      <c r="C206" t="s">
        <v>13</v>
      </c>
      <c r="D206">
        <v>0</v>
      </c>
    </row>
    <row r="207" spans="1:4" x14ac:dyDescent="0.35">
      <c r="A207" t="s">
        <v>14</v>
      </c>
      <c r="B207" t="s">
        <v>4</v>
      </c>
      <c r="C207" t="s">
        <v>13</v>
      </c>
      <c r="D207">
        <v>0</v>
      </c>
    </row>
    <row r="208" spans="1:4" x14ac:dyDescent="0.35">
      <c r="A208" t="s">
        <v>15</v>
      </c>
      <c r="B208" t="s">
        <v>4</v>
      </c>
      <c r="C208" t="s">
        <v>13</v>
      </c>
      <c r="D208">
        <v>0</v>
      </c>
    </row>
    <row r="209" spans="1:4" x14ac:dyDescent="0.35">
      <c r="A209" t="s">
        <v>16</v>
      </c>
      <c r="B209" t="s">
        <v>4</v>
      </c>
      <c r="C209" t="s">
        <v>13</v>
      </c>
      <c r="D209">
        <v>0</v>
      </c>
    </row>
    <row r="210" spans="1:4" x14ac:dyDescent="0.35">
      <c r="A210" t="s">
        <v>17</v>
      </c>
      <c r="B210" t="s">
        <v>4</v>
      </c>
      <c r="C210" t="s">
        <v>13</v>
      </c>
      <c r="D210">
        <v>0</v>
      </c>
    </row>
    <row r="211" spans="1:4" x14ac:dyDescent="0.35">
      <c r="A211" t="s">
        <v>18</v>
      </c>
      <c r="B211" t="s">
        <v>4</v>
      </c>
      <c r="C211" t="s">
        <v>13</v>
      </c>
      <c r="D211">
        <v>0</v>
      </c>
    </row>
    <row r="212" spans="1:4" x14ac:dyDescent="0.35">
      <c r="A212" t="s">
        <v>19</v>
      </c>
      <c r="B212" t="s">
        <v>4</v>
      </c>
      <c r="C212" t="s">
        <v>13</v>
      </c>
      <c r="D212">
        <v>0</v>
      </c>
    </row>
    <row r="213" spans="1:4" x14ac:dyDescent="0.35">
      <c r="A213" t="s">
        <v>20</v>
      </c>
      <c r="B213" t="s">
        <v>4</v>
      </c>
      <c r="C213" t="s">
        <v>13</v>
      </c>
      <c r="D213">
        <v>0</v>
      </c>
    </row>
    <row r="214" spans="1:4" x14ac:dyDescent="0.35">
      <c r="A214" t="s">
        <v>21</v>
      </c>
      <c r="B214" t="s">
        <v>4</v>
      </c>
      <c r="C214" t="s">
        <v>13</v>
      </c>
      <c r="D214">
        <v>0</v>
      </c>
    </row>
    <row r="215" spans="1:4" x14ac:dyDescent="0.35">
      <c r="A215" t="s">
        <v>22</v>
      </c>
      <c r="B215" t="s">
        <v>4</v>
      </c>
      <c r="C215" t="s">
        <v>13</v>
      </c>
      <c r="D215">
        <v>0</v>
      </c>
    </row>
    <row r="216" spans="1:4" x14ac:dyDescent="0.35">
      <c r="A216" t="s">
        <v>23</v>
      </c>
      <c r="B216" t="s">
        <v>4</v>
      </c>
      <c r="C216" t="s">
        <v>13</v>
      </c>
      <c r="D216">
        <v>0</v>
      </c>
    </row>
    <row r="217" spans="1:4" x14ac:dyDescent="0.35">
      <c r="A217" t="s">
        <v>24</v>
      </c>
      <c r="B217" t="s">
        <v>4</v>
      </c>
      <c r="C217" t="s">
        <v>13</v>
      </c>
      <c r="D217">
        <v>0</v>
      </c>
    </row>
    <row r="218" spans="1:4" x14ac:dyDescent="0.35">
      <c r="A218" t="s">
        <v>25</v>
      </c>
      <c r="B218" t="s">
        <v>4</v>
      </c>
      <c r="C218" t="s">
        <v>13</v>
      </c>
      <c r="D218">
        <v>0</v>
      </c>
    </row>
    <row r="219" spans="1:4" x14ac:dyDescent="0.35">
      <c r="A219" t="s">
        <v>26</v>
      </c>
      <c r="B219" t="s">
        <v>4</v>
      </c>
      <c r="C219" t="s">
        <v>13</v>
      </c>
      <c r="D219">
        <v>0</v>
      </c>
    </row>
    <row r="220" spans="1:4" x14ac:dyDescent="0.35">
      <c r="A220" t="s">
        <v>27</v>
      </c>
      <c r="B220" t="s">
        <v>4</v>
      </c>
      <c r="C220" t="s">
        <v>13</v>
      </c>
      <c r="D220">
        <v>0</v>
      </c>
    </row>
    <row r="221" spans="1:4" x14ac:dyDescent="0.35">
      <c r="A221" t="s">
        <v>28</v>
      </c>
      <c r="B221" t="s">
        <v>4</v>
      </c>
      <c r="C221" t="s">
        <v>13</v>
      </c>
      <c r="D221">
        <v>0</v>
      </c>
    </row>
    <row r="222" spans="1:4" x14ac:dyDescent="0.35">
      <c r="A222" t="s">
        <v>29</v>
      </c>
      <c r="B222" t="s">
        <v>4</v>
      </c>
      <c r="C222" t="s">
        <v>13</v>
      </c>
      <c r="D222">
        <v>0</v>
      </c>
    </row>
    <row r="223" spans="1:4" x14ac:dyDescent="0.35">
      <c r="A223" t="s">
        <v>30</v>
      </c>
      <c r="B223" t="s">
        <v>4</v>
      </c>
      <c r="C223" t="s">
        <v>13</v>
      </c>
      <c r="D223">
        <v>0</v>
      </c>
    </row>
    <row r="224" spans="1:4" x14ac:dyDescent="0.35">
      <c r="A224" t="s">
        <v>31</v>
      </c>
      <c r="B224" t="s">
        <v>4</v>
      </c>
      <c r="C224" t="s">
        <v>13</v>
      </c>
      <c r="D224">
        <v>0</v>
      </c>
    </row>
    <row r="225" spans="1:4" x14ac:dyDescent="0.35">
      <c r="A225" t="s">
        <v>32</v>
      </c>
      <c r="B225" t="s">
        <v>4</v>
      </c>
      <c r="C225" t="s">
        <v>13</v>
      </c>
      <c r="D225">
        <v>0</v>
      </c>
    </row>
    <row r="226" spans="1:4" x14ac:dyDescent="0.35">
      <c r="A226" t="s">
        <v>33</v>
      </c>
      <c r="B226" t="s">
        <v>4</v>
      </c>
      <c r="C226" t="s">
        <v>13</v>
      </c>
      <c r="D226">
        <v>0</v>
      </c>
    </row>
    <row r="227" spans="1:4" x14ac:dyDescent="0.35">
      <c r="A227" t="s">
        <v>34</v>
      </c>
      <c r="B227" t="s">
        <v>4</v>
      </c>
      <c r="C227" t="s">
        <v>13</v>
      </c>
      <c r="D227">
        <v>0</v>
      </c>
    </row>
    <row r="228" spans="1:4" x14ac:dyDescent="0.35">
      <c r="A228" t="s">
        <v>35</v>
      </c>
      <c r="B228" t="s">
        <v>4</v>
      </c>
      <c r="C228" t="s">
        <v>13</v>
      </c>
      <c r="D228">
        <v>0</v>
      </c>
    </row>
    <row r="229" spans="1:4" x14ac:dyDescent="0.35">
      <c r="A229" t="s">
        <v>36</v>
      </c>
      <c r="B229" t="s">
        <v>4</v>
      </c>
      <c r="C229" t="s">
        <v>13</v>
      </c>
      <c r="D229">
        <v>0</v>
      </c>
    </row>
    <row r="230" spans="1:4" x14ac:dyDescent="0.35">
      <c r="A230" t="s">
        <v>37</v>
      </c>
      <c r="B230" t="s">
        <v>4</v>
      </c>
      <c r="C230" t="s">
        <v>13</v>
      </c>
      <c r="D230">
        <v>0</v>
      </c>
    </row>
    <row r="231" spans="1:4" x14ac:dyDescent="0.35">
      <c r="A231" t="s">
        <v>38</v>
      </c>
      <c r="B231" t="s">
        <v>4</v>
      </c>
      <c r="C231" t="s">
        <v>13</v>
      </c>
      <c r="D231">
        <v>0</v>
      </c>
    </row>
    <row r="232" spans="1:4" x14ac:dyDescent="0.35">
      <c r="A232" t="s">
        <v>39</v>
      </c>
      <c r="B232" t="s">
        <v>4</v>
      </c>
      <c r="C232" t="s">
        <v>13</v>
      </c>
      <c r="D232">
        <v>0</v>
      </c>
    </row>
    <row r="233" spans="1:4" x14ac:dyDescent="0.35">
      <c r="A233" t="s">
        <v>7</v>
      </c>
      <c r="B233" t="s">
        <v>4</v>
      </c>
      <c r="C233" t="s">
        <v>14</v>
      </c>
      <c r="D233">
        <v>0</v>
      </c>
    </row>
    <row r="234" spans="1:4" x14ac:dyDescent="0.35">
      <c r="A234" t="s">
        <v>8</v>
      </c>
      <c r="B234" t="s">
        <v>4</v>
      </c>
      <c r="C234" t="s">
        <v>14</v>
      </c>
      <c r="D234">
        <v>0</v>
      </c>
    </row>
    <row r="235" spans="1:4" x14ac:dyDescent="0.35">
      <c r="A235" t="s">
        <v>9</v>
      </c>
      <c r="B235" t="s">
        <v>4</v>
      </c>
      <c r="C235" t="s">
        <v>14</v>
      </c>
      <c r="D235">
        <v>0</v>
      </c>
    </row>
    <row r="236" spans="1:4" x14ac:dyDescent="0.35">
      <c r="A236" t="s">
        <v>10</v>
      </c>
      <c r="B236" t="s">
        <v>4</v>
      </c>
      <c r="C236" t="s">
        <v>14</v>
      </c>
      <c r="D236">
        <v>0</v>
      </c>
    </row>
    <row r="237" spans="1:4" x14ac:dyDescent="0.35">
      <c r="A237" t="s">
        <v>11</v>
      </c>
      <c r="B237" t="s">
        <v>4</v>
      </c>
      <c r="C237" t="s">
        <v>14</v>
      </c>
      <c r="D237">
        <v>0</v>
      </c>
    </row>
    <row r="238" spans="1:4" x14ac:dyDescent="0.35">
      <c r="A238" t="s">
        <v>12</v>
      </c>
      <c r="B238" t="s">
        <v>4</v>
      </c>
      <c r="C238" t="s">
        <v>14</v>
      </c>
      <c r="D238">
        <v>0</v>
      </c>
    </row>
    <row r="239" spans="1:4" x14ac:dyDescent="0.35">
      <c r="A239" t="s">
        <v>13</v>
      </c>
      <c r="B239" t="s">
        <v>4</v>
      </c>
      <c r="C239" t="s">
        <v>14</v>
      </c>
      <c r="D239">
        <v>0</v>
      </c>
    </row>
    <row r="240" spans="1:4" x14ac:dyDescent="0.35">
      <c r="A240" t="s">
        <v>14</v>
      </c>
      <c r="B240" t="s">
        <v>4</v>
      </c>
      <c r="C240" t="s">
        <v>14</v>
      </c>
      <c r="D240">
        <v>0</v>
      </c>
    </row>
    <row r="241" spans="1:4" x14ac:dyDescent="0.35">
      <c r="A241" t="s">
        <v>15</v>
      </c>
      <c r="B241" t="s">
        <v>4</v>
      </c>
      <c r="C241" t="s">
        <v>14</v>
      </c>
      <c r="D241">
        <v>0</v>
      </c>
    </row>
    <row r="242" spans="1:4" x14ac:dyDescent="0.35">
      <c r="A242" t="s">
        <v>16</v>
      </c>
      <c r="B242" t="s">
        <v>4</v>
      </c>
      <c r="C242" t="s">
        <v>14</v>
      </c>
      <c r="D242">
        <v>0</v>
      </c>
    </row>
    <row r="243" spans="1:4" x14ac:dyDescent="0.35">
      <c r="A243" t="s">
        <v>17</v>
      </c>
      <c r="B243" t="s">
        <v>4</v>
      </c>
      <c r="C243" t="s">
        <v>14</v>
      </c>
      <c r="D243">
        <v>0</v>
      </c>
    </row>
    <row r="244" spans="1:4" x14ac:dyDescent="0.35">
      <c r="A244" t="s">
        <v>18</v>
      </c>
      <c r="B244" t="s">
        <v>4</v>
      </c>
      <c r="C244" t="s">
        <v>14</v>
      </c>
      <c r="D244">
        <v>0</v>
      </c>
    </row>
    <row r="245" spans="1:4" x14ac:dyDescent="0.35">
      <c r="A245" t="s">
        <v>19</v>
      </c>
      <c r="B245" t="s">
        <v>4</v>
      </c>
      <c r="C245" t="s">
        <v>14</v>
      </c>
      <c r="D245">
        <v>0</v>
      </c>
    </row>
    <row r="246" spans="1:4" x14ac:dyDescent="0.35">
      <c r="A246" t="s">
        <v>20</v>
      </c>
      <c r="B246" t="s">
        <v>4</v>
      </c>
      <c r="C246" t="s">
        <v>14</v>
      </c>
      <c r="D246">
        <v>0</v>
      </c>
    </row>
    <row r="247" spans="1:4" x14ac:dyDescent="0.35">
      <c r="A247" t="s">
        <v>21</v>
      </c>
      <c r="B247" t="s">
        <v>4</v>
      </c>
      <c r="C247" t="s">
        <v>14</v>
      </c>
      <c r="D247">
        <v>0</v>
      </c>
    </row>
    <row r="248" spans="1:4" x14ac:dyDescent="0.35">
      <c r="A248" t="s">
        <v>22</v>
      </c>
      <c r="B248" t="s">
        <v>4</v>
      </c>
      <c r="C248" t="s">
        <v>14</v>
      </c>
      <c r="D248">
        <v>0</v>
      </c>
    </row>
    <row r="249" spans="1:4" x14ac:dyDescent="0.35">
      <c r="A249" t="s">
        <v>23</v>
      </c>
      <c r="B249" t="s">
        <v>4</v>
      </c>
      <c r="C249" t="s">
        <v>14</v>
      </c>
      <c r="D249">
        <v>0</v>
      </c>
    </row>
    <row r="250" spans="1:4" x14ac:dyDescent="0.35">
      <c r="A250" t="s">
        <v>24</v>
      </c>
      <c r="B250" t="s">
        <v>4</v>
      </c>
      <c r="C250" t="s">
        <v>14</v>
      </c>
      <c r="D250">
        <v>0</v>
      </c>
    </row>
    <row r="251" spans="1:4" x14ac:dyDescent="0.35">
      <c r="A251" t="s">
        <v>25</v>
      </c>
      <c r="B251" t="s">
        <v>4</v>
      </c>
      <c r="C251" t="s">
        <v>14</v>
      </c>
      <c r="D251">
        <v>0</v>
      </c>
    </row>
    <row r="252" spans="1:4" x14ac:dyDescent="0.35">
      <c r="A252" t="s">
        <v>26</v>
      </c>
      <c r="B252" t="s">
        <v>4</v>
      </c>
      <c r="C252" t="s">
        <v>14</v>
      </c>
      <c r="D252">
        <v>0</v>
      </c>
    </row>
    <row r="253" spans="1:4" x14ac:dyDescent="0.35">
      <c r="A253" t="s">
        <v>27</v>
      </c>
      <c r="B253" t="s">
        <v>4</v>
      </c>
      <c r="C253" t="s">
        <v>14</v>
      </c>
      <c r="D253">
        <v>0</v>
      </c>
    </row>
    <row r="254" spans="1:4" x14ac:dyDescent="0.35">
      <c r="A254" t="s">
        <v>28</v>
      </c>
      <c r="B254" t="s">
        <v>4</v>
      </c>
      <c r="C254" t="s">
        <v>14</v>
      </c>
      <c r="D254">
        <v>0</v>
      </c>
    </row>
    <row r="255" spans="1:4" x14ac:dyDescent="0.35">
      <c r="A255" t="s">
        <v>29</v>
      </c>
      <c r="B255" t="s">
        <v>4</v>
      </c>
      <c r="C255" t="s">
        <v>14</v>
      </c>
      <c r="D255">
        <v>0</v>
      </c>
    </row>
    <row r="256" spans="1:4" x14ac:dyDescent="0.35">
      <c r="A256" t="s">
        <v>30</v>
      </c>
      <c r="B256" t="s">
        <v>4</v>
      </c>
      <c r="C256" t="s">
        <v>14</v>
      </c>
      <c r="D256">
        <v>0</v>
      </c>
    </row>
    <row r="257" spans="1:4" x14ac:dyDescent="0.35">
      <c r="A257" t="s">
        <v>31</v>
      </c>
      <c r="B257" t="s">
        <v>4</v>
      </c>
      <c r="C257" t="s">
        <v>14</v>
      </c>
      <c r="D257">
        <v>0</v>
      </c>
    </row>
    <row r="258" spans="1:4" x14ac:dyDescent="0.35">
      <c r="A258" t="s">
        <v>32</v>
      </c>
      <c r="B258" t="s">
        <v>4</v>
      </c>
      <c r="C258" t="s">
        <v>14</v>
      </c>
      <c r="D258">
        <v>0</v>
      </c>
    </row>
    <row r="259" spans="1:4" x14ac:dyDescent="0.35">
      <c r="A259" t="s">
        <v>33</v>
      </c>
      <c r="B259" t="s">
        <v>4</v>
      </c>
      <c r="C259" t="s">
        <v>14</v>
      </c>
      <c r="D259">
        <v>0</v>
      </c>
    </row>
    <row r="260" spans="1:4" x14ac:dyDescent="0.35">
      <c r="A260" t="s">
        <v>34</v>
      </c>
      <c r="B260" t="s">
        <v>4</v>
      </c>
      <c r="C260" t="s">
        <v>14</v>
      </c>
      <c r="D260">
        <v>0</v>
      </c>
    </row>
    <row r="261" spans="1:4" x14ac:dyDescent="0.35">
      <c r="A261" t="s">
        <v>35</v>
      </c>
      <c r="B261" t="s">
        <v>4</v>
      </c>
      <c r="C261" t="s">
        <v>14</v>
      </c>
      <c r="D261">
        <v>0</v>
      </c>
    </row>
    <row r="262" spans="1:4" x14ac:dyDescent="0.35">
      <c r="A262" t="s">
        <v>36</v>
      </c>
      <c r="B262" t="s">
        <v>4</v>
      </c>
      <c r="C262" t="s">
        <v>14</v>
      </c>
      <c r="D262">
        <v>0</v>
      </c>
    </row>
    <row r="263" spans="1:4" x14ac:dyDescent="0.35">
      <c r="A263" t="s">
        <v>37</v>
      </c>
      <c r="B263" t="s">
        <v>4</v>
      </c>
      <c r="C263" t="s">
        <v>14</v>
      </c>
      <c r="D263">
        <v>0</v>
      </c>
    </row>
    <row r="264" spans="1:4" x14ac:dyDescent="0.35">
      <c r="A264" t="s">
        <v>38</v>
      </c>
      <c r="B264" t="s">
        <v>4</v>
      </c>
      <c r="C264" t="s">
        <v>14</v>
      </c>
      <c r="D264">
        <v>0</v>
      </c>
    </row>
    <row r="265" spans="1:4" x14ac:dyDescent="0.35">
      <c r="A265" t="s">
        <v>39</v>
      </c>
      <c r="B265" t="s">
        <v>4</v>
      </c>
      <c r="C265" t="s">
        <v>14</v>
      </c>
      <c r="D265">
        <v>0</v>
      </c>
    </row>
    <row r="266" spans="1:4" x14ac:dyDescent="0.35">
      <c r="A266" t="s">
        <v>7</v>
      </c>
      <c r="B266" t="s">
        <v>4</v>
      </c>
      <c r="C266" t="s">
        <v>15</v>
      </c>
      <c r="D266">
        <v>0</v>
      </c>
    </row>
    <row r="267" spans="1:4" x14ac:dyDescent="0.35">
      <c r="A267" t="s">
        <v>8</v>
      </c>
      <c r="B267" t="s">
        <v>4</v>
      </c>
      <c r="C267" t="s">
        <v>15</v>
      </c>
      <c r="D267">
        <v>0</v>
      </c>
    </row>
    <row r="268" spans="1:4" x14ac:dyDescent="0.35">
      <c r="A268" t="s">
        <v>9</v>
      </c>
      <c r="B268" t="s">
        <v>4</v>
      </c>
      <c r="C268" t="s">
        <v>15</v>
      </c>
      <c r="D268">
        <v>0</v>
      </c>
    </row>
    <row r="269" spans="1:4" x14ac:dyDescent="0.35">
      <c r="A269" t="s">
        <v>10</v>
      </c>
      <c r="B269" t="s">
        <v>4</v>
      </c>
      <c r="C269" t="s">
        <v>15</v>
      </c>
      <c r="D269">
        <v>0</v>
      </c>
    </row>
    <row r="270" spans="1:4" x14ac:dyDescent="0.35">
      <c r="A270" t="s">
        <v>11</v>
      </c>
      <c r="B270" t="s">
        <v>4</v>
      </c>
      <c r="C270" t="s">
        <v>15</v>
      </c>
      <c r="D270">
        <v>0</v>
      </c>
    </row>
    <row r="271" spans="1:4" x14ac:dyDescent="0.35">
      <c r="A271" t="s">
        <v>12</v>
      </c>
      <c r="B271" t="s">
        <v>4</v>
      </c>
      <c r="C271" t="s">
        <v>15</v>
      </c>
      <c r="D271">
        <v>0</v>
      </c>
    </row>
    <row r="272" spans="1:4" x14ac:dyDescent="0.35">
      <c r="A272" t="s">
        <v>13</v>
      </c>
      <c r="B272" t="s">
        <v>4</v>
      </c>
      <c r="C272" t="s">
        <v>15</v>
      </c>
      <c r="D272">
        <v>0</v>
      </c>
    </row>
    <row r="273" spans="1:4" x14ac:dyDescent="0.35">
      <c r="A273" t="s">
        <v>14</v>
      </c>
      <c r="B273" t="s">
        <v>4</v>
      </c>
      <c r="C273" t="s">
        <v>15</v>
      </c>
      <c r="D273">
        <v>0</v>
      </c>
    </row>
    <row r="274" spans="1:4" x14ac:dyDescent="0.35">
      <c r="A274" t="s">
        <v>15</v>
      </c>
      <c r="B274" t="s">
        <v>4</v>
      </c>
      <c r="C274" t="s">
        <v>15</v>
      </c>
      <c r="D274">
        <v>0</v>
      </c>
    </row>
    <row r="275" spans="1:4" x14ac:dyDescent="0.35">
      <c r="A275" t="s">
        <v>16</v>
      </c>
      <c r="B275" t="s">
        <v>4</v>
      </c>
      <c r="C275" t="s">
        <v>15</v>
      </c>
      <c r="D275">
        <v>0</v>
      </c>
    </row>
    <row r="276" spans="1:4" x14ac:dyDescent="0.35">
      <c r="A276" t="s">
        <v>17</v>
      </c>
      <c r="B276" t="s">
        <v>4</v>
      </c>
      <c r="C276" t="s">
        <v>15</v>
      </c>
      <c r="D276">
        <v>0</v>
      </c>
    </row>
    <row r="277" spans="1:4" x14ac:dyDescent="0.35">
      <c r="A277" t="s">
        <v>18</v>
      </c>
      <c r="B277" t="s">
        <v>4</v>
      </c>
      <c r="C277" t="s">
        <v>15</v>
      </c>
      <c r="D277">
        <v>0</v>
      </c>
    </row>
    <row r="278" spans="1:4" x14ac:dyDescent="0.35">
      <c r="A278" t="s">
        <v>19</v>
      </c>
      <c r="B278" t="s">
        <v>4</v>
      </c>
      <c r="C278" t="s">
        <v>15</v>
      </c>
      <c r="D278">
        <v>0</v>
      </c>
    </row>
    <row r="279" spans="1:4" x14ac:dyDescent="0.35">
      <c r="A279" t="s">
        <v>20</v>
      </c>
      <c r="B279" t="s">
        <v>4</v>
      </c>
      <c r="C279" t="s">
        <v>15</v>
      </c>
      <c r="D279">
        <v>0</v>
      </c>
    </row>
    <row r="280" spans="1:4" x14ac:dyDescent="0.35">
      <c r="A280" t="s">
        <v>21</v>
      </c>
      <c r="B280" t="s">
        <v>4</v>
      </c>
      <c r="C280" t="s">
        <v>15</v>
      </c>
      <c r="D280">
        <v>0</v>
      </c>
    </row>
    <row r="281" spans="1:4" x14ac:dyDescent="0.35">
      <c r="A281" t="s">
        <v>22</v>
      </c>
      <c r="B281" t="s">
        <v>4</v>
      </c>
      <c r="C281" t="s">
        <v>15</v>
      </c>
      <c r="D281">
        <v>0</v>
      </c>
    </row>
    <row r="282" spans="1:4" x14ac:dyDescent="0.35">
      <c r="A282" t="s">
        <v>23</v>
      </c>
      <c r="B282" t="s">
        <v>4</v>
      </c>
      <c r="C282" t="s">
        <v>15</v>
      </c>
      <c r="D282">
        <v>0</v>
      </c>
    </row>
    <row r="283" spans="1:4" x14ac:dyDescent="0.35">
      <c r="A283" t="s">
        <v>24</v>
      </c>
      <c r="B283" t="s">
        <v>4</v>
      </c>
      <c r="C283" t="s">
        <v>15</v>
      </c>
      <c r="D283">
        <v>0</v>
      </c>
    </row>
    <row r="284" spans="1:4" x14ac:dyDescent="0.35">
      <c r="A284" t="s">
        <v>25</v>
      </c>
      <c r="B284" t="s">
        <v>4</v>
      </c>
      <c r="C284" t="s">
        <v>15</v>
      </c>
      <c r="D284">
        <v>0</v>
      </c>
    </row>
    <row r="285" spans="1:4" x14ac:dyDescent="0.35">
      <c r="A285" t="s">
        <v>26</v>
      </c>
      <c r="B285" t="s">
        <v>4</v>
      </c>
      <c r="C285" t="s">
        <v>15</v>
      </c>
      <c r="D285">
        <v>0</v>
      </c>
    </row>
    <row r="286" spans="1:4" x14ac:dyDescent="0.35">
      <c r="A286" t="s">
        <v>27</v>
      </c>
      <c r="B286" t="s">
        <v>4</v>
      </c>
      <c r="C286" t="s">
        <v>15</v>
      </c>
      <c r="D286">
        <v>0</v>
      </c>
    </row>
    <row r="287" spans="1:4" x14ac:dyDescent="0.35">
      <c r="A287" t="s">
        <v>28</v>
      </c>
      <c r="B287" t="s">
        <v>4</v>
      </c>
      <c r="C287" t="s">
        <v>15</v>
      </c>
      <c r="D287">
        <v>0</v>
      </c>
    </row>
    <row r="288" spans="1:4" x14ac:dyDescent="0.35">
      <c r="A288" t="s">
        <v>29</v>
      </c>
      <c r="B288" t="s">
        <v>4</v>
      </c>
      <c r="C288" t="s">
        <v>15</v>
      </c>
      <c r="D288">
        <v>0</v>
      </c>
    </row>
    <row r="289" spans="1:4" x14ac:dyDescent="0.35">
      <c r="A289" t="s">
        <v>30</v>
      </c>
      <c r="B289" t="s">
        <v>4</v>
      </c>
      <c r="C289" t="s">
        <v>15</v>
      </c>
      <c r="D289">
        <v>0</v>
      </c>
    </row>
    <row r="290" spans="1:4" x14ac:dyDescent="0.35">
      <c r="A290" t="s">
        <v>31</v>
      </c>
      <c r="B290" t="s">
        <v>4</v>
      </c>
      <c r="C290" t="s">
        <v>15</v>
      </c>
      <c r="D290">
        <v>0</v>
      </c>
    </row>
    <row r="291" spans="1:4" x14ac:dyDescent="0.35">
      <c r="A291" t="s">
        <v>32</v>
      </c>
      <c r="B291" t="s">
        <v>4</v>
      </c>
      <c r="C291" t="s">
        <v>15</v>
      </c>
      <c r="D291">
        <v>0</v>
      </c>
    </row>
    <row r="292" spans="1:4" x14ac:dyDescent="0.35">
      <c r="A292" t="s">
        <v>33</v>
      </c>
      <c r="B292" t="s">
        <v>4</v>
      </c>
      <c r="C292" t="s">
        <v>15</v>
      </c>
      <c r="D292">
        <v>0</v>
      </c>
    </row>
    <row r="293" spans="1:4" x14ac:dyDescent="0.35">
      <c r="A293" t="s">
        <v>34</v>
      </c>
      <c r="B293" t="s">
        <v>4</v>
      </c>
      <c r="C293" t="s">
        <v>15</v>
      </c>
      <c r="D293">
        <v>0</v>
      </c>
    </row>
    <row r="294" spans="1:4" x14ac:dyDescent="0.35">
      <c r="A294" t="s">
        <v>35</v>
      </c>
      <c r="B294" t="s">
        <v>4</v>
      </c>
      <c r="C294" t="s">
        <v>15</v>
      </c>
      <c r="D294">
        <v>0</v>
      </c>
    </row>
    <row r="295" spans="1:4" x14ac:dyDescent="0.35">
      <c r="A295" t="s">
        <v>36</v>
      </c>
      <c r="B295" t="s">
        <v>4</v>
      </c>
      <c r="C295" t="s">
        <v>15</v>
      </c>
      <c r="D295">
        <v>0</v>
      </c>
    </row>
    <row r="296" spans="1:4" x14ac:dyDescent="0.35">
      <c r="A296" t="s">
        <v>37</v>
      </c>
      <c r="B296" t="s">
        <v>4</v>
      </c>
      <c r="C296" t="s">
        <v>15</v>
      </c>
      <c r="D296">
        <v>0</v>
      </c>
    </row>
    <row r="297" spans="1:4" x14ac:dyDescent="0.35">
      <c r="A297" t="s">
        <v>38</v>
      </c>
      <c r="B297" t="s">
        <v>4</v>
      </c>
      <c r="C297" t="s">
        <v>15</v>
      </c>
      <c r="D297">
        <v>0</v>
      </c>
    </row>
    <row r="298" spans="1:4" x14ac:dyDescent="0.35">
      <c r="A298" t="s">
        <v>39</v>
      </c>
      <c r="B298" t="s">
        <v>4</v>
      </c>
      <c r="C298" t="s">
        <v>15</v>
      </c>
      <c r="D298">
        <v>0</v>
      </c>
    </row>
    <row r="299" spans="1:4" x14ac:dyDescent="0.35">
      <c r="A299" t="s">
        <v>7</v>
      </c>
      <c r="B299" t="s">
        <v>4</v>
      </c>
      <c r="C299" t="s">
        <v>16</v>
      </c>
      <c r="D299">
        <v>0</v>
      </c>
    </row>
    <row r="300" spans="1:4" x14ac:dyDescent="0.35">
      <c r="A300" t="s">
        <v>8</v>
      </c>
      <c r="B300" t="s">
        <v>4</v>
      </c>
      <c r="C300" t="s">
        <v>16</v>
      </c>
      <c r="D300">
        <v>0</v>
      </c>
    </row>
    <row r="301" spans="1:4" x14ac:dyDescent="0.35">
      <c r="A301" t="s">
        <v>9</v>
      </c>
      <c r="B301" t="s">
        <v>4</v>
      </c>
      <c r="C301" t="s">
        <v>16</v>
      </c>
      <c r="D301">
        <v>0</v>
      </c>
    </row>
    <row r="302" spans="1:4" x14ac:dyDescent="0.35">
      <c r="A302" t="s">
        <v>10</v>
      </c>
      <c r="B302" t="s">
        <v>4</v>
      </c>
      <c r="C302" t="s">
        <v>16</v>
      </c>
      <c r="D302">
        <v>0</v>
      </c>
    </row>
    <row r="303" spans="1:4" x14ac:dyDescent="0.35">
      <c r="A303" t="s">
        <v>11</v>
      </c>
      <c r="B303" t="s">
        <v>4</v>
      </c>
      <c r="C303" t="s">
        <v>16</v>
      </c>
      <c r="D303">
        <v>0</v>
      </c>
    </row>
    <row r="304" spans="1:4" x14ac:dyDescent="0.35">
      <c r="A304" t="s">
        <v>12</v>
      </c>
      <c r="B304" t="s">
        <v>4</v>
      </c>
      <c r="C304" t="s">
        <v>16</v>
      </c>
      <c r="D304">
        <v>0</v>
      </c>
    </row>
    <row r="305" spans="1:4" x14ac:dyDescent="0.35">
      <c r="A305" t="s">
        <v>13</v>
      </c>
      <c r="B305" t="s">
        <v>4</v>
      </c>
      <c r="C305" t="s">
        <v>16</v>
      </c>
      <c r="D305">
        <v>0</v>
      </c>
    </row>
    <row r="306" spans="1:4" x14ac:dyDescent="0.35">
      <c r="A306" t="s">
        <v>14</v>
      </c>
      <c r="B306" t="s">
        <v>4</v>
      </c>
      <c r="C306" t="s">
        <v>16</v>
      </c>
      <c r="D306">
        <v>0</v>
      </c>
    </row>
    <row r="307" spans="1:4" x14ac:dyDescent="0.35">
      <c r="A307" t="s">
        <v>15</v>
      </c>
      <c r="B307" t="s">
        <v>4</v>
      </c>
      <c r="C307" t="s">
        <v>16</v>
      </c>
      <c r="D307">
        <v>0</v>
      </c>
    </row>
    <row r="308" spans="1:4" x14ac:dyDescent="0.35">
      <c r="A308" t="s">
        <v>16</v>
      </c>
      <c r="B308" t="s">
        <v>4</v>
      </c>
      <c r="C308" t="s">
        <v>16</v>
      </c>
      <c r="D308">
        <v>0</v>
      </c>
    </row>
    <row r="309" spans="1:4" x14ac:dyDescent="0.35">
      <c r="A309" t="s">
        <v>17</v>
      </c>
      <c r="B309" t="s">
        <v>4</v>
      </c>
      <c r="C309" t="s">
        <v>16</v>
      </c>
      <c r="D309">
        <v>0</v>
      </c>
    </row>
    <row r="310" spans="1:4" x14ac:dyDescent="0.35">
      <c r="A310" t="s">
        <v>18</v>
      </c>
      <c r="B310" t="s">
        <v>4</v>
      </c>
      <c r="C310" t="s">
        <v>16</v>
      </c>
      <c r="D310">
        <v>0</v>
      </c>
    </row>
    <row r="311" spans="1:4" x14ac:dyDescent="0.35">
      <c r="A311" t="s">
        <v>19</v>
      </c>
      <c r="B311" t="s">
        <v>4</v>
      </c>
      <c r="C311" t="s">
        <v>16</v>
      </c>
      <c r="D311">
        <v>0</v>
      </c>
    </row>
    <row r="312" spans="1:4" x14ac:dyDescent="0.35">
      <c r="A312" t="s">
        <v>20</v>
      </c>
      <c r="B312" t="s">
        <v>4</v>
      </c>
      <c r="C312" t="s">
        <v>16</v>
      </c>
      <c r="D312">
        <v>0</v>
      </c>
    </row>
    <row r="313" spans="1:4" x14ac:dyDescent="0.35">
      <c r="A313" t="s">
        <v>21</v>
      </c>
      <c r="B313" t="s">
        <v>4</v>
      </c>
      <c r="C313" t="s">
        <v>16</v>
      </c>
      <c r="D313">
        <v>0</v>
      </c>
    </row>
    <row r="314" spans="1:4" x14ac:dyDescent="0.35">
      <c r="A314" t="s">
        <v>22</v>
      </c>
      <c r="B314" t="s">
        <v>4</v>
      </c>
      <c r="C314" t="s">
        <v>16</v>
      </c>
      <c r="D314">
        <v>0</v>
      </c>
    </row>
    <row r="315" spans="1:4" x14ac:dyDescent="0.35">
      <c r="A315" t="s">
        <v>23</v>
      </c>
      <c r="B315" t="s">
        <v>4</v>
      </c>
      <c r="C315" t="s">
        <v>16</v>
      </c>
      <c r="D315">
        <v>0</v>
      </c>
    </row>
    <row r="316" spans="1:4" x14ac:dyDescent="0.35">
      <c r="A316" t="s">
        <v>24</v>
      </c>
      <c r="B316" t="s">
        <v>4</v>
      </c>
      <c r="C316" t="s">
        <v>16</v>
      </c>
      <c r="D316">
        <v>0</v>
      </c>
    </row>
    <row r="317" spans="1:4" x14ac:dyDescent="0.35">
      <c r="A317" t="s">
        <v>25</v>
      </c>
      <c r="B317" t="s">
        <v>4</v>
      </c>
      <c r="C317" t="s">
        <v>16</v>
      </c>
      <c r="D317">
        <v>0</v>
      </c>
    </row>
    <row r="318" spans="1:4" x14ac:dyDescent="0.35">
      <c r="A318" t="s">
        <v>26</v>
      </c>
      <c r="B318" t="s">
        <v>4</v>
      </c>
      <c r="C318" t="s">
        <v>16</v>
      </c>
      <c r="D318">
        <v>0</v>
      </c>
    </row>
    <row r="319" spans="1:4" x14ac:dyDescent="0.35">
      <c r="A319" t="s">
        <v>27</v>
      </c>
      <c r="B319" t="s">
        <v>4</v>
      </c>
      <c r="C319" t="s">
        <v>16</v>
      </c>
      <c r="D319">
        <v>0</v>
      </c>
    </row>
    <row r="320" spans="1:4" x14ac:dyDescent="0.35">
      <c r="A320" t="s">
        <v>28</v>
      </c>
      <c r="B320" t="s">
        <v>4</v>
      </c>
      <c r="C320" t="s">
        <v>16</v>
      </c>
      <c r="D320">
        <v>0</v>
      </c>
    </row>
    <row r="321" spans="1:4" x14ac:dyDescent="0.35">
      <c r="A321" t="s">
        <v>29</v>
      </c>
      <c r="B321" t="s">
        <v>4</v>
      </c>
      <c r="C321" t="s">
        <v>16</v>
      </c>
      <c r="D321">
        <v>0</v>
      </c>
    </row>
    <row r="322" spans="1:4" x14ac:dyDescent="0.35">
      <c r="A322" t="s">
        <v>30</v>
      </c>
      <c r="B322" t="s">
        <v>4</v>
      </c>
      <c r="C322" t="s">
        <v>16</v>
      </c>
      <c r="D322">
        <v>0</v>
      </c>
    </row>
    <row r="323" spans="1:4" x14ac:dyDescent="0.35">
      <c r="A323" t="s">
        <v>31</v>
      </c>
      <c r="B323" t="s">
        <v>4</v>
      </c>
      <c r="C323" t="s">
        <v>16</v>
      </c>
      <c r="D323">
        <v>0</v>
      </c>
    </row>
    <row r="324" spans="1:4" x14ac:dyDescent="0.35">
      <c r="A324" t="s">
        <v>32</v>
      </c>
      <c r="B324" t="s">
        <v>4</v>
      </c>
      <c r="C324" t="s">
        <v>16</v>
      </c>
      <c r="D324">
        <v>0</v>
      </c>
    </row>
    <row r="325" spans="1:4" x14ac:dyDescent="0.35">
      <c r="A325" t="s">
        <v>33</v>
      </c>
      <c r="B325" t="s">
        <v>4</v>
      </c>
      <c r="C325" t="s">
        <v>16</v>
      </c>
      <c r="D325">
        <v>0</v>
      </c>
    </row>
    <row r="326" spans="1:4" x14ac:dyDescent="0.35">
      <c r="A326" t="s">
        <v>34</v>
      </c>
      <c r="B326" t="s">
        <v>4</v>
      </c>
      <c r="C326" t="s">
        <v>16</v>
      </c>
      <c r="D326">
        <v>0</v>
      </c>
    </row>
    <row r="327" spans="1:4" x14ac:dyDescent="0.35">
      <c r="A327" t="s">
        <v>35</v>
      </c>
      <c r="B327" t="s">
        <v>4</v>
      </c>
      <c r="C327" t="s">
        <v>16</v>
      </c>
      <c r="D327">
        <v>0</v>
      </c>
    </row>
    <row r="328" spans="1:4" x14ac:dyDescent="0.35">
      <c r="A328" t="s">
        <v>36</v>
      </c>
      <c r="B328" t="s">
        <v>4</v>
      </c>
      <c r="C328" t="s">
        <v>16</v>
      </c>
      <c r="D328">
        <v>0</v>
      </c>
    </row>
    <row r="329" spans="1:4" x14ac:dyDescent="0.35">
      <c r="A329" t="s">
        <v>37</v>
      </c>
      <c r="B329" t="s">
        <v>4</v>
      </c>
      <c r="C329" t="s">
        <v>16</v>
      </c>
      <c r="D329">
        <v>0</v>
      </c>
    </row>
    <row r="330" spans="1:4" x14ac:dyDescent="0.35">
      <c r="A330" t="s">
        <v>38</v>
      </c>
      <c r="B330" t="s">
        <v>4</v>
      </c>
      <c r="C330" t="s">
        <v>16</v>
      </c>
      <c r="D330">
        <v>0</v>
      </c>
    </row>
    <row r="331" spans="1:4" x14ac:dyDescent="0.35">
      <c r="A331" t="s">
        <v>39</v>
      </c>
      <c r="B331" t="s">
        <v>4</v>
      </c>
      <c r="C331" t="s">
        <v>16</v>
      </c>
      <c r="D331">
        <v>0</v>
      </c>
    </row>
    <row r="332" spans="1:4" x14ac:dyDescent="0.35">
      <c r="A332" t="s">
        <v>7</v>
      </c>
      <c r="B332" t="s">
        <v>4</v>
      </c>
      <c r="C332" t="s">
        <v>17</v>
      </c>
      <c r="D332">
        <v>0</v>
      </c>
    </row>
    <row r="333" spans="1:4" x14ac:dyDescent="0.35">
      <c r="A333" t="s">
        <v>8</v>
      </c>
      <c r="B333" t="s">
        <v>4</v>
      </c>
      <c r="C333" t="s">
        <v>17</v>
      </c>
      <c r="D333">
        <v>0</v>
      </c>
    </row>
    <row r="334" spans="1:4" x14ac:dyDescent="0.35">
      <c r="A334" t="s">
        <v>9</v>
      </c>
      <c r="B334" t="s">
        <v>4</v>
      </c>
      <c r="C334" t="s">
        <v>17</v>
      </c>
      <c r="D334">
        <v>0</v>
      </c>
    </row>
    <row r="335" spans="1:4" x14ac:dyDescent="0.35">
      <c r="A335" t="s">
        <v>10</v>
      </c>
      <c r="B335" t="s">
        <v>4</v>
      </c>
      <c r="C335" t="s">
        <v>17</v>
      </c>
      <c r="D335">
        <v>0</v>
      </c>
    </row>
    <row r="336" spans="1:4" x14ac:dyDescent="0.35">
      <c r="A336" t="s">
        <v>11</v>
      </c>
      <c r="B336" t="s">
        <v>4</v>
      </c>
      <c r="C336" t="s">
        <v>17</v>
      </c>
      <c r="D336">
        <v>0</v>
      </c>
    </row>
    <row r="337" spans="1:4" x14ac:dyDescent="0.35">
      <c r="A337" t="s">
        <v>12</v>
      </c>
      <c r="B337" t="s">
        <v>4</v>
      </c>
      <c r="C337" t="s">
        <v>17</v>
      </c>
      <c r="D337">
        <v>0</v>
      </c>
    </row>
    <row r="338" spans="1:4" x14ac:dyDescent="0.35">
      <c r="A338" t="s">
        <v>13</v>
      </c>
      <c r="B338" t="s">
        <v>4</v>
      </c>
      <c r="C338" t="s">
        <v>17</v>
      </c>
      <c r="D338">
        <v>0</v>
      </c>
    </row>
    <row r="339" spans="1:4" x14ac:dyDescent="0.35">
      <c r="A339" t="s">
        <v>14</v>
      </c>
      <c r="B339" t="s">
        <v>4</v>
      </c>
      <c r="C339" t="s">
        <v>17</v>
      </c>
      <c r="D339">
        <v>0</v>
      </c>
    </row>
    <row r="340" spans="1:4" x14ac:dyDescent="0.35">
      <c r="A340" t="s">
        <v>15</v>
      </c>
      <c r="B340" t="s">
        <v>4</v>
      </c>
      <c r="C340" t="s">
        <v>17</v>
      </c>
      <c r="D340">
        <v>0</v>
      </c>
    </row>
    <row r="341" spans="1:4" x14ac:dyDescent="0.35">
      <c r="A341" t="s">
        <v>16</v>
      </c>
      <c r="B341" t="s">
        <v>4</v>
      </c>
      <c r="C341" t="s">
        <v>17</v>
      </c>
      <c r="D341">
        <v>0</v>
      </c>
    </row>
    <row r="342" spans="1:4" x14ac:dyDescent="0.35">
      <c r="A342" t="s">
        <v>17</v>
      </c>
      <c r="B342" t="s">
        <v>4</v>
      </c>
      <c r="C342" t="s">
        <v>17</v>
      </c>
      <c r="D342">
        <v>0</v>
      </c>
    </row>
    <row r="343" spans="1:4" x14ac:dyDescent="0.35">
      <c r="A343" t="s">
        <v>18</v>
      </c>
      <c r="B343" t="s">
        <v>4</v>
      </c>
      <c r="C343" t="s">
        <v>17</v>
      </c>
      <c r="D343">
        <v>0</v>
      </c>
    </row>
    <row r="344" spans="1:4" x14ac:dyDescent="0.35">
      <c r="A344" t="s">
        <v>19</v>
      </c>
      <c r="B344" t="s">
        <v>4</v>
      </c>
      <c r="C344" t="s">
        <v>17</v>
      </c>
      <c r="D344">
        <v>0</v>
      </c>
    </row>
    <row r="345" spans="1:4" x14ac:dyDescent="0.35">
      <c r="A345" t="s">
        <v>20</v>
      </c>
      <c r="B345" t="s">
        <v>4</v>
      </c>
      <c r="C345" t="s">
        <v>17</v>
      </c>
      <c r="D345">
        <v>0</v>
      </c>
    </row>
    <row r="346" spans="1:4" x14ac:dyDescent="0.35">
      <c r="A346" t="s">
        <v>21</v>
      </c>
      <c r="B346" t="s">
        <v>4</v>
      </c>
      <c r="C346" t="s">
        <v>17</v>
      </c>
      <c r="D346">
        <v>0</v>
      </c>
    </row>
    <row r="347" spans="1:4" x14ac:dyDescent="0.35">
      <c r="A347" t="s">
        <v>22</v>
      </c>
      <c r="B347" t="s">
        <v>4</v>
      </c>
      <c r="C347" t="s">
        <v>17</v>
      </c>
      <c r="D347">
        <v>0</v>
      </c>
    </row>
    <row r="348" spans="1:4" x14ac:dyDescent="0.35">
      <c r="A348" t="s">
        <v>23</v>
      </c>
      <c r="B348" t="s">
        <v>4</v>
      </c>
      <c r="C348" t="s">
        <v>17</v>
      </c>
      <c r="D348">
        <v>0</v>
      </c>
    </row>
    <row r="349" spans="1:4" x14ac:dyDescent="0.35">
      <c r="A349" t="s">
        <v>24</v>
      </c>
      <c r="B349" t="s">
        <v>4</v>
      </c>
      <c r="C349" t="s">
        <v>17</v>
      </c>
      <c r="D349">
        <v>0</v>
      </c>
    </row>
    <row r="350" spans="1:4" x14ac:dyDescent="0.35">
      <c r="A350" t="s">
        <v>25</v>
      </c>
      <c r="B350" t="s">
        <v>4</v>
      </c>
      <c r="C350" t="s">
        <v>17</v>
      </c>
      <c r="D350">
        <v>0</v>
      </c>
    </row>
    <row r="351" spans="1:4" x14ac:dyDescent="0.35">
      <c r="A351" t="s">
        <v>26</v>
      </c>
      <c r="B351" t="s">
        <v>4</v>
      </c>
      <c r="C351" t="s">
        <v>17</v>
      </c>
      <c r="D351">
        <v>0</v>
      </c>
    </row>
    <row r="352" spans="1:4" x14ac:dyDescent="0.35">
      <c r="A352" t="s">
        <v>27</v>
      </c>
      <c r="B352" t="s">
        <v>4</v>
      </c>
      <c r="C352" t="s">
        <v>17</v>
      </c>
      <c r="D352">
        <v>0</v>
      </c>
    </row>
    <row r="353" spans="1:4" x14ac:dyDescent="0.35">
      <c r="A353" t="s">
        <v>28</v>
      </c>
      <c r="B353" t="s">
        <v>4</v>
      </c>
      <c r="C353" t="s">
        <v>17</v>
      </c>
      <c r="D353">
        <v>0</v>
      </c>
    </row>
    <row r="354" spans="1:4" x14ac:dyDescent="0.35">
      <c r="A354" t="s">
        <v>29</v>
      </c>
      <c r="B354" t="s">
        <v>4</v>
      </c>
      <c r="C354" t="s">
        <v>17</v>
      </c>
      <c r="D354">
        <v>0</v>
      </c>
    </row>
    <row r="355" spans="1:4" x14ac:dyDescent="0.35">
      <c r="A355" t="s">
        <v>30</v>
      </c>
      <c r="B355" t="s">
        <v>4</v>
      </c>
      <c r="C355" t="s">
        <v>17</v>
      </c>
      <c r="D355">
        <v>0</v>
      </c>
    </row>
    <row r="356" spans="1:4" x14ac:dyDescent="0.35">
      <c r="A356" t="s">
        <v>31</v>
      </c>
      <c r="B356" t="s">
        <v>4</v>
      </c>
      <c r="C356" t="s">
        <v>17</v>
      </c>
      <c r="D356">
        <v>0</v>
      </c>
    </row>
    <row r="357" spans="1:4" x14ac:dyDescent="0.35">
      <c r="A357" t="s">
        <v>32</v>
      </c>
      <c r="B357" t="s">
        <v>4</v>
      </c>
      <c r="C357" t="s">
        <v>17</v>
      </c>
      <c r="D357">
        <v>0</v>
      </c>
    </row>
    <row r="358" spans="1:4" x14ac:dyDescent="0.35">
      <c r="A358" t="s">
        <v>33</v>
      </c>
      <c r="B358" t="s">
        <v>4</v>
      </c>
      <c r="C358" t="s">
        <v>17</v>
      </c>
      <c r="D358">
        <v>0</v>
      </c>
    </row>
    <row r="359" spans="1:4" x14ac:dyDescent="0.35">
      <c r="A359" t="s">
        <v>34</v>
      </c>
      <c r="B359" t="s">
        <v>4</v>
      </c>
      <c r="C359" t="s">
        <v>17</v>
      </c>
      <c r="D359">
        <v>0</v>
      </c>
    </row>
    <row r="360" spans="1:4" x14ac:dyDescent="0.35">
      <c r="A360" t="s">
        <v>35</v>
      </c>
      <c r="B360" t="s">
        <v>4</v>
      </c>
      <c r="C360" t="s">
        <v>17</v>
      </c>
      <c r="D360">
        <v>0</v>
      </c>
    </row>
    <row r="361" spans="1:4" x14ac:dyDescent="0.35">
      <c r="A361" t="s">
        <v>36</v>
      </c>
      <c r="B361" t="s">
        <v>4</v>
      </c>
      <c r="C361" t="s">
        <v>17</v>
      </c>
      <c r="D361">
        <v>0</v>
      </c>
    </row>
    <row r="362" spans="1:4" x14ac:dyDescent="0.35">
      <c r="A362" t="s">
        <v>37</v>
      </c>
      <c r="B362" t="s">
        <v>4</v>
      </c>
      <c r="C362" t="s">
        <v>17</v>
      </c>
      <c r="D362">
        <v>0</v>
      </c>
    </row>
    <row r="363" spans="1:4" x14ac:dyDescent="0.35">
      <c r="A363" t="s">
        <v>38</v>
      </c>
      <c r="B363" t="s">
        <v>4</v>
      </c>
      <c r="C363" t="s">
        <v>17</v>
      </c>
      <c r="D363">
        <v>0</v>
      </c>
    </row>
    <row r="364" spans="1:4" x14ac:dyDescent="0.35">
      <c r="A364" t="s">
        <v>39</v>
      </c>
      <c r="B364" t="s">
        <v>4</v>
      </c>
      <c r="C364" t="s">
        <v>17</v>
      </c>
      <c r="D364">
        <v>0</v>
      </c>
    </row>
    <row r="365" spans="1:4" x14ac:dyDescent="0.35">
      <c r="A365" t="s">
        <v>7</v>
      </c>
      <c r="B365" t="s">
        <v>4</v>
      </c>
      <c r="C365" t="s">
        <v>18</v>
      </c>
      <c r="D365">
        <v>0</v>
      </c>
    </row>
    <row r="366" spans="1:4" x14ac:dyDescent="0.35">
      <c r="A366" t="s">
        <v>8</v>
      </c>
      <c r="B366" t="s">
        <v>4</v>
      </c>
      <c r="C366" t="s">
        <v>18</v>
      </c>
      <c r="D366">
        <v>0</v>
      </c>
    </row>
    <row r="367" spans="1:4" x14ac:dyDescent="0.35">
      <c r="A367" t="s">
        <v>9</v>
      </c>
      <c r="B367" t="s">
        <v>4</v>
      </c>
      <c r="C367" t="s">
        <v>18</v>
      </c>
      <c r="D367">
        <v>0</v>
      </c>
    </row>
    <row r="368" spans="1:4" x14ac:dyDescent="0.35">
      <c r="A368" t="s">
        <v>10</v>
      </c>
      <c r="B368" t="s">
        <v>4</v>
      </c>
      <c r="C368" t="s">
        <v>18</v>
      </c>
      <c r="D368">
        <v>0</v>
      </c>
    </row>
    <row r="369" spans="1:4" x14ac:dyDescent="0.35">
      <c r="A369" t="s">
        <v>11</v>
      </c>
      <c r="B369" t="s">
        <v>4</v>
      </c>
      <c r="C369" t="s">
        <v>18</v>
      </c>
      <c r="D369">
        <v>0</v>
      </c>
    </row>
    <row r="370" spans="1:4" x14ac:dyDescent="0.35">
      <c r="A370" t="s">
        <v>12</v>
      </c>
      <c r="B370" t="s">
        <v>4</v>
      </c>
      <c r="C370" t="s">
        <v>18</v>
      </c>
      <c r="D370">
        <v>0</v>
      </c>
    </row>
    <row r="371" spans="1:4" x14ac:dyDescent="0.35">
      <c r="A371" t="s">
        <v>13</v>
      </c>
      <c r="B371" t="s">
        <v>4</v>
      </c>
      <c r="C371" t="s">
        <v>18</v>
      </c>
      <c r="D371">
        <v>0</v>
      </c>
    </row>
    <row r="372" spans="1:4" x14ac:dyDescent="0.35">
      <c r="A372" t="s">
        <v>14</v>
      </c>
      <c r="B372" t="s">
        <v>4</v>
      </c>
      <c r="C372" t="s">
        <v>18</v>
      </c>
      <c r="D372">
        <v>0</v>
      </c>
    </row>
    <row r="373" spans="1:4" x14ac:dyDescent="0.35">
      <c r="A373" t="s">
        <v>15</v>
      </c>
      <c r="B373" t="s">
        <v>4</v>
      </c>
      <c r="C373" t="s">
        <v>18</v>
      </c>
      <c r="D373">
        <v>0</v>
      </c>
    </row>
    <row r="374" spans="1:4" x14ac:dyDescent="0.35">
      <c r="A374" t="s">
        <v>16</v>
      </c>
      <c r="B374" t="s">
        <v>4</v>
      </c>
      <c r="C374" t="s">
        <v>18</v>
      </c>
      <c r="D374">
        <v>0</v>
      </c>
    </row>
    <row r="375" spans="1:4" x14ac:dyDescent="0.35">
      <c r="A375" t="s">
        <v>17</v>
      </c>
      <c r="B375" t="s">
        <v>4</v>
      </c>
      <c r="C375" t="s">
        <v>18</v>
      </c>
      <c r="D375">
        <v>0</v>
      </c>
    </row>
    <row r="376" spans="1:4" x14ac:dyDescent="0.35">
      <c r="A376" t="s">
        <v>18</v>
      </c>
      <c r="B376" t="s">
        <v>4</v>
      </c>
      <c r="C376" t="s">
        <v>18</v>
      </c>
      <c r="D376">
        <v>0</v>
      </c>
    </row>
    <row r="377" spans="1:4" x14ac:dyDescent="0.35">
      <c r="A377" t="s">
        <v>19</v>
      </c>
      <c r="B377" t="s">
        <v>4</v>
      </c>
      <c r="C377" t="s">
        <v>18</v>
      </c>
      <c r="D377">
        <v>0</v>
      </c>
    </row>
    <row r="378" spans="1:4" x14ac:dyDescent="0.35">
      <c r="A378" t="s">
        <v>20</v>
      </c>
      <c r="B378" t="s">
        <v>4</v>
      </c>
      <c r="C378" t="s">
        <v>18</v>
      </c>
      <c r="D378">
        <v>0</v>
      </c>
    </row>
    <row r="379" spans="1:4" x14ac:dyDescent="0.35">
      <c r="A379" t="s">
        <v>21</v>
      </c>
      <c r="B379" t="s">
        <v>4</v>
      </c>
      <c r="C379" t="s">
        <v>18</v>
      </c>
      <c r="D379">
        <v>0</v>
      </c>
    </row>
    <row r="380" spans="1:4" x14ac:dyDescent="0.35">
      <c r="A380" t="s">
        <v>22</v>
      </c>
      <c r="B380" t="s">
        <v>4</v>
      </c>
      <c r="C380" t="s">
        <v>18</v>
      </c>
      <c r="D380">
        <v>0</v>
      </c>
    </row>
    <row r="381" spans="1:4" x14ac:dyDescent="0.35">
      <c r="A381" t="s">
        <v>23</v>
      </c>
      <c r="B381" t="s">
        <v>4</v>
      </c>
      <c r="C381" t="s">
        <v>18</v>
      </c>
      <c r="D381">
        <v>0</v>
      </c>
    </row>
    <row r="382" spans="1:4" x14ac:dyDescent="0.35">
      <c r="A382" t="s">
        <v>24</v>
      </c>
      <c r="B382" t="s">
        <v>4</v>
      </c>
      <c r="C382" t="s">
        <v>18</v>
      </c>
      <c r="D382">
        <v>0</v>
      </c>
    </row>
    <row r="383" spans="1:4" x14ac:dyDescent="0.35">
      <c r="A383" t="s">
        <v>25</v>
      </c>
      <c r="B383" t="s">
        <v>4</v>
      </c>
      <c r="C383" t="s">
        <v>18</v>
      </c>
      <c r="D383">
        <v>0</v>
      </c>
    </row>
    <row r="384" spans="1:4" x14ac:dyDescent="0.35">
      <c r="A384" t="s">
        <v>26</v>
      </c>
      <c r="B384" t="s">
        <v>4</v>
      </c>
      <c r="C384" t="s">
        <v>18</v>
      </c>
      <c r="D384">
        <v>0</v>
      </c>
    </row>
    <row r="385" spans="1:4" x14ac:dyDescent="0.35">
      <c r="A385" t="s">
        <v>27</v>
      </c>
      <c r="B385" t="s">
        <v>4</v>
      </c>
      <c r="C385" t="s">
        <v>18</v>
      </c>
      <c r="D385">
        <v>0</v>
      </c>
    </row>
    <row r="386" spans="1:4" x14ac:dyDescent="0.35">
      <c r="A386" t="s">
        <v>28</v>
      </c>
      <c r="B386" t="s">
        <v>4</v>
      </c>
      <c r="C386" t="s">
        <v>18</v>
      </c>
      <c r="D386">
        <v>0</v>
      </c>
    </row>
    <row r="387" spans="1:4" x14ac:dyDescent="0.35">
      <c r="A387" t="s">
        <v>29</v>
      </c>
      <c r="B387" t="s">
        <v>4</v>
      </c>
      <c r="C387" t="s">
        <v>18</v>
      </c>
      <c r="D387">
        <v>0</v>
      </c>
    </row>
    <row r="388" spans="1:4" x14ac:dyDescent="0.35">
      <c r="A388" t="s">
        <v>30</v>
      </c>
      <c r="B388" t="s">
        <v>4</v>
      </c>
      <c r="C388" t="s">
        <v>18</v>
      </c>
      <c r="D388">
        <v>0</v>
      </c>
    </row>
    <row r="389" spans="1:4" x14ac:dyDescent="0.35">
      <c r="A389" t="s">
        <v>31</v>
      </c>
      <c r="B389" t="s">
        <v>4</v>
      </c>
      <c r="C389" t="s">
        <v>18</v>
      </c>
      <c r="D389">
        <v>0</v>
      </c>
    </row>
    <row r="390" spans="1:4" x14ac:dyDescent="0.35">
      <c r="A390" t="s">
        <v>32</v>
      </c>
      <c r="B390" t="s">
        <v>4</v>
      </c>
      <c r="C390" t="s">
        <v>18</v>
      </c>
      <c r="D390">
        <v>0</v>
      </c>
    </row>
    <row r="391" spans="1:4" x14ac:dyDescent="0.35">
      <c r="A391" t="s">
        <v>33</v>
      </c>
      <c r="B391" t="s">
        <v>4</v>
      </c>
      <c r="C391" t="s">
        <v>18</v>
      </c>
      <c r="D391">
        <v>0</v>
      </c>
    </row>
    <row r="392" spans="1:4" x14ac:dyDescent="0.35">
      <c r="A392" t="s">
        <v>34</v>
      </c>
      <c r="B392" t="s">
        <v>4</v>
      </c>
      <c r="C392" t="s">
        <v>18</v>
      </c>
      <c r="D392">
        <v>0</v>
      </c>
    </row>
    <row r="393" spans="1:4" x14ac:dyDescent="0.35">
      <c r="A393" t="s">
        <v>35</v>
      </c>
      <c r="B393" t="s">
        <v>4</v>
      </c>
      <c r="C393" t="s">
        <v>18</v>
      </c>
      <c r="D393">
        <v>0</v>
      </c>
    </row>
    <row r="394" spans="1:4" x14ac:dyDescent="0.35">
      <c r="A394" t="s">
        <v>36</v>
      </c>
      <c r="B394" t="s">
        <v>4</v>
      </c>
      <c r="C394" t="s">
        <v>18</v>
      </c>
      <c r="D394">
        <v>0</v>
      </c>
    </row>
    <row r="395" spans="1:4" x14ac:dyDescent="0.35">
      <c r="A395" t="s">
        <v>37</v>
      </c>
      <c r="B395" t="s">
        <v>4</v>
      </c>
      <c r="C395" t="s">
        <v>18</v>
      </c>
      <c r="D395">
        <v>0</v>
      </c>
    </row>
    <row r="396" spans="1:4" x14ac:dyDescent="0.35">
      <c r="A396" t="s">
        <v>38</v>
      </c>
      <c r="B396" t="s">
        <v>4</v>
      </c>
      <c r="C396" t="s">
        <v>18</v>
      </c>
      <c r="D396">
        <v>0</v>
      </c>
    </row>
    <row r="397" spans="1:4" x14ac:dyDescent="0.35">
      <c r="A397" t="s">
        <v>39</v>
      </c>
      <c r="B397" t="s">
        <v>4</v>
      </c>
      <c r="C397" t="s">
        <v>18</v>
      </c>
      <c r="D397">
        <v>0</v>
      </c>
    </row>
    <row r="398" spans="1:4" x14ac:dyDescent="0.35">
      <c r="A398" t="s">
        <v>7</v>
      </c>
      <c r="B398" t="s">
        <v>4</v>
      </c>
      <c r="C398" t="s">
        <v>19</v>
      </c>
      <c r="D398">
        <v>0</v>
      </c>
    </row>
    <row r="399" spans="1:4" x14ac:dyDescent="0.35">
      <c r="A399" t="s">
        <v>8</v>
      </c>
      <c r="B399" t="s">
        <v>4</v>
      </c>
      <c r="C399" t="s">
        <v>19</v>
      </c>
      <c r="D399">
        <v>0</v>
      </c>
    </row>
    <row r="400" spans="1:4" x14ac:dyDescent="0.35">
      <c r="A400" t="s">
        <v>9</v>
      </c>
      <c r="B400" t="s">
        <v>4</v>
      </c>
      <c r="C400" t="s">
        <v>19</v>
      </c>
      <c r="D400">
        <v>0</v>
      </c>
    </row>
    <row r="401" spans="1:4" x14ac:dyDescent="0.35">
      <c r="A401" t="s">
        <v>10</v>
      </c>
      <c r="B401" t="s">
        <v>4</v>
      </c>
      <c r="C401" t="s">
        <v>19</v>
      </c>
      <c r="D401">
        <v>0</v>
      </c>
    </row>
    <row r="402" spans="1:4" x14ac:dyDescent="0.35">
      <c r="A402" t="s">
        <v>11</v>
      </c>
      <c r="B402" t="s">
        <v>4</v>
      </c>
      <c r="C402" t="s">
        <v>19</v>
      </c>
      <c r="D402">
        <v>0</v>
      </c>
    </row>
    <row r="403" spans="1:4" x14ac:dyDescent="0.35">
      <c r="A403" t="s">
        <v>12</v>
      </c>
      <c r="B403" t="s">
        <v>4</v>
      </c>
      <c r="C403" t="s">
        <v>19</v>
      </c>
      <c r="D403">
        <v>0</v>
      </c>
    </row>
    <row r="404" spans="1:4" x14ac:dyDescent="0.35">
      <c r="A404" t="s">
        <v>13</v>
      </c>
      <c r="B404" t="s">
        <v>4</v>
      </c>
      <c r="C404" t="s">
        <v>19</v>
      </c>
      <c r="D404">
        <v>0</v>
      </c>
    </row>
    <row r="405" spans="1:4" x14ac:dyDescent="0.35">
      <c r="A405" t="s">
        <v>14</v>
      </c>
      <c r="B405" t="s">
        <v>4</v>
      </c>
      <c r="C405" t="s">
        <v>19</v>
      </c>
      <c r="D405">
        <v>0</v>
      </c>
    </row>
    <row r="406" spans="1:4" x14ac:dyDescent="0.35">
      <c r="A406" t="s">
        <v>15</v>
      </c>
      <c r="B406" t="s">
        <v>4</v>
      </c>
      <c r="C406" t="s">
        <v>19</v>
      </c>
      <c r="D406">
        <v>0</v>
      </c>
    </row>
    <row r="407" spans="1:4" x14ac:dyDescent="0.35">
      <c r="A407" t="s">
        <v>16</v>
      </c>
      <c r="B407" t="s">
        <v>4</v>
      </c>
      <c r="C407" t="s">
        <v>19</v>
      </c>
      <c r="D407">
        <v>0</v>
      </c>
    </row>
    <row r="408" spans="1:4" x14ac:dyDescent="0.35">
      <c r="A408" t="s">
        <v>17</v>
      </c>
      <c r="B408" t="s">
        <v>4</v>
      </c>
      <c r="C408" t="s">
        <v>19</v>
      </c>
      <c r="D408">
        <v>0</v>
      </c>
    </row>
    <row r="409" spans="1:4" x14ac:dyDescent="0.35">
      <c r="A409" t="s">
        <v>18</v>
      </c>
      <c r="B409" t="s">
        <v>4</v>
      </c>
      <c r="C409" t="s">
        <v>19</v>
      </c>
      <c r="D409">
        <v>0</v>
      </c>
    </row>
    <row r="410" spans="1:4" x14ac:dyDescent="0.35">
      <c r="A410" t="s">
        <v>19</v>
      </c>
      <c r="B410" t="s">
        <v>4</v>
      </c>
      <c r="C410" t="s">
        <v>19</v>
      </c>
      <c r="D410">
        <v>0</v>
      </c>
    </row>
    <row r="411" spans="1:4" x14ac:dyDescent="0.35">
      <c r="A411" t="s">
        <v>20</v>
      </c>
      <c r="B411" t="s">
        <v>4</v>
      </c>
      <c r="C411" t="s">
        <v>19</v>
      </c>
      <c r="D411">
        <v>0</v>
      </c>
    </row>
    <row r="412" spans="1:4" x14ac:dyDescent="0.35">
      <c r="A412" t="s">
        <v>21</v>
      </c>
      <c r="B412" t="s">
        <v>4</v>
      </c>
      <c r="C412" t="s">
        <v>19</v>
      </c>
      <c r="D412">
        <v>0</v>
      </c>
    </row>
    <row r="413" spans="1:4" x14ac:dyDescent="0.35">
      <c r="A413" t="s">
        <v>22</v>
      </c>
      <c r="B413" t="s">
        <v>4</v>
      </c>
      <c r="C413" t="s">
        <v>19</v>
      </c>
      <c r="D413">
        <v>0</v>
      </c>
    </row>
    <row r="414" spans="1:4" x14ac:dyDescent="0.35">
      <c r="A414" t="s">
        <v>23</v>
      </c>
      <c r="B414" t="s">
        <v>4</v>
      </c>
      <c r="C414" t="s">
        <v>19</v>
      </c>
      <c r="D414">
        <v>0</v>
      </c>
    </row>
    <row r="415" spans="1:4" x14ac:dyDescent="0.35">
      <c r="A415" t="s">
        <v>24</v>
      </c>
      <c r="B415" t="s">
        <v>4</v>
      </c>
      <c r="C415" t="s">
        <v>19</v>
      </c>
      <c r="D415">
        <v>0</v>
      </c>
    </row>
    <row r="416" spans="1:4" x14ac:dyDescent="0.35">
      <c r="A416" t="s">
        <v>25</v>
      </c>
      <c r="B416" t="s">
        <v>4</v>
      </c>
      <c r="C416" t="s">
        <v>19</v>
      </c>
      <c r="D416">
        <v>0</v>
      </c>
    </row>
    <row r="417" spans="1:4" x14ac:dyDescent="0.35">
      <c r="A417" t="s">
        <v>26</v>
      </c>
      <c r="B417" t="s">
        <v>4</v>
      </c>
      <c r="C417" t="s">
        <v>19</v>
      </c>
      <c r="D417">
        <v>0</v>
      </c>
    </row>
    <row r="418" spans="1:4" x14ac:dyDescent="0.35">
      <c r="A418" t="s">
        <v>27</v>
      </c>
      <c r="B418" t="s">
        <v>4</v>
      </c>
      <c r="C418" t="s">
        <v>19</v>
      </c>
      <c r="D418">
        <v>0</v>
      </c>
    </row>
    <row r="419" spans="1:4" x14ac:dyDescent="0.35">
      <c r="A419" t="s">
        <v>28</v>
      </c>
      <c r="B419" t="s">
        <v>4</v>
      </c>
      <c r="C419" t="s">
        <v>19</v>
      </c>
      <c r="D419">
        <v>0</v>
      </c>
    </row>
    <row r="420" spans="1:4" x14ac:dyDescent="0.35">
      <c r="A420" t="s">
        <v>29</v>
      </c>
      <c r="B420" t="s">
        <v>4</v>
      </c>
      <c r="C420" t="s">
        <v>19</v>
      </c>
      <c r="D420">
        <v>0</v>
      </c>
    </row>
    <row r="421" spans="1:4" x14ac:dyDescent="0.35">
      <c r="A421" t="s">
        <v>30</v>
      </c>
      <c r="B421" t="s">
        <v>4</v>
      </c>
      <c r="C421" t="s">
        <v>19</v>
      </c>
      <c r="D421">
        <v>0</v>
      </c>
    </row>
    <row r="422" spans="1:4" x14ac:dyDescent="0.35">
      <c r="A422" t="s">
        <v>31</v>
      </c>
      <c r="B422" t="s">
        <v>4</v>
      </c>
      <c r="C422" t="s">
        <v>19</v>
      </c>
      <c r="D422">
        <v>0</v>
      </c>
    </row>
    <row r="423" spans="1:4" x14ac:dyDescent="0.35">
      <c r="A423" t="s">
        <v>32</v>
      </c>
      <c r="B423" t="s">
        <v>4</v>
      </c>
      <c r="C423" t="s">
        <v>19</v>
      </c>
      <c r="D423">
        <v>0</v>
      </c>
    </row>
    <row r="424" spans="1:4" x14ac:dyDescent="0.35">
      <c r="A424" t="s">
        <v>33</v>
      </c>
      <c r="B424" t="s">
        <v>4</v>
      </c>
      <c r="C424" t="s">
        <v>19</v>
      </c>
      <c r="D424">
        <v>0</v>
      </c>
    </row>
    <row r="425" spans="1:4" x14ac:dyDescent="0.35">
      <c r="A425" t="s">
        <v>34</v>
      </c>
      <c r="B425" t="s">
        <v>4</v>
      </c>
      <c r="C425" t="s">
        <v>19</v>
      </c>
      <c r="D425">
        <v>0</v>
      </c>
    </row>
    <row r="426" spans="1:4" x14ac:dyDescent="0.35">
      <c r="A426" t="s">
        <v>35</v>
      </c>
      <c r="B426" t="s">
        <v>4</v>
      </c>
      <c r="C426" t="s">
        <v>19</v>
      </c>
      <c r="D426">
        <v>0</v>
      </c>
    </row>
    <row r="427" spans="1:4" x14ac:dyDescent="0.35">
      <c r="A427" t="s">
        <v>36</v>
      </c>
      <c r="B427" t="s">
        <v>4</v>
      </c>
      <c r="C427" t="s">
        <v>19</v>
      </c>
      <c r="D427">
        <v>0</v>
      </c>
    </row>
    <row r="428" spans="1:4" x14ac:dyDescent="0.35">
      <c r="A428" t="s">
        <v>37</v>
      </c>
      <c r="B428" t="s">
        <v>4</v>
      </c>
      <c r="C428" t="s">
        <v>19</v>
      </c>
      <c r="D428">
        <v>0</v>
      </c>
    </row>
    <row r="429" spans="1:4" x14ac:dyDescent="0.35">
      <c r="A429" t="s">
        <v>38</v>
      </c>
      <c r="B429" t="s">
        <v>4</v>
      </c>
      <c r="C429" t="s">
        <v>19</v>
      </c>
      <c r="D429">
        <v>0</v>
      </c>
    </row>
    <row r="430" spans="1:4" x14ac:dyDescent="0.35">
      <c r="A430" t="s">
        <v>39</v>
      </c>
      <c r="B430" t="s">
        <v>4</v>
      </c>
      <c r="C430" t="s">
        <v>19</v>
      </c>
      <c r="D430">
        <v>0</v>
      </c>
    </row>
    <row r="431" spans="1:4" x14ac:dyDescent="0.35">
      <c r="A431" t="s">
        <v>7</v>
      </c>
      <c r="B431" t="s">
        <v>4</v>
      </c>
      <c r="C431" t="s">
        <v>20</v>
      </c>
      <c r="D431">
        <v>0</v>
      </c>
    </row>
    <row r="432" spans="1:4" x14ac:dyDescent="0.35">
      <c r="A432" t="s">
        <v>8</v>
      </c>
      <c r="B432" t="s">
        <v>4</v>
      </c>
      <c r="C432" t="s">
        <v>20</v>
      </c>
      <c r="D432">
        <v>0</v>
      </c>
    </row>
    <row r="433" spans="1:4" x14ac:dyDescent="0.35">
      <c r="A433" t="s">
        <v>9</v>
      </c>
      <c r="B433" t="s">
        <v>4</v>
      </c>
      <c r="C433" t="s">
        <v>20</v>
      </c>
      <c r="D433">
        <v>0</v>
      </c>
    </row>
    <row r="434" spans="1:4" x14ac:dyDescent="0.35">
      <c r="A434" t="s">
        <v>10</v>
      </c>
      <c r="B434" t="s">
        <v>4</v>
      </c>
      <c r="C434" t="s">
        <v>20</v>
      </c>
      <c r="D434">
        <v>0</v>
      </c>
    </row>
    <row r="435" spans="1:4" x14ac:dyDescent="0.35">
      <c r="A435" t="s">
        <v>11</v>
      </c>
      <c r="B435" t="s">
        <v>4</v>
      </c>
      <c r="C435" t="s">
        <v>20</v>
      </c>
      <c r="D435">
        <v>0</v>
      </c>
    </row>
    <row r="436" spans="1:4" x14ac:dyDescent="0.35">
      <c r="A436" t="s">
        <v>12</v>
      </c>
      <c r="B436" t="s">
        <v>4</v>
      </c>
      <c r="C436" t="s">
        <v>20</v>
      </c>
      <c r="D436">
        <v>0</v>
      </c>
    </row>
    <row r="437" spans="1:4" x14ac:dyDescent="0.35">
      <c r="A437" t="s">
        <v>13</v>
      </c>
      <c r="B437" t="s">
        <v>4</v>
      </c>
      <c r="C437" t="s">
        <v>20</v>
      </c>
      <c r="D437">
        <v>0</v>
      </c>
    </row>
    <row r="438" spans="1:4" x14ac:dyDescent="0.35">
      <c r="A438" t="s">
        <v>14</v>
      </c>
      <c r="B438" t="s">
        <v>4</v>
      </c>
      <c r="C438" t="s">
        <v>20</v>
      </c>
      <c r="D438">
        <v>0</v>
      </c>
    </row>
    <row r="439" spans="1:4" x14ac:dyDescent="0.35">
      <c r="A439" t="s">
        <v>15</v>
      </c>
      <c r="B439" t="s">
        <v>4</v>
      </c>
      <c r="C439" t="s">
        <v>20</v>
      </c>
      <c r="D439">
        <v>0</v>
      </c>
    </row>
    <row r="440" spans="1:4" x14ac:dyDescent="0.35">
      <c r="A440" t="s">
        <v>16</v>
      </c>
      <c r="B440" t="s">
        <v>4</v>
      </c>
      <c r="C440" t="s">
        <v>20</v>
      </c>
      <c r="D440">
        <v>0</v>
      </c>
    </row>
    <row r="441" spans="1:4" x14ac:dyDescent="0.35">
      <c r="A441" t="s">
        <v>17</v>
      </c>
      <c r="B441" t="s">
        <v>4</v>
      </c>
      <c r="C441" t="s">
        <v>20</v>
      </c>
      <c r="D441">
        <v>0</v>
      </c>
    </row>
    <row r="442" spans="1:4" x14ac:dyDescent="0.35">
      <c r="A442" t="s">
        <v>18</v>
      </c>
      <c r="B442" t="s">
        <v>4</v>
      </c>
      <c r="C442" t="s">
        <v>20</v>
      </c>
      <c r="D442">
        <v>0</v>
      </c>
    </row>
    <row r="443" spans="1:4" x14ac:dyDescent="0.35">
      <c r="A443" t="s">
        <v>19</v>
      </c>
      <c r="B443" t="s">
        <v>4</v>
      </c>
      <c r="C443" t="s">
        <v>20</v>
      </c>
      <c r="D443">
        <v>0</v>
      </c>
    </row>
    <row r="444" spans="1:4" x14ac:dyDescent="0.35">
      <c r="A444" t="s">
        <v>20</v>
      </c>
      <c r="B444" t="s">
        <v>4</v>
      </c>
      <c r="C444" t="s">
        <v>20</v>
      </c>
      <c r="D444">
        <v>0</v>
      </c>
    </row>
    <row r="445" spans="1:4" x14ac:dyDescent="0.35">
      <c r="A445" t="s">
        <v>21</v>
      </c>
      <c r="B445" t="s">
        <v>4</v>
      </c>
      <c r="C445" t="s">
        <v>20</v>
      </c>
      <c r="D445">
        <v>0</v>
      </c>
    </row>
    <row r="446" spans="1:4" x14ac:dyDescent="0.35">
      <c r="A446" t="s">
        <v>22</v>
      </c>
      <c r="B446" t="s">
        <v>4</v>
      </c>
      <c r="C446" t="s">
        <v>20</v>
      </c>
      <c r="D446">
        <v>0</v>
      </c>
    </row>
    <row r="447" spans="1:4" x14ac:dyDescent="0.35">
      <c r="A447" t="s">
        <v>23</v>
      </c>
      <c r="B447" t="s">
        <v>4</v>
      </c>
      <c r="C447" t="s">
        <v>20</v>
      </c>
      <c r="D447">
        <v>0</v>
      </c>
    </row>
    <row r="448" spans="1:4" x14ac:dyDescent="0.35">
      <c r="A448" t="s">
        <v>24</v>
      </c>
      <c r="B448" t="s">
        <v>4</v>
      </c>
      <c r="C448" t="s">
        <v>20</v>
      </c>
      <c r="D448">
        <v>0</v>
      </c>
    </row>
    <row r="449" spans="1:4" x14ac:dyDescent="0.35">
      <c r="A449" t="s">
        <v>25</v>
      </c>
      <c r="B449" t="s">
        <v>4</v>
      </c>
      <c r="C449" t="s">
        <v>20</v>
      </c>
      <c r="D449">
        <v>0</v>
      </c>
    </row>
    <row r="450" spans="1:4" x14ac:dyDescent="0.35">
      <c r="A450" t="s">
        <v>26</v>
      </c>
      <c r="B450" t="s">
        <v>4</v>
      </c>
      <c r="C450" t="s">
        <v>20</v>
      </c>
      <c r="D450">
        <v>0</v>
      </c>
    </row>
    <row r="451" spans="1:4" x14ac:dyDescent="0.35">
      <c r="A451" t="s">
        <v>27</v>
      </c>
      <c r="B451" t="s">
        <v>4</v>
      </c>
      <c r="C451" t="s">
        <v>20</v>
      </c>
      <c r="D451">
        <v>0</v>
      </c>
    </row>
    <row r="452" spans="1:4" x14ac:dyDescent="0.35">
      <c r="A452" t="s">
        <v>28</v>
      </c>
      <c r="B452" t="s">
        <v>4</v>
      </c>
      <c r="C452" t="s">
        <v>20</v>
      </c>
      <c r="D452">
        <v>0</v>
      </c>
    </row>
    <row r="453" spans="1:4" x14ac:dyDescent="0.35">
      <c r="A453" t="s">
        <v>29</v>
      </c>
      <c r="B453" t="s">
        <v>4</v>
      </c>
      <c r="C453" t="s">
        <v>20</v>
      </c>
      <c r="D453">
        <v>0</v>
      </c>
    </row>
    <row r="454" spans="1:4" x14ac:dyDescent="0.35">
      <c r="A454" t="s">
        <v>30</v>
      </c>
      <c r="B454" t="s">
        <v>4</v>
      </c>
      <c r="C454" t="s">
        <v>20</v>
      </c>
      <c r="D454">
        <v>0</v>
      </c>
    </row>
    <row r="455" spans="1:4" x14ac:dyDescent="0.35">
      <c r="A455" t="s">
        <v>31</v>
      </c>
      <c r="B455" t="s">
        <v>4</v>
      </c>
      <c r="C455" t="s">
        <v>20</v>
      </c>
      <c r="D455">
        <v>0</v>
      </c>
    </row>
    <row r="456" spans="1:4" x14ac:dyDescent="0.35">
      <c r="A456" t="s">
        <v>32</v>
      </c>
      <c r="B456" t="s">
        <v>4</v>
      </c>
      <c r="C456" t="s">
        <v>20</v>
      </c>
      <c r="D456">
        <v>0</v>
      </c>
    </row>
    <row r="457" spans="1:4" x14ac:dyDescent="0.35">
      <c r="A457" t="s">
        <v>33</v>
      </c>
      <c r="B457" t="s">
        <v>4</v>
      </c>
      <c r="C457" t="s">
        <v>20</v>
      </c>
      <c r="D457">
        <v>0</v>
      </c>
    </row>
    <row r="458" spans="1:4" x14ac:dyDescent="0.35">
      <c r="A458" t="s">
        <v>34</v>
      </c>
      <c r="B458" t="s">
        <v>4</v>
      </c>
      <c r="C458" t="s">
        <v>20</v>
      </c>
      <c r="D458">
        <v>0</v>
      </c>
    </row>
    <row r="459" spans="1:4" x14ac:dyDescent="0.35">
      <c r="A459" t="s">
        <v>35</v>
      </c>
      <c r="B459" t="s">
        <v>4</v>
      </c>
      <c r="C459" t="s">
        <v>20</v>
      </c>
      <c r="D459">
        <v>0</v>
      </c>
    </row>
    <row r="460" spans="1:4" x14ac:dyDescent="0.35">
      <c r="A460" t="s">
        <v>36</v>
      </c>
      <c r="B460" t="s">
        <v>4</v>
      </c>
      <c r="C460" t="s">
        <v>20</v>
      </c>
      <c r="D460">
        <v>0</v>
      </c>
    </row>
    <row r="461" spans="1:4" x14ac:dyDescent="0.35">
      <c r="A461" t="s">
        <v>37</v>
      </c>
      <c r="B461" t="s">
        <v>4</v>
      </c>
      <c r="C461" t="s">
        <v>20</v>
      </c>
      <c r="D461">
        <v>0</v>
      </c>
    </row>
    <row r="462" spans="1:4" x14ac:dyDescent="0.35">
      <c r="A462" t="s">
        <v>38</v>
      </c>
      <c r="B462" t="s">
        <v>4</v>
      </c>
      <c r="C462" t="s">
        <v>20</v>
      </c>
      <c r="D462">
        <v>0</v>
      </c>
    </row>
    <row r="463" spans="1:4" x14ac:dyDescent="0.35">
      <c r="A463" t="s">
        <v>39</v>
      </c>
      <c r="B463" t="s">
        <v>4</v>
      </c>
      <c r="C463" t="s">
        <v>20</v>
      </c>
      <c r="D463">
        <v>0</v>
      </c>
    </row>
    <row r="464" spans="1:4" x14ac:dyDescent="0.35">
      <c r="A464" t="s">
        <v>7</v>
      </c>
      <c r="B464" t="s">
        <v>4</v>
      </c>
      <c r="C464" t="s">
        <v>21</v>
      </c>
      <c r="D464">
        <v>0</v>
      </c>
    </row>
    <row r="465" spans="1:4" x14ac:dyDescent="0.35">
      <c r="A465" t="s">
        <v>8</v>
      </c>
      <c r="B465" t="s">
        <v>4</v>
      </c>
      <c r="C465" t="s">
        <v>21</v>
      </c>
      <c r="D465">
        <v>0</v>
      </c>
    </row>
    <row r="466" spans="1:4" x14ac:dyDescent="0.35">
      <c r="A466" t="s">
        <v>9</v>
      </c>
      <c r="B466" t="s">
        <v>4</v>
      </c>
      <c r="C466" t="s">
        <v>21</v>
      </c>
      <c r="D466">
        <v>0</v>
      </c>
    </row>
    <row r="467" spans="1:4" x14ac:dyDescent="0.35">
      <c r="A467" t="s">
        <v>10</v>
      </c>
      <c r="B467" t="s">
        <v>4</v>
      </c>
      <c r="C467" t="s">
        <v>21</v>
      </c>
      <c r="D467">
        <v>0</v>
      </c>
    </row>
    <row r="468" spans="1:4" x14ac:dyDescent="0.35">
      <c r="A468" t="s">
        <v>11</v>
      </c>
      <c r="B468" t="s">
        <v>4</v>
      </c>
      <c r="C468" t="s">
        <v>21</v>
      </c>
      <c r="D468">
        <v>0</v>
      </c>
    </row>
    <row r="469" spans="1:4" x14ac:dyDescent="0.35">
      <c r="A469" t="s">
        <v>12</v>
      </c>
      <c r="B469" t="s">
        <v>4</v>
      </c>
      <c r="C469" t="s">
        <v>21</v>
      </c>
      <c r="D469">
        <v>0</v>
      </c>
    </row>
    <row r="470" spans="1:4" x14ac:dyDescent="0.35">
      <c r="A470" t="s">
        <v>13</v>
      </c>
      <c r="B470" t="s">
        <v>4</v>
      </c>
      <c r="C470" t="s">
        <v>21</v>
      </c>
      <c r="D470">
        <v>0</v>
      </c>
    </row>
    <row r="471" spans="1:4" x14ac:dyDescent="0.35">
      <c r="A471" t="s">
        <v>14</v>
      </c>
      <c r="B471" t="s">
        <v>4</v>
      </c>
      <c r="C471" t="s">
        <v>21</v>
      </c>
      <c r="D471">
        <v>0</v>
      </c>
    </row>
    <row r="472" spans="1:4" x14ac:dyDescent="0.35">
      <c r="A472" t="s">
        <v>15</v>
      </c>
      <c r="B472" t="s">
        <v>4</v>
      </c>
      <c r="C472" t="s">
        <v>21</v>
      </c>
      <c r="D472">
        <v>0</v>
      </c>
    </row>
    <row r="473" spans="1:4" x14ac:dyDescent="0.35">
      <c r="A473" t="s">
        <v>16</v>
      </c>
      <c r="B473" t="s">
        <v>4</v>
      </c>
      <c r="C473" t="s">
        <v>21</v>
      </c>
      <c r="D473">
        <v>0</v>
      </c>
    </row>
    <row r="474" spans="1:4" x14ac:dyDescent="0.35">
      <c r="A474" t="s">
        <v>17</v>
      </c>
      <c r="B474" t="s">
        <v>4</v>
      </c>
      <c r="C474" t="s">
        <v>21</v>
      </c>
      <c r="D474">
        <v>0</v>
      </c>
    </row>
    <row r="475" spans="1:4" x14ac:dyDescent="0.35">
      <c r="A475" t="s">
        <v>18</v>
      </c>
      <c r="B475" t="s">
        <v>4</v>
      </c>
      <c r="C475" t="s">
        <v>21</v>
      </c>
      <c r="D475">
        <v>0</v>
      </c>
    </row>
    <row r="476" spans="1:4" x14ac:dyDescent="0.35">
      <c r="A476" t="s">
        <v>19</v>
      </c>
      <c r="B476" t="s">
        <v>4</v>
      </c>
      <c r="C476" t="s">
        <v>21</v>
      </c>
      <c r="D476">
        <v>0</v>
      </c>
    </row>
    <row r="477" spans="1:4" x14ac:dyDescent="0.35">
      <c r="A477" t="s">
        <v>20</v>
      </c>
      <c r="B477" t="s">
        <v>4</v>
      </c>
      <c r="C477" t="s">
        <v>21</v>
      </c>
      <c r="D477">
        <v>0</v>
      </c>
    </row>
    <row r="478" spans="1:4" x14ac:dyDescent="0.35">
      <c r="A478" t="s">
        <v>21</v>
      </c>
      <c r="B478" t="s">
        <v>4</v>
      </c>
      <c r="C478" t="s">
        <v>21</v>
      </c>
      <c r="D478">
        <v>0</v>
      </c>
    </row>
    <row r="479" spans="1:4" x14ac:dyDescent="0.35">
      <c r="A479" t="s">
        <v>22</v>
      </c>
      <c r="B479" t="s">
        <v>4</v>
      </c>
      <c r="C479" t="s">
        <v>21</v>
      </c>
      <c r="D479">
        <v>0</v>
      </c>
    </row>
    <row r="480" spans="1:4" x14ac:dyDescent="0.35">
      <c r="A480" t="s">
        <v>23</v>
      </c>
      <c r="B480" t="s">
        <v>4</v>
      </c>
      <c r="C480" t="s">
        <v>21</v>
      </c>
      <c r="D480">
        <v>0</v>
      </c>
    </row>
    <row r="481" spans="1:4" x14ac:dyDescent="0.35">
      <c r="A481" t="s">
        <v>24</v>
      </c>
      <c r="B481" t="s">
        <v>4</v>
      </c>
      <c r="C481" t="s">
        <v>21</v>
      </c>
      <c r="D481">
        <v>0</v>
      </c>
    </row>
    <row r="482" spans="1:4" x14ac:dyDescent="0.35">
      <c r="A482" t="s">
        <v>25</v>
      </c>
      <c r="B482" t="s">
        <v>4</v>
      </c>
      <c r="C482" t="s">
        <v>21</v>
      </c>
      <c r="D482">
        <v>0</v>
      </c>
    </row>
    <row r="483" spans="1:4" x14ac:dyDescent="0.35">
      <c r="A483" t="s">
        <v>26</v>
      </c>
      <c r="B483" t="s">
        <v>4</v>
      </c>
      <c r="C483" t="s">
        <v>21</v>
      </c>
      <c r="D483">
        <v>0</v>
      </c>
    </row>
    <row r="484" spans="1:4" x14ac:dyDescent="0.35">
      <c r="A484" t="s">
        <v>27</v>
      </c>
      <c r="B484" t="s">
        <v>4</v>
      </c>
      <c r="C484" t="s">
        <v>21</v>
      </c>
      <c r="D484">
        <v>0</v>
      </c>
    </row>
    <row r="485" spans="1:4" x14ac:dyDescent="0.35">
      <c r="A485" t="s">
        <v>28</v>
      </c>
      <c r="B485" t="s">
        <v>4</v>
      </c>
      <c r="C485" t="s">
        <v>21</v>
      </c>
      <c r="D485">
        <v>0</v>
      </c>
    </row>
    <row r="486" spans="1:4" x14ac:dyDescent="0.35">
      <c r="A486" t="s">
        <v>29</v>
      </c>
      <c r="B486" t="s">
        <v>4</v>
      </c>
      <c r="C486" t="s">
        <v>21</v>
      </c>
      <c r="D486">
        <v>0</v>
      </c>
    </row>
    <row r="487" spans="1:4" x14ac:dyDescent="0.35">
      <c r="A487" t="s">
        <v>30</v>
      </c>
      <c r="B487" t="s">
        <v>4</v>
      </c>
      <c r="C487" t="s">
        <v>21</v>
      </c>
      <c r="D487">
        <v>0</v>
      </c>
    </row>
    <row r="488" spans="1:4" x14ac:dyDescent="0.35">
      <c r="A488" t="s">
        <v>31</v>
      </c>
      <c r="B488" t="s">
        <v>4</v>
      </c>
      <c r="C488" t="s">
        <v>21</v>
      </c>
      <c r="D488">
        <v>0</v>
      </c>
    </row>
    <row r="489" spans="1:4" x14ac:dyDescent="0.35">
      <c r="A489" t="s">
        <v>32</v>
      </c>
      <c r="B489" t="s">
        <v>4</v>
      </c>
      <c r="C489" t="s">
        <v>21</v>
      </c>
      <c r="D489">
        <v>0</v>
      </c>
    </row>
    <row r="490" spans="1:4" x14ac:dyDescent="0.35">
      <c r="A490" t="s">
        <v>33</v>
      </c>
      <c r="B490" t="s">
        <v>4</v>
      </c>
      <c r="C490" t="s">
        <v>21</v>
      </c>
      <c r="D490">
        <v>0</v>
      </c>
    </row>
    <row r="491" spans="1:4" x14ac:dyDescent="0.35">
      <c r="A491" t="s">
        <v>34</v>
      </c>
      <c r="B491" t="s">
        <v>4</v>
      </c>
      <c r="C491" t="s">
        <v>21</v>
      </c>
      <c r="D491">
        <v>0</v>
      </c>
    </row>
    <row r="492" spans="1:4" x14ac:dyDescent="0.35">
      <c r="A492" t="s">
        <v>35</v>
      </c>
      <c r="B492" t="s">
        <v>4</v>
      </c>
      <c r="C492" t="s">
        <v>21</v>
      </c>
      <c r="D492">
        <v>0</v>
      </c>
    </row>
    <row r="493" spans="1:4" x14ac:dyDescent="0.35">
      <c r="A493" t="s">
        <v>36</v>
      </c>
      <c r="B493" t="s">
        <v>4</v>
      </c>
      <c r="C493" t="s">
        <v>21</v>
      </c>
      <c r="D493">
        <v>0</v>
      </c>
    </row>
    <row r="494" spans="1:4" x14ac:dyDescent="0.35">
      <c r="A494" t="s">
        <v>37</v>
      </c>
      <c r="B494" t="s">
        <v>4</v>
      </c>
      <c r="C494" t="s">
        <v>21</v>
      </c>
      <c r="D494">
        <v>0</v>
      </c>
    </row>
    <row r="495" spans="1:4" x14ac:dyDescent="0.35">
      <c r="A495" t="s">
        <v>38</v>
      </c>
      <c r="B495" t="s">
        <v>4</v>
      </c>
      <c r="C495" t="s">
        <v>21</v>
      </c>
      <c r="D495">
        <v>0</v>
      </c>
    </row>
    <row r="496" spans="1:4" x14ac:dyDescent="0.35">
      <c r="A496" t="s">
        <v>39</v>
      </c>
      <c r="B496" t="s">
        <v>4</v>
      </c>
      <c r="C496" t="s">
        <v>21</v>
      </c>
      <c r="D496">
        <v>0</v>
      </c>
    </row>
    <row r="497" spans="1:4" x14ac:dyDescent="0.35">
      <c r="A497" t="s">
        <v>7</v>
      </c>
      <c r="B497" t="s">
        <v>4</v>
      </c>
      <c r="C497" t="s">
        <v>22</v>
      </c>
      <c r="D497">
        <v>0</v>
      </c>
    </row>
    <row r="498" spans="1:4" x14ac:dyDescent="0.35">
      <c r="A498" t="s">
        <v>8</v>
      </c>
      <c r="B498" t="s">
        <v>4</v>
      </c>
      <c r="C498" t="s">
        <v>22</v>
      </c>
      <c r="D498">
        <v>0</v>
      </c>
    </row>
    <row r="499" spans="1:4" x14ac:dyDescent="0.35">
      <c r="A499" t="s">
        <v>9</v>
      </c>
      <c r="B499" t="s">
        <v>4</v>
      </c>
      <c r="C499" t="s">
        <v>22</v>
      </c>
      <c r="D499">
        <v>0</v>
      </c>
    </row>
    <row r="500" spans="1:4" x14ac:dyDescent="0.35">
      <c r="A500" t="s">
        <v>10</v>
      </c>
      <c r="B500" t="s">
        <v>4</v>
      </c>
      <c r="C500" t="s">
        <v>22</v>
      </c>
      <c r="D500">
        <v>0</v>
      </c>
    </row>
    <row r="501" spans="1:4" x14ac:dyDescent="0.35">
      <c r="A501" t="s">
        <v>11</v>
      </c>
      <c r="B501" t="s">
        <v>4</v>
      </c>
      <c r="C501" t="s">
        <v>22</v>
      </c>
      <c r="D501">
        <v>0</v>
      </c>
    </row>
    <row r="502" spans="1:4" x14ac:dyDescent="0.35">
      <c r="A502" t="s">
        <v>12</v>
      </c>
      <c r="B502" t="s">
        <v>4</v>
      </c>
      <c r="C502" t="s">
        <v>22</v>
      </c>
      <c r="D502">
        <v>0</v>
      </c>
    </row>
    <row r="503" spans="1:4" x14ac:dyDescent="0.35">
      <c r="A503" t="s">
        <v>13</v>
      </c>
      <c r="B503" t="s">
        <v>4</v>
      </c>
      <c r="C503" t="s">
        <v>22</v>
      </c>
      <c r="D503">
        <v>0</v>
      </c>
    </row>
    <row r="504" spans="1:4" x14ac:dyDescent="0.35">
      <c r="A504" t="s">
        <v>14</v>
      </c>
      <c r="B504" t="s">
        <v>4</v>
      </c>
      <c r="C504" t="s">
        <v>22</v>
      </c>
      <c r="D504">
        <v>0</v>
      </c>
    </row>
    <row r="505" spans="1:4" x14ac:dyDescent="0.35">
      <c r="A505" t="s">
        <v>15</v>
      </c>
      <c r="B505" t="s">
        <v>4</v>
      </c>
      <c r="C505" t="s">
        <v>22</v>
      </c>
      <c r="D505">
        <v>0</v>
      </c>
    </row>
    <row r="506" spans="1:4" x14ac:dyDescent="0.35">
      <c r="A506" t="s">
        <v>16</v>
      </c>
      <c r="B506" t="s">
        <v>4</v>
      </c>
      <c r="C506" t="s">
        <v>22</v>
      </c>
      <c r="D506">
        <v>0</v>
      </c>
    </row>
    <row r="507" spans="1:4" x14ac:dyDescent="0.35">
      <c r="A507" t="s">
        <v>17</v>
      </c>
      <c r="B507" t="s">
        <v>4</v>
      </c>
      <c r="C507" t="s">
        <v>22</v>
      </c>
      <c r="D507">
        <v>0</v>
      </c>
    </row>
    <row r="508" spans="1:4" x14ac:dyDescent="0.35">
      <c r="A508" t="s">
        <v>18</v>
      </c>
      <c r="B508" t="s">
        <v>4</v>
      </c>
      <c r="C508" t="s">
        <v>22</v>
      </c>
      <c r="D508">
        <v>0</v>
      </c>
    </row>
    <row r="509" spans="1:4" x14ac:dyDescent="0.35">
      <c r="A509" t="s">
        <v>19</v>
      </c>
      <c r="B509" t="s">
        <v>4</v>
      </c>
      <c r="C509" t="s">
        <v>22</v>
      </c>
      <c r="D509">
        <v>0</v>
      </c>
    </row>
    <row r="510" spans="1:4" x14ac:dyDescent="0.35">
      <c r="A510" t="s">
        <v>20</v>
      </c>
      <c r="B510" t="s">
        <v>4</v>
      </c>
      <c r="C510" t="s">
        <v>22</v>
      </c>
      <c r="D510">
        <v>0</v>
      </c>
    </row>
    <row r="511" spans="1:4" x14ac:dyDescent="0.35">
      <c r="A511" t="s">
        <v>21</v>
      </c>
      <c r="B511" t="s">
        <v>4</v>
      </c>
      <c r="C511" t="s">
        <v>22</v>
      </c>
      <c r="D511">
        <v>0</v>
      </c>
    </row>
    <row r="512" spans="1:4" x14ac:dyDescent="0.35">
      <c r="A512" t="s">
        <v>22</v>
      </c>
      <c r="B512" t="s">
        <v>4</v>
      </c>
      <c r="C512" t="s">
        <v>22</v>
      </c>
      <c r="D512">
        <v>0</v>
      </c>
    </row>
    <row r="513" spans="1:4" x14ac:dyDescent="0.35">
      <c r="A513" t="s">
        <v>23</v>
      </c>
      <c r="B513" t="s">
        <v>4</v>
      </c>
      <c r="C513" t="s">
        <v>22</v>
      </c>
      <c r="D513">
        <v>0</v>
      </c>
    </row>
    <row r="514" spans="1:4" x14ac:dyDescent="0.35">
      <c r="A514" t="s">
        <v>24</v>
      </c>
      <c r="B514" t="s">
        <v>4</v>
      </c>
      <c r="C514" t="s">
        <v>22</v>
      </c>
      <c r="D514">
        <v>0</v>
      </c>
    </row>
    <row r="515" spans="1:4" x14ac:dyDescent="0.35">
      <c r="A515" t="s">
        <v>25</v>
      </c>
      <c r="B515" t="s">
        <v>4</v>
      </c>
      <c r="C515" t="s">
        <v>22</v>
      </c>
      <c r="D515">
        <v>0</v>
      </c>
    </row>
    <row r="516" spans="1:4" x14ac:dyDescent="0.35">
      <c r="A516" t="s">
        <v>26</v>
      </c>
      <c r="B516" t="s">
        <v>4</v>
      </c>
      <c r="C516" t="s">
        <v>22</v>
      </c>
      <c r="D516">
        <v>0</v>
      </c>
    </row>
    <row r="517" spans="1:4" x14ac:dyDescent="0.35">
      <c r="A517" t="s">
        <v>27</v>
      </c>
      <c r="B517" t="s">
        <v>4</v>
      </c>
      <c r="C517" t="s">
        <v>22</v>
      </c>
      <c r="D517">
        <v>0</v>
      </c>
    </row>
    <row r="518" spans="1:4" x14ac:dyDescent="0.35">
      <c r="A518" t="s">
        <v>28</v>
      </c>
      <c r="B518" t="s">
        <v>4</v>
      </c>
      <c r="C518" t="s">
        <v>22</v>
      </c>
      <c r="D518">
        <v>0</v>
      </c>
    </row>
    <row r="519" spans="1:4" x14ac:dyDescent="0.35">
      <c r="A519" t="s">
        <v>29</v>
      </c>
      <c r="B519" t="s">
        <v>4</v>
      </c>
      <c r="C519" t="s">
        <v>22</v>
      </c>
      <c r="D519">
        <v>0</v>
      </c>
    </row>
    <row r="520" spans="1:4" x14ac:dyDescent="0.35">
      <c r="A520" t="s">
        <v>30</v>
      </c>
      <c r="B520" t="s">
        <v>4</v>
      </c>
      <c r="C520" t="s">
        <v>22</v>
      </c>
      <c r="D520">
        <v>0</v>
      </c>
    </row>
    <row r="521" spans="1:4" x14ac:dyDescent="0.35">
      <c r="A521" t="s">
        <v>31</v>
      </c>
      <c r="B521" t="s">
        <v>4</v>
      </c>
      <c r="C521" t="s">
        <v>22</v>
      </c>
      <c r="D521">
        <v>0</v>
      </c>
    </row>
    <row r="522" spans="1:4" x14ac:dyDescent="0.35">
      <c r="A522" t="s">
        <v>32</v>
      </c>
      <c r="B522" t="s">
        <v>4</v>
      </c>
      <c r="C522" t="s">
        <v>22</v>
      </c>
      <c r="D522">
        <v>0</v>
      </c>
    </row>
    <row r="523" spans="1:4" x14ac:dyDescent="0.35">
      <c r="A523" t="s">
        <v>33</v>
      </c>
      <c r="B523" t="s">
        <v>4</v>
      </c>
      <c r="C523" t="s">
        <v>22</v>
      </c>
      <c r="D523">
        <v>0</v>
      </c>
    </row>
    <row r="524" spans="1:4" x14ac:dyDescent="0.35">
      <c r="A524" t="s">
        <v>34</v>
      </c>
      <c r="B524" t="s">
        <v>4</v>
      </c>
      <c r="C524" t="s">
        <v>22</v>
      </c>
      <c r="D524">
        <v>0</v>
      </c>
    </row>
    <row r="525" spans="1:4" x14ac:dyDescent="0.35">
      <c r="A525" t="s">
        <v>35</v>
      </c>
      <c r="B525" t="s">
        <v>4</v>
      </c>
      <c r="C525" t="s">
        <v>22</v>
      </c>
      <c r="D525">
        <v>0</v>
      </c>
    </row>
    <row r="526" spans="1:4" x14ac:dyDescent="0.35">
      <c r="A526" t="s">
        <v>36</v>
      </c>
      <c r="B526" t="s">
        <v>4</v>
      </c>
      <c r="C526" t="s">
        <v>22</v>
      </c>
      <c r="D526">
        <v>0</v>
      </c>
    </row>
    <row r="527" spans="1:4" x14ac:dyDescent="0.35">
      <c r="A527" t="s">
        <v>37</v>
      </c>
      <c r="B527" t="s">
        <v>4</v>
      </c>
      <c r="C527" t="s">
        <v>22</v>
      </c>
      <c r="D527">
        <v>0</v>
      </c>
    </row>
    <row r="528" spans="1:4" x14ac:dyDescent="0.35">
      <c r="A528" t="s">
        <v>38</v>
      </c>
      <c r="B528" t="s">
        <v>4</v>
      </c>
      <c r="C528" t="s">
        <v>22</v>
      </c>
      <c r="D528">
        <v>0</v>
      </c>
    </row>
    <row r="529" spans="1:4" x14ac:dyDescent="0.35">
      <c r="A529" t="s">
        <v>39</v>
      </c>
      <c r="B529" t="s">
        <v>4</v>
      </c>
      <c r="C529" t="s">
        <v>22</v>
      </c>
      <c r="D529">
        <v>0</v>
      </c>
    </row>
    <row r="530" spans="1:4" x14ac:dyDescent="0.35">
      <c r="A530" t="s">
        <v>7</v>
      </c>
      <c r="B530" t="s">
        <v>4</v>
      </c>
      <c r="C530" t="s">
        <v>23</v>
      </c>
      <c r="D530">
        <v>0</v>
      </c>
    </row>
    <row r="531" spans="1:4" x14ac:dyDescent="0.35">
      <c r="A531" t="s">
        <v>8</v>
      </c>
      <c r="B531" t="s">
        <v>4</v>
      </c>
      <c r="C531" t="s">
        <v>23</v>
      </c>
      <c r="D531">
        <v>0</v>
      </c>
    </row>
    <row r="532" spans="1:4" x14ac:dyDescent="0.35">
      <c r="A532" t="s">
        <v>9</v>
      </c>
      <c r="B532" t="s">
        <v>4</v>
      </c>
      <c r="C532" t="s">
        <v>23</v>
      </c>
      <c r="D532">
        <v>0</v>
      </c>
    </row>
    <row r="533" spans="1:4" x14ac:dyDescent="0.35">
      <c r="A533" t="s">
        <v>10</v>
      </c>
      <c r="B533" t="s">
        <v>4</v>
      </c>
      <c r="C533" t="s">
        <v>23</v>
      </c>
      <c r="D533">
        <v>0</v>
      </c>
    </row>
    <row r="534" spans="1:4" x14ac:dyDescent="0.35">
      <c r="A534" t="s">
        <v>11</v>
      </c>
      <c r="B534" t="s">
        <v>4</v>
      </c>
      <c r="C534" t="s">
        <v>23</v>
      </c>
      <c r="D534">
        <v>0</v>
      </c>
    </row>
    <row r="535" spans="1:4" x14ac:dyDescent="0.35">
      <c r="A535" t="s">
        <v>12</v>
      </c>
      <c r="B535" t="s">
        <v>4</v>
      </c>
      <c r="C535" t="s">
        <v>23</v>
      </c>
      <c r="D535">
        <v>0</v>
      </c>
    </row>
    <row r="536" spans="1:4" x14ac:dyDescent="0.35">
      <c r="A536" t="s">
        <v>13</v>
      </c>
      <c r="B536" t="s">
        <v>4</v>
      </c>
      <c r="C536" t="s">
        <v>23</v>
      </c>
      <c r="D536">
        <v>0</v>
      </c>
    </row>
    <row r="537" spans="1:4" x14ac:dyDescent="0.35">
      <c r="A537" t="s">
        <v>14</v>
      </c>
      <c r="B537" t="s">
        <v>4</v>
      </c>
      <c r="C537" t="s">
        <v>23</v>
      </c>
      <c r="D537">
        <v>0</v>
      </c>
    </row>
    <row r="538" spans="1:4" x14ac:dyDescent="0.35">
      <c r="A538" t="s">
        <v>15</v>
      </c>
      <c r="B538" t="s">
        <v>4</v>
      </c>
      <c r="C538" t="s">
        <v>23</v>
      </c>
      <c r="D538">
        <v>0</v>
      </c>
    </row>
    <row r="539" spans="1:4" x14ac:dyDescent="0.35">
      <c r="A539" t="s">
        <v>16</v>
      </c>
      <c r="B539" t="s">
        <v>4</v>
      </c>
      <c r="C539" t="s">
        <v>23</v>
      </c>
      <c r="D539">
        <v>0</v>
      </c>
    </row>
    <row r="540" spans="1:4" x14ac:dyDescent="0.35">
      <c r="A540" t="s">
        <v>17</v>
      </c>
      <c r="B540" t="s">
        <v>4</v>
      </c>
      <c r="C540" t="s">
        <v>23</v>
      </c>
      <c r="D540">
        <v>0</v>
      </c>
    </row>
    <row r="541" spans="1:4" x14ac:dyDescent="0.35">
      <c r="A541" t="s">
        <v>18</v>
      </c>
      <c r="B541" t="s">
        <v>4</v>
      </c>
      <c r="C541" t="s">
        <v>23</v>
      </c>
      <c r="D541">
        <v>0</v>
      </c>
    </row>
    <row r="542" spans="1:4" x14ac:dyDescent="0.35">
      <c r="A542" t="s">
        <v>19</v>
      </c>
      <c r="B542" t="s">
        <v>4</v>
      </c>
      <c r="C542" t="s">
        <v>23</v>
      </c>
      <c r="D542">
        <v>0</v>
      </c>
    </row>
    <row r="543" spans="1:4" x14ac:dyDescent="0.35">
      <c r="A543" t="s">
        <v>20</v>
      </c>
      <c r="B543" t="s">
        <v>4</v>
      </c>
      <c r="C543" t="s">
        <v>23</v>
      </c>
      <c r="D543">
        <v>0</v>
      </c>
    </row>
    <row r="544" spans="1:4" x14ac:dyDescent="0.35">
      <c r="A544" t="s">
        <v>21</v>
      </c>
      <c r="B544" t="s">
        <v>4</v>
      </c>
      <c r="C544" t="s">
        <v>23</v>
      </c>
      <c r="D544">
        <v>0</v>
      </c>
    </row>
    <row r="545" spans="1:4" x14ac:dyDescent="0.35">
      <c r="A545" t="s">
        <v>22</v>
      </c>
      <c r="B545" t="s">
        <v>4</v>
      </c>
      <c r="C545" t="s">
        <v>23</v>
      </c>
      <c r="D545">
        <v>0</v>
      </c>
    </row>
    <row r="546" spans="1:4" x14ac:dyDescent="0.35">
      <c r="A546" t="s">
        <v>23</v>
      </c>
      <c r="B546" t="s">
        <v>4</v>
      </c>
      <c r="C546" t="s">
        <v>23</v>
      </c>
      <c r="D546">
        <v>0</v>
      </c>
    </row>
    <row r="547" spans="1:4" x14ac:dyDescent="0.35">
      <c r="A547" t="s">
        <v>24</v>
      </c>
      <c r="B547" t="s">
        <v>4</v>
      </c>
      <c r="C547" t="s">
        <v>23</v>
      </c>
      <c r="D547">
        <v>0</v>
      </c>
    </row>
    <row r="548" spans="1:4" x14ac:dyDescent="0.35">
      <c r="A548" t="s">
        <v>25</v>
      </c>
      <c r="B548" t="s">
        <v>4</v>
      </c>
      <c r="C548" t="s">
        <v>23</v>
      </c>
      <c r="D548">
        <v>0</v>
      </c>
    </row>
    <row r="549" spans="1:4" x14ac:dyDescent="0.35">
      <c r="A549" t="s">
        <v>26</v>
      </c>
      <c r="B549" t="s">
        <v>4</v>
      </c>
      <c r="C549" t="s">
        <v>23</v>
      </c>
      <c r="D549">
        <v>0</v>
      </c>
    </row>
    <row r="550" spans="1:4" x14ac:dyDescent="0.35">
      <c r="A550" t="s">
        <v>27</v>
      </c>
      <c r="B550" t="s">
        <v>4</v>
      </c>
      <c r="C550" t="s">
        <v>23</v>
      </c>
      <c r="D550">
        <v>0</v>
      </c>
    </row>
    <row r="551" spans="1:4" x14ac:dyDescent="0.35">
      <c r="A551" t="s">
        <v>28</v>
      </c>
      <c r="B551" t="s">
        <v>4</v>
      </c>
      <c r="C551" t="s">
        <v>23</v>
      </c>
      <c r="D551">
        <v>0</v>
      </c>
    </row>
    <row r="552" spans="1:4" x14ac:dyDescent="0.35">
      <c r="A552" t="s">
        <v>29</v>
      </c>
      <c r="B552" t="s">
        <v>4</v>
      </c>
      <c r="C552" t="s">
        <v>23</v>
      </c>
      <c r="D552">
        <v>0</v>
      </c>
    </row>
    <row r="553" spans="1:4" x14ac:dyDescent="0.35">
      <c r="A553" t="s">
        <v>30</v>
      </c>
      <c r="B553" t="s">
        <v>4</v>
      </c>
      <c r="C553" t="s">
        <v>23</v>
      </c>
      <c r="D553">
        <v>0</v>
      </c>
    </row>
    <row r="554" spans="1:4" x14ac:dyDescent="0.35">
      <c r="A554" t="s">
        <v>31</v>
      </c>
      <c r="B554" t="s">
        <v>4</v>
      </c>
      <c r="C554" t="s">
        <v>23</v>
      </c>
      <c r="D554">
        <v>0</v>
      </c>
    </row>
    <row r="555" spans="1:4" x14ac:dyDescent="0.35">
      <c r="A555" t="s">
        <v>32</v>
      </c>
      <c r="B555" t="s">
        <v>4</v>
      </c>
      <c r="C555" t="s">
        <v>23</v>
      </c>
      <c r="D555">
        <v>0</v>
      </c>
    </row>
    <row r="556" spans="1:4" x14ac:dyDescent="0.35">
      <c r="A556" t="s">
        <v>33</v>
      </c>
      <c r="B556" t="s">
        <v>4</v>
      </c>
      <c r="C556" t="s">
        <v>23</v>
      </c>
      <c r="D556">
        <v>0</v>
      </c>
    </row>
    <row r="557" spans="1:4" x14ac:dyDescent="0.35">
      <c r="A557" t="s">
        <v>34</v>
      </c>
      <c r="B557" t="s">
        <v>4</v>
      </c>
      <c r="C557" t="s">
        <v>23</v>
      </c>
      <c r="D557">
        <v>0</v>
      </c>
    </row>
    <row r="558" spans="1:4" x14ac:dyDescent="0.35">
      <c r="A558" t="s">
        <v>35</v>
      </c>
      <c r="B558" t="s">
        <v>4</v>
      </c>
      <c r="C558" t="s">
        <v>23</v>
      </c>
      <c r="D558">
        <v>0</v>
      </c>
    </row>
    <row r="559" spans="1:4" x14ac:dyDescent="0.35">
      <c r="A559" t="s">
        <v>36</v>
      </c>
      <c r="B559" t="s">
        <v>4</v>
      </c>
      <c r="C559" t="s">
        <v>23</v>
      </c>
      <c r="D559">
        <v>0</v>
      </c>
    </row>
    <row r="560" spans="1:4" x14ac:dyDescent="0.35">
      <c r="A560" t="s">
        <v>37</v>
      </c>
      <c r="B560" t="s">
        <v>4</v>
      </c>
      <c r="C560" t="s">
        <v>23</v>
      </c>
      <c r="D560">
        <v>0</v>
      </c>
    </row>
    <row r="561" spans="1:4" x14ac:dyDescent="0.35">
      <c r="A561" t="s">
        <v>38</v>
      </c>
      <c r="B561" t="s">
        <v>4</v>
      </c>
      <c r="C561" t="s">
        <v>23</v>
      </c>
      <c r="D561">
        <v>0</v>
      </c>
    </row>
    <row r="562" spans="1:4" x14ac:dyDescent="0.35">
      <c r="A562" t="s">
        <v>39</v>
      </c>
      <c r="B562" t="s">
        <v>4</v>
      </c>
      <c r="C562" t="s">
        <v>23</v>
      </c>
      <c r="D562">
        <v>0</v>
      </c>
    </row>
    <row r="563" spans="1:4" x14ac:dyDescent="0.35">
      <c r="A563" t="s">
        <v>7</v>
      </c>
      <c r="B563" t="s">
        <v>4</v>
      </c>
      <c r="C563" t="s">
        <v>24</v>
      </c>
      <c r="D563">
        <v>0</v>
      </c>
    </row>
    <row r="564" spans="1:4" x14ac:dyDescent="0.35">
      <c r="A564" t="s">
        <v>8</v>
      </c>
      <c r="B564" t="s">
        <v>4</v>
      </c>
      <c r="C564" t="s">
        <v>24</v>
      </c>
      <c r="D564">
        <v>0</v>
      </c>
    </row>
    <row r="565" spans="1:4" x14ac:dyDescent="0.35">
      <c r="A565" t="s">
        <v>9</v>
      </c>
      <c r="B565" t="s">
        <v>4</v>
      </c>
      <c r="C565" t="s">
        <v>24</v>
      </c>
      <c r="D565">
        <v>0</v>
      </c>
    </row>
    <row r="566" spans="1:4" x14ac:dyDescent="0.35">
      <c r="A566" t="s">
        <v>10</v>
      </c>
      <c r="B566" t="s">
        <v>4</v>
      </c>
      <c r="C566" t="s">
        <v>24</v>
      </c>
      <c r="D566">
        <v>0</v>
      </c>
    </row>
    <row r="567" spans="1:4" x14ac:dyDescent="0.35">
      <c r="A567" t="s">
        <v>11</v>
      </c>
      <c r="B567" t="s">
        <v>4</v>
      </c>
      <c r="C567" t="s">
        <v>24</v>
      </c>
      <c r="D567">
        <v>0</v>
      </c>
    </row>
    <row r="568" spans="1:4" x14ac:dyDescent="0.35">
      <c r="A568" t="s">
        <v>12</v>
      </c>
      <c r="B568" t="s">
        <v>4</v>
      </c>
      <c r="C568" t="s">
        <v>24</v>
      </c>
      <c r="D568">
        <v>0</v>
      </c>
    </row>
    <row r="569" spans="1:4" x14ac:dyDescent="0.35">
      <c r="A569" t="s">
        <v>13</v>
      </c>
      <c r="B569" t="s">
        <v>4</v>
      </c>
      <c r="C569" t="s">
        <v>24</v>
      </c>
      <c r="D569">
        <v>0</v>
      </c>
    </row>
    <row r="570" spans="1:4" x14ac:dyDescent="0.35">
      <c r="A570" t="s">
        <v>14</v>
      </c>
      <c r="B570" t="s">
        <v>4</v>
      </c>
      <c r="C570" t="s">
        <v>24</v>
      </c>
      <c r="D570">
        <v>0</v>
      </c>
    </row>
    <row r="571" spans="1:4" x14ac:dyDescent="0.35">
      <c r="A571" t="s">
        <v>15</v>
      </c>
      <c r="B571" t="s">
        <v>4</v>
      </c>
      <c r="C571" t="s">
        <v>24</v>
      </c>
      <c r="D571">
        <v>0</v>
      </c>
    </row>
    <row r="572" spans="1:4" x14ac:dyDescent="0.35">
      <c r="A572" t="s">
        <v>16</v>
      </c>
      <c r="B572" t="s">
        <v>4</v>
      </c>
      <c r="C572" t="s">
        <v>24</v>
      </c>
      <c r="D572">
        <v>0</v>
      </c>
    </row>
    <row r="573" spans="1:4" x14ac:dyDescent="0.35">
      <c r="A573" t="s">
        <v>17</v>
      </c>
      <c r="B573" t="s">
        <v>4</v>
      </c>
      <c r="C573" t="s">
        <v>24</v>
      </c>
      <c r="D573">
        <v>0</v>
      </c>
    </row>
    <row r="574" spans="1:4" x14ac:dyDescent="0.35">
      <c r="A574" t="s">
        <v>18</v>
      </c>
      <c r="B574" t="s">
        <v>4</v>
      </c>
      <c r="C574" t="s">
        <v>24</v>
      </c>
      <c r="D574">
        <v>0</v>
      </c>
    </row>
    <row r="575" spans="1:4" x14ac:dyDescent="0.35">
      <c r="A575" t="s">
        <v>19</v>
      </c>
      <c r="B575" t="s">
        <v>4</v>
      </c>
      <c r="C575" t="s">
        <v>24</v>
      </c>
      <c r="D575">
        <v>0</v>
      </c>
    </row>
    <row r="576" spans="1:4" x14ac:dyDescent="0.35">
      <c r="A576" t="s">
        <v>20</v>
      </c>
      <c r="B576" t="s">
        <v>4</v>
      </c>
      <c r="C576" t="s">
        <v>24</v>
      </c>
      <c r="D576">
        <v>0</v>
      </c>
    </row>
    <row r="577" spans="1:4" x14ac:dyDescent="0.35">
      <c r="A577" t="s">
        <v>21</v>
      </c>
      <c r="B577" t="s">
        <v>4</v>
      </c>
      <c r="C577" t="s">
        <v>24</v>
      </c>
      <c r="D577">
        <v>0</v>
      </c>
    </row>
    <row r="578" spans="1:4" x14ac:dyDescent="0.35">
      <c r="A578" t="s">
        <v>22</v>
      </c>
      <c r="B578" t="s">
        <v>4</v>
      </c>
      <c r="C578" t="s">
        <v>24</v>
      </c>
      <c r="D578">
        <v>0</v>
      </c>
    </row>
    <row r="579" spans="1:4" x14ac:dyDescent="0.35">
      <c r="A579" t="s">
        <v>23</v>
      </c>
      <c r="B579" t="s">
        <v>4</v>
      </c>
      <c r="C579" t="s">
        <v>24</v>
      </c>
      <c r="D579">
        <v>0</v>
      </c>
    </row>
    <row r="580" spans="1:4" x14ac:dyDescent="0.35">
      <c r="A580" t="s">
        <v>24</v>
      </c>
      <c r="B580" t="s">
        <v>4</v>
      </c>
      <c r="C580" t="s">
        <v>24</v>
      </c>
      <c r="D580">
        <v>0</v>
      </c>
    </row>
    <row r="581" spans="1:4" x14ac:dyDescent="0.35">
      <c r="A581" t="s">
        <v>25</v>
      </c>
      <c r="B581" t="s">
        <v>4</v>
      </c>
      <c r="C581" t="s">
        <v>24</v>
      </c>
      <c r="D581">
        <v>0</v>
      </c>
    </row>
    <row r="582" spans="1:4" x14ac:dyDescent="0.35">
      <c r="A582" t="s">
        <v>26</v>
      </c>
      <c r="B582" t="s">
        <v>4</v>
      </c>
      <c r="C582" t="s">
        <v>24</v>
      </c>
      <c r="D582">
        <v>0</v>
      </c>
    </row>
    <row r="583" spans="1:4" x14ac:dyDescent="0.35">
      <c r="A583" t="s">
        <v>27</v>
      </c>
      <c r="B583" t="s">
        <v>4</v>
      </c>
      <c r="C583" t="s">
        <v>24</v>
      </c>
      <c r="D583">
        <v>0</v>
      </c>
    </row>
    <row r="584" spans="1:4" x14ac:dyDescent="0.35">
      <c r="A584" t="s">
        <v>28</v>
      </c>
      <c r="B584" t="s">
        <v>4</v>
      </c>
      <c r="C584" t="s">
        <v>24</v>
      </c>
      <c r="D584">
        <v>0</v>
      </c>
    </row>
    <row r="585" spans="1:4" x14ac:dyDescent="0.35">
      <c r="A585" t="s">
        <v>29</v>
      </c>
      <c r="B585" t="s">
        <v>4</v>
      </c>
      <c r="C585" t="s">
        <v>24</v>
      </c>
      <c r="D585">
        <v>0</v>
      </c>
    </row>
    <row r="586" spans="1:4" x14ac:dyDescent="0.35">
      <c r="A586" t="s">
        <v>30</v>
      </c>
      <c r="B586" t="s">
        <v>4</v>
      </c>
      <c r="C586" t="s">
        <v>24</v>
      </c>
      <c r="D586">
        <v>0</v>
      </c>
    </row>
    <row r="587" spans="1:4" x14ac:dyDescent="0.35">
      <c r="A587" t="s">
        <v>31</v>
      </c>
      <c r="B587" t="s">
        <v>4</v>
      </c>
      <c r="C587" t="s">
        <v>24</v>
      </c>
      <c r="D587">
        <v>0</v>
      </c>
    </row>
    <row r="588" spans="1:4" x14ac:dyDescent="0.35">
      <c r="A588" t="s">
        <v>32</v>
      </c>
      <c r="B588" t="s">
        <v>4</v>
      </c>
      <c r="C588" t="s">
        <v>24</v>
      </c>
      <c r="D588">
        <v>0</v>
      </c>
    </row>
    <row r="589" spans="1:4" x14ac:dyDescent="0.35">
      <c r="A589" t="s">
        <v>33</v>
      </c>
      <c r="B589" t="s">
        <v>4</v>
      </c>
      <c r="C589" t="s">
        <v>24</v>
      </c>
      <c r="D589">
        <v>0</v>
      </c>
    </row>
    <row r="590" spans="1:4" x14ac:dyDescent="0.35">
      <c r="A590" t="s">
        <v>34</v>
      </c>
      <c r="B590" t="s">
        <v>4</v>
      </c>
      <c r="C590" t="s">
        <v>24</v>
      </c>
      <c r="D590">
        <v>0</v>
      </c>
    </row>
    <row r="591" spans="1:4" x14ac:dyDescent="0.35">
      <c r="A591" t="s">
        <v>35</v>
      </c>
      <c r="B591" t="s">
        <v>4</v>
      </c>
      <c r="C591" t="s">
        <v>24</v>
      </c>
      <c r="D591">
        <v>0</v>
      </c>
    </row>
    <row r="592" spans="1:4" x14ac:dyDescent="0.35">
      <c r="A592" t="s">
        <v>36</v>
      </c>
      <c r="B592" t="s">
        <v>4</v>
      </c>
      <c r="C592" t="s">
        <v>24</v>
      </c>
      <c r="D592">
        <v>0</v>
      </c>
    </row>
    <row r="593" spans="1:4" x14ac:dyDescent="0.35">
      <c r="A593" t="s">
        <v>37</v>
      </c>
      <c r="B593" t="s">
        <v>4</v>
      </c>
      <c r="C593" t="s">
        <v>24</v>
      </c>
      <c r="D593">
        <v>0</v>
      </c>
    </row>
    <row r="594" spans="1:4" x14ac:dyDescent="0.35">
      <c r="A594" t="s">
        <v>38</v>
      </c>
      <c r="B594" t="s">
        <v>4</v>
      </c>
      <c r="C594" t="s">
        <v>24</v>
      </c>
      <c r="D594">
        <v>0</v>
      </c>
    </row>
    <row r="595" spans="1:4" x14ac:dyDescent="0.35">
      <c r="A595" t="s">
        <v>39</v>
      </c>
      <c r="B595" t="s">
        <v>4</v>
      </c>
      <c r="C595" t="s">
        <v>24</v>
      </c>
      <c r="D595">
        <v>0</v>
      </c>
    </row>
    <row r="596" spans="1:4" x14ac:dyDescent="0.35">
      <c r="A596" t="s">
        <v>7</v>
      </c>
      <c r="B596" t="s">
        <v>4</v>
      </c>
      <c r="C596" t="s">
        <v>25</v>
      </c>
      <c r="D596">
        <v>0</v>
      </c>
    </row>
    <row r="597" spans="1:4" x14ac:dyDescent="0.35">
      <c r="A597" t="s">
        <v>8</v>
      </c>
      <c r="B597" t="s">
        <v>4</v>
      </c>
      <c r="C597" t="s">
        <v>25</v>
      </c>
      <c r="D597">
        <v>0</v>
      </c>
    </row>
    <row r="598" spans="1:4" x14ac:dyDescent="0.35">
      <c r="A598" t="s">
        <v>9</v>
      </c>
      <c r="B598" t="s">
        <v>4</v>
      </c>
      <c r="C598" t="s">
        <v>25</v>
      </c>
      <c r="D598">
        <v>0</v>
      </c>
    </row>
    <row r="599" spans="1:4" x14ac:dyDescent="0.35">
      <c r="A599" t="s">
        <v>10</v>
      </c>
      <c r="B599" t="s">
        <v>4</v>
      </c>
      <c r="C599" t="s">
        <v>25</v>
      </c>
      <c r="D599">
        <v>0</v>
      </c>
    </row>
    <row r="600" spans="1:4" x14ac:dyDescent="0.35">
      <c r="A600" t="s">
        <v>11</v>
      </c>
      <c r="B600" t="s">
        <v>4</v>
      </c>
      <c r="C600" t="s">
        <v>25</v>
      </c>
      <c r="D600">
        <v>0</v>
      </c>
    </row>
    <row r="601" spans="1:4" x14ac:dyDescent="0.35">
      <c r="A601" t="s">
        <v>12</v>
      </c>
      <c r="B601" t="s">
        <v>4</v>
      </c>
      <c r="C601" t="s">
        <v>25</v>
      </c>
      <c r="D601">
        <v>0</v>
      </c>
    </row>
    <row r="602" spans="1:4" x14ac:dyDescent="0.35">
      <c r="A602" t="s">
        <v>13</v>
      </c>
      <c r="B602" t="s">
        <v>4</v>
      </c>
      <c r="C602" t="s">
        <v>25</v>
      </c>
      <c r="D602">
        <v>0</v>
      </c>
    </row>
    <row r="603" spans="1:4" x14ac:dyDescent="0.35">
      <c r="A603" t="s">
        <v>14</v>
      </c>
      <c r="B603" t="s">
        <v>4</v>
      </c>
      <c r="C603" t="s">
        <v>25</v>
      </c>
      <c r="D603">
        <v>0</v>
      </c>
    </row>
    <row r="604" spans="1:4" x14ac:dyDescent="0.35">
      <c r="A604" t="s">
        <v>15</v>
      </c>
      <c r="B604" t="s">
        <v>4</v>
      </c>
      <c r="C604" t="s">
        <v>25</v>
      </c>
      <c r="D604">
        <v>0</v>
      </c>
    </row>
    <row r="605" spans="1:4" x14ac:dyDescent="0.35">
      <c r="A605" t="s">
        <v>16</v>
      </c>
      <c r="B605" t="s">
        <v>4</v>
      </c>
      <c r="C605" t="s">
        <v>25</v>
      </c>
      <c r="D605">
        <v>0</v>
      </c>
    </row>
    <row r="606" spans="1:4" x14ac:dyDescent="0.35">
      <c r="A606" t="s">
        <v>17</v>
      </c>
      <c r="B606" t="s">
        <v>4</v>
      </c>
      <c r="C606" t="s">
        <v>25</v>
      </c>
      <c r="D606">
        <v>0</v>
      </c>
    </row>
    <row r="607" spans="1:4" x14ac:dyDescent="0.35">
      <c r="A607" t="s">
        <v>18</v>
      </c>
      <c r="B607" t="s">
        <v>4</v>
      </c>
      <c r="C607" t="s">
        <v>25</v>
      </c>
      <c r="D607">
        <v>0</v>
      </c>
    </row>
    <row r="608" spans="1:4" x14ac:dyDescent="0.35">
      <c r="A608" t="s">
        <v>19</v>
      </c>
      <c r="B608" t="s">
        <v>4</v>
      </c>
      <c r="C608" t="s">
        <v>25</v>
      </c>
      <c r="D608">
        <v>0</v>
      </c>
    </row>
    <row r="609" spans="1:4" x14ac:dyDescent="0.35">
      <c r="A609" t="s">
        <v>20</v>
      </c>
      <c r="B609" t="s">
        <v>4</v>
      </c>
      <c r="C609" t="s">
        <v>25</v>
      </c>
      <c r="D609">
        <v>0</v>
      </c>
    </row>
    <row r="610" spans="1:4" x14ac:dyDescent="0.35">
      <c r="A610" t="s">
        <v>21</v>
      </c>
      <c r="B610" t="s">
        <v>4</v>
      </c>
      <c r="C610" t="s">
        <v>25</v>
      </c>
      <c r="D610">
        <v>0</v>
      </c>
    </row>
    <row r="611" spans="1:4" x14ac:dyDescent="0.35">
      <c r="A611" t="s">
        <v>22</v>
      </c>
      <c r="B611" t="s">
        <v>4</v>
      </c>
      <c r="C611" t="s">
        <v>25</v>
      </c>
      <c r="D611">
        <v>0</v>
      </c>
    </row>
    <row r="612" spans="1:4" x14ac:dyDescent="0.35">
      <c r="A612" t="s">
        <v>23</v>
      </c>
      <c r="B612" t="s">
        <v>4</v>
      </c>
      <c r="C612" t="s">
        <v>25</v>
      </c>
      <c r="D612">
        <v>0</v>
      </c>
    </row>
    <row r="613" spans="1:4" x14ac:dyDescent="0.35">
      <c r="A613" t="s">
        <v>24</v>
      </c>
      <c r="B613" t="s">
        <v>4</v>
      </c>
      <c r="C613" t="s">
        <v>25</v>
      </c>
      <c r="D613">
        <v>0</v>
      </c>
    </row>
    <row r="614" spans="1:4" x14ac:dyDescent="0.35">
      <c r="A614" t="s">
        <v>25</v>
      </c>
      <c r="B614" t="s">
        <v>4</v>
      </c>
      <c r="C614" t="s">
        <v>25</v>
      </c>
      <c r="D614">
        <v>0</v>
      </c>
    </row>
    <row r="615" spans="1:4" x14ac:dyDescent="0.35">
      <c r="A615" t="s">
        <v>26</v>
      </c>
      <c r="B615" t="s">
        <v>4</v>
      </c>
      <c r="C615" t="s">
        <v>25</v>
      </c>
      <c r="D615">
        <v>0</v>
      </c>
    </row>
    <row r="616" spans="1:4" x14ac:dyDescent="0.35">
      <c r="A616" t="s">
        <v>27</v>
      </c>
      <c r="B616" t="s">
        <v>4</v>
      </c>
      <c r="C616" t="s">
        <v>25</v>
      </c>
      <c r="D616">
        <v>0</v>
      </c>
    </row>
    <row r="617" spans="1:4" x14ac:dyDescent="0.35">
      <c r="A617" t="s">
        <v>28</v>
      </c>
      <c r="B617" t="s">
        <v>4</v>
      </c>
      <c r="C617" t="s">
        <v>25</v>
      </c>
      <c r="D617">
        <v>0</v>
      </c>
    </row>
    <row r="618" spans="1:4" x14ac:dyDescent="0.35">
      <c r="A618" t="s">
        <v>29</v>
      </c>
      <c r="B618" t="s">
        <v>4</v>
      </c>
      <c r="C618" t="s">
        <v>25</v>
      </c>
      <c r="D618">
        <v>0</v>
      </c>
    </row>
    <row r="619" spans="1:4" x14ac:dyDescent="0.35">
      <c r="A619" t="s">
        <v>30</v>
      </c>
      <c r="B619" t="s">
        <v>4</v>
      </c>
      <c r="C619" t="s">
        <v>25</v>
      </c>
      <c r="D619">
        <v>0</v>
      </c>
    </row>
    <row r="620" spans="1:4" x14ac:dyDescent="0.35">
      <c r="A620" t="s">
        <v>31</v>
      </c>
      <c r="B620" t="s">
        <v>4</v>
      </c>
      <c r="C620" t="s">
        <v>25</v>
      </c>
      <c r="D620">
        <v>0</v>
      </c>
    </row>
    <row r="621" spans="1:4" x14ac:dyDescent="0.35">
      <c r="A621" t="s">
        <v>32</v>
      </c>
      <c r="B621" t="s">
        <v>4</v>
      </c>
      <c r="C621" t="s">
        <v>25</v>
      </c>
      <c r="D621">
        <v>0</v>
      </c>
    </row>
    <row r="622" spans="1:4" x14ac:dyDescent="0.35">
      <c r="A622" t="s">
        <v>33</v>
      </c>
      <c r="B622" t="s">
        <v>4</v>
      </c>
      <c r="C622" t="s">
        <v>25</v>
      </c>
      <c r="D622">
        <v>0</v>
      </c>
    </row>
    <row r="623" spans="1:4" x14ac:dyDescent="0.35">
      <c r="A623" t="s">
        <v>34</v>
      </c>
      <c r="B623" t="s">
        <v>4</v>
      </c>
      <c r="C623" t="s">
        <v>25</v>
      </c>
      <c r="D623">
        <v>0</v>
      </c>
    </row>
    <row r="624" spans="1:4" x14ac:dyDescent="0.35">
      <c r="A624" t="s">
        <v>35</v>
      </c>
      <c r="B624" t="s">
        <v>4</v>
      </c>
      <c r="C624" t="s">
        <v>25</v>
      </c>
      <c r="D624">
        <v>0</v>
      </c>
    </row>
    <row r="625" spans="1:4" x14ac:dyDescent="0.35">
      <c r="A625" t="s">
        <v>36</v>
      </c>
      <c r="B625" t="s">
        <v>4</v>
      </c>
      <c r="C625" t="s">
        <v>25</v>
      </c>
      <c r="D625">
        <v>0</v>
      </c>
    </row>
    <row r="626" spans="1:4" x14ac:dyDescent="0.35">
      <c r="A626" t="s">
        <v>37</v>
      </c>
      <c r="B626" t="s">
        <v>4</v>
      </c>
      <c r="C626" t="s">
        <v>25</v>
      </c>
      <c r="D626">
        <v>0</v>
      </c>
    </row>
    <row r="627" spans="1:4" x14ac:dyDescent="0.35">
      <c r="A627" t="s">
        <v>38</v>
      </c>
      <c r="B627" t="s">
        <v>4</v>
      </c>
      <c r="C627" t="s">
        <v>25</v>
      </c>
      <c r="D627">
        <v>0</v>
      </c>
    </row>
    <row r="628" spans="1:4" x14ac:dyDescent="0.35">
      <c r="A628" t="s">
        <v>39</v>
      </c>
      <c r="B628" t="s">
        <v>4</v>
      </c>
      <c r="C628" t="s">
        <v>25</v>
      </c>
      <c r="D628">
        <v>0</v>
      </c>
    </row>
    <row r="629" spans="1:4" x14ac:dyDescent="0.35">
      <c r="A629" t="s">
        <v>7</v>
      </c>
      <c r="B629" t="s">
        <v>4</v>
      </c>
      <c r="C629" t="s">
        <v>26</v>
      </c>
      <c r="D629">
        <v>0</v>
      </c>
    </row>
    <row r="630" spans="1:4" x14ac:dyDescent="0.35">
      <c r="A630" t="s">
        <v>8</v>
      </c>
      <c r="B630" t="s">
        <v>4</v>
      </c>
      <c r="C630" t="s">
        <v>26</v>
      </c>
      <c r="D630">
        <v>0</v>
      </c>
    </row>
    <row r="631" spans="1:4" x14ac:dyDescent="0.35">
      <c r="A631" t="s">
        <v>9</v>
      </c>
      <c r="B631" t="s">
        <v>4</v>
      </c>
      <c r="C631" t="s">
        <v>26</v>
      </c>
      <c r="D631">
        <v>0</v>
      </c>
    </row>
    <row r="632" spans="1:4" x14ac:dyDescent="0.35">
      <c r="A632" t="s">
        <v>10</v>
      </c>
      <c r="B632" t="s">
        <v>4</v>
      </c>
      <c r="C632" t="s">
        <v>26</v>
      </c>
      <c r="D632">
        <v>0</v>
      </c>
    </row>
    <row r="633" spans="1:4" x14ac:dyDescent="0.35">
      <c r="A633" t="s">
        <v>11</v>
      </c>
      <c r="B633" t="s">
        <v>4</v>
      </c>
      <c r="C633" t="s">
        <v>26</v>
      </c>
      <c r="D633">
        <v>0</v>
      </c>
    </row>
    <row r="634" spans="1:4" x14ac:dyDescent="0.35">
      <c r="A634" t="s">
        <v>12</v>
      </c>
      <c r="B634" t="s">
        <v>4</v>
      </c>
      <c r="C634" t="s">
        <v>26</v>
      </c>
      <c r="D634">
        <v>0</v>
      </c>
    </row>
    <row r="635" spans="1:4" x14ac:dyDescent="0.35">
      <c r="A635" t="s">
        <v>13</v>
      </c>
      <c r="B635" t="s">
        <v>4</v>
      </c>
      <c r="C635" t="s">
        <v>26</v>
      </c>
      <c r="D635">
        <v>0</v>
      </c>
    </row>
    <row r="636" spans="1:4" x14ac:dyDescent="0.35">
      <c r="A636" t="s">
        <v>14</v>
      </c>
      <c r="B636" t="s">
        <v>4</v>
      </c>
      <c r="C636" t="s">
        <v>26</v>
      </c>
      <c r="D636">
        <v>0</v>
      </c>
    </row>
    <row r="637" spans="1:4" x14ac:dyDescent="0.35">
      <c r="A637" t="s">
        <v>15</v>
      </c>
      <c r="B637" t="s">
        <v>4</v>
      </c>
      <c r="C637" t="s">
        <v>26</v>
      </c>
      <c r="D637">
        <v>0</v>
      </c>
    </row>
    <row r="638" spans="1:4" x14ac:dyDescent="0.35">
      <c r="A638" t="s">
        <v>16</v>
      </c>
      <c r="B638" t="s">
        <v>4</v>
      </c>
      <c r="C638" t="s">
        <v>26</v>
      </c>
      <c r="D638">
        <v>0</v>
      </c>
    </row>
    <row r="639" spans="1:4" x14ac:dyDescent="0.35">
      <c r="A639" t="s">
        <v>17</v>
      </c>
      <c r="B639" t="s">
        <v>4</v>
      </c>
      <c r="C639" t="s">
        <v>26</v>
      </c>
      <c r="D639">
        <v>0</v>
      </c>
    </row>
    <row r="640" spans="1:4" x14ac:dyDescent="0.35">
      <c r="A640" t="s">
        <v>18</v>
      </c>
      <c r="B640" t="s">
        <v>4</v>
      </c>
      <c r="C640" t="s">
        <v>26</v>
      </c>
      <c r="D640">
        <v>0</v>
      </c>
    </row>
    <row r="641" spans="1:4" x14ac:dyDescent="0.35">
      <c r="A641" t="s">
        <v>19</v>
      </c>
      <c r="B641" t="s">
        <v>4</v>
      </c>
      <c r="C641" t="s">
        <v>26</v>
      </c>
      <c r="D641">
        <v>0</v>
      </c>
    </row>
    <row r="642" spans="1:4" x14ac:dyDescent="0.35">
      <c r="A642" t="s">
        <v>20</v>
      </c>
      <c r="B642" t="s">
        <v>4</v>
      </c>
      <c r="C642" t="s">
        <v>26</v>
      </c>
      <c r="D642">
        <v>0</v>
      </c>
    </row>
    <row r="643" spans="1:4" x14ac:dyDescent="0.35">
      <c r="A643" t="s">
        <v>21</v>
      </c>
      <c r="B643" t="s">
        <v>4</v>
      </c>
      <c r="C643" t="s">
        <v>26</v>
      </c>
      <c r="D643">
        <v>0</v>
      </c>
    </row>
    <row r="644" spans="1:4" x14ac:dyDescent="0.35">
      <c r="A644" t="s">
        <v>22</v>
      </c>
      <c r="B644" t="s">
        <v>4</v>
      </c>
      <c r="C644" t="s">
        <v>26</v>
      </c>
      <c r="D644">
        <v>0</v>
      </c>
    </row>
    <row r="645" spans="1:4" x14ac:dyDescent="0.35">
      <c r="A645" t="s">
        <v>23</v>
      </c>
      <c r="B645" t="s">
        <v>4</v>
      </c>
      <c r="C645" t="s">
        <v>26</v>
      </c>
      <c r="D645">
        <v>0</v>
      </c>
    </row>
    <row r="646" spans="1:4" x14ac:dyDescent="0.35">
      <c r="A646" t="s">
        <v>24</v>
      </c>
      <c r="B646" t="s">
        <v>4</v>
      </c>
      <c r="C646" t="s">
        <v>26</v>
      </c>
      <c r="D646">
        <v>0</v>
      </c>
    </row>
    <row r="647" spans="1:4" x14ac:dyDescent="0.35">
      <c r="A647" t="s">
        <v>25</v>
      </c>
      <c r="B647" t="s">
        <v>4</v>
      </c>
      <c r="C647" t="s">
        <v>26</v>
      </c>
      <c r="D647">
        <v>0</v>
      </c>
    </row>
    <row r="648" spans="1:4" x14ac:dyDescent="0.35">
      <c r="A648" t="s">
        <v>26</v>
      </c>
      <c r="B648" t="s">
        <v>4</v>
      </c>
      <c r="C648" t="s">
        <v>26</v>
      </c>
      <c r="D648">
        <v>0</v>
      </c>
    </row>
    <row r="649" spans="1:4" x14ac:dyDescent="0.35">
      <c r="A649" t="s">
        <v>27</v>
      </c>
      <c r="B649" t="s">
        <v>4</v>
      </c>
      <c r="C649" t="s">
        <v>26</v>
      </c>
      <c r="D649">
        <v>0</v>
      </c>
    </row>
    <row r="650" spans="1:4" x14ac:dyDescent="0.35">
      <c r="A650" t="s">
        <v>28</v>
      </c>
      <c r="B650" t="s">
        <v>4</v>
      </c>
      <c r="C650" t="s">
        <v>26</v>
      </c>
      <c r="D650">
        <v>0</v>
      </c>
    </row>
    <row r="651" spans="1:4" x14ac:dyDescent="0.35">
      <c r="A651" t="s">
        <v>29</v>
      </c>
      <c r="B651" t="s">
        <v>4</v>
      </c>
      <c r="C651" t="s">
        <v>26</v>
      </c>
      <c r="D651">
        <v>0</v>
      </c>
    </row>
    <row r="652" spans="1:4" x14ac:dyDescent="0.35">
      <c r="A652" t="s">
        <v>30</v>
      </c>
      <c r="B652" t="s">
        <v>4</v>
      </c>
      <c r="C652" t="s">
        <v>26</v>
      </c>
      <c r="D652">
        <v>0</v>
      </c>
    </row>
    <row r="653" spans="1:4" x14ac:dyDescent="0.35">
      <c r="A653" t="s">
        <v>31</v>
      </c>
      <c r="B653" t="s">
        <v>4</v>
      </c>
      <c r="C653" t="s">
        <v>26</v>
      </c>
      <c r="D653">
        <v>0</v>
      </c>
    </row>
    <row r="654" spans="1:4" x14ac:dyDescent="0.35">
      <c r="A654" t="s">
        <v>32</v>
      </c>
      <c r="B654" t="s">
        <v>4</v>
      </c>
      <c r="C654" t="s">
        <v>26</v>
      </c>
      <c r="D654">
        <v>0</v>
      </c>
    </row>
    <row r="655" spans="1:4" x14ac:dyDescent="0.35">
      <c r="A655" t="s">
        <v>33</v>
      </c>
      <c r="B655" t="s">
        <v>4</v>
      </c>
      <c r="C655" t="s">
        <v>26</v>
      </c>
      <c r="D655">
        <v>0</v>
      </c>
    </row>
    <row r="656" spans="1:4" x14ac:dyDescent="0.35">
      <c r="A656" t="s">
        <v>34</v>
      </c>
      <c r="B656" t="s">
        <v>4</v>
      </c>
      <c r="C656" t="s">
        <v>26</v>
      </c>
      <c r="D656">
        <v>0</v>
      </c>
    </row>
    <row r="657" spans="1:4" x14ac:dyDescent="0.35">
      <c r="A657" t="s">
        <v>35</v>
      </c>
      <c r="B657" t="s">
        <v>4</v>
      </c>
      <c r="C657" t="s">
        <v>26</v>
      </c>
      <c r="D657">
        <v>0</v>
      </c>
    </row>
    <row r="658" spans="1:4" x14ac:dyDescent="0.35">
      <c r="A658" t="s">
        <v>36</v>
      </c>
      <c r="B658" t="s">
        <v>4</v>
      </c>
      <c r="C658" t="s">
        <v>26</v>
      </c>
      <c r="D658">
        <v>0</v>
      </c>
    </row>
    <row r="659" spans="1:4" x14ac:dyDescent="0.35">
      <c r="A659" t="s">
        <v>37</v>
      </c>
      <c r="B659" t="s">
        <v>4</v>
      </c>
      <c r="C659" t="s">
        <v>26</v>
      </c>
      <c r="D659">
        <v>0</v>
      </c>
    </row>
    <row r="660" spans="1:4" x14ac:dyDescent="0.35">
      <c r="A660" t="s">
        <v>38</v>
      </c>
      <c r="B660" t="s">
        <v>4</v>
      </c>
      <c r="C660" t="s">
        <v>26</v>
      </c>
      <c r="D660">
        <v>0</v>
      </c>
    </row>
    <row r="661" spans="1:4" x14ac:dyDescent="0.35">
      <c r="A661" t="s">
        <v>39</v>
      </c>
      <c r="B661" t="s">
        <v>4</v>
      </c>
      <c r="C661" t="s">
        <v>26</v>
      </c>
      <c r="D661">
        <v>0</v>
      </c>
    </row>
    <row r="662" spans="1:4" x14ac:dyDescent="0.35">
      <c r="A662" t="s">
        <v>7</v>
      </c>
      <c r="B662" t="s">
        <v>4</v>
      </c>
      <c r="C662" t="s">
        <v>27</v>
      </c>
      <c r="D662">
        <v>0</v>
      </c>
    </row>
    <row r="663" spans="1:4" x14ac:dyDescent="0.35">
      <c r="A663" t="s">
        <v>8</v>
      </c>
      <c r="B663" t="s">
        <v>4</v>
      </c>
      <c r="C663" t="s">
        <v>27</v>
      </c>
      <c r="D663">
        <v>0</v>
      </c>
    </row>
    <row r="664" spans="1:4" x14ac:dyDescent="0.35">
      <c r="A664" t="s">
        <v>9</v>
      </c>
      <c r="B664" t="s">
        <v>4</v>
      </c>
      <c r="C664" t="s">
        <v>27</v>
      </c>
      <c r="D664">
        <v>0</v>
      </c>
    </row>
    <row r="665" spans="1:4" x14ac:dyDescent="0.35">
      <c r="A665" t="s">
        <v>10</v>
      </c>
      <c r="B665" t="s">
        <v>4</v>
      </c>
      <c r="C665" t="s">
        <v>27</v>
      </c>
      <c r="D665">
        <v>0</v>
      </c>
    </row>
    <row r="666" spans="1:4" x14ac:dyDescent="0.35">
      <c r="A666" t="s">
        <v>11</v>
      </c>
      <c r="B666" t="s">
        <v>4</v>
      </c>
      <c r="C666" t="s">
        <v>27</v>
      </c>
      <c r="D666">
        <v>0</v>
      </c>
    </row>
    <row r="667" spans="1:4" x14ac:dyDescent="0.35">
      <c r="A667" t="s">
        <v>12</v>
      </c>
      <c r="B667" t="s">
        <v>4</v>
      </c>
      <c r="C667" t="s">
        <v>27</v>
      </c>
      <c r="D667">
        <v>0</v>
      </c>
    </row>
    <row r="668" spans="1:4" x14ac:dyDescent="0.35">
      <c r="A668" t="s">
        <v>13</v>
      </c>
      <c r="B668" t="s">
        <v>4</v>
      </c>
      <c r="C668" t="s">
        <v>27</v>
      </c>
      <c r="D668">
        <v>0</v>
      </c>
    </row>
    <row r="669" spans="1:4" x14ac:dyDescent="0.35">
      <c r="A669" t="s">
        <v>14</v>
      </c>
      <c r="B669" t="s">
        <v>4</v>
      </c>
      <c r="C669" t="s">
        <v>27</v>
      </c>
      <c r="D669">
        <v>0</v>
      </c>
    </row>
    <row r="670" spans="1:4" x14ac:dyDescent="0.35">
      <c r="A670" t="s">
        <v>15</v>
      </c>
      <c r="B670" t="s">
        <v>4</v>
      </c>
      <c r="C670" t="s">
        <v>27</v>
      </c>
      <c r="D670">
        <v>0</v>
      </c>
    </row>
    <row r="671" spans="1:4" x14ac:dyDescent="0.35">
      <c r="A671" t="s">
        <v>16</v>
      </c>
      <c r="B671" t="s">
        <v>4</v>
      </c>
      <c r="C671" t="s">
        <v>27</v>
      </c>
      <c r="D671">
        <v>0</v>
      </c>
    </row>
    <row r="672" spans="1:4" x14ac:dyDescent="0.35">
      <c r="A672" t="s">
        <v>17</v>
      </c>
      <c r="B672" t="s">
        <v>4</v>
      </c>
      <c r="C672" t="s">
        <v>27</v>
      </c>
      <c r="D672">
        <v>0</v>
      </c>
    </row>
    <row r="673" spans="1:4" x14ac:dyDescent="0.35">
      <c r="A673" t="s">
        <v>18</v>
      </c>
      <c r="B673" t="s">
        <v>4</v>
      </c>
      <c r="C673" t="s">
        <v>27</v>
      </c>
      <c r="D673">
        <v>0</v>
      </c>
    </row>
    <row r="674" spans="1:4" x14ac:dyDescent="0.35">
      <c r="A674" t="s">
        <v>19</v>
      </c>
      <c r="B674" t="s">
        <v>4</v>
      </c>
      <c r="C674" t="s">
        <v>27</v>
      </c>
      <c r="D674">
        <v>0</v>
      </c>
    </row>
    <row r="675" spans="1:4" x14ac:dyDescent="0.35">
      <c r="A675" t="s">
        <v>20</v>
      </c>
      <c r="B675" t="s">
        <v>4</v>
      </c>
      <c r="C675" t="s">
        <v>27</v>
      </c>
      <c r="D675">
        <v>0</v>
      </c>
    </row>
    <row r="676" spans="1:4" x14ac:dyDescent="0.35">
      <c r="A676" t="s">
        <v>21</v>
      </c>
      <c r="B676" t="s">
        <v>4</v>
      </c>
      <c r="C676" t="s">
        <v>27</v>
      </c>
      <c r="D676">
        <v>0</v>
      </c>
    </row>
    <row r="677" spans="1:4" x14ac:dyDescent="0.35">
      <c r="A677" t="s">
        <v>22</v>
      </c>
      <c r="B677" t="s">
        <v>4</v>
      </c>
      <c r="C677" t="s">
        <v>27</v>
      </c>
      <c r="D677">
        <v>0</v>
      </c>
    </row>
    <row r="678" spans="1:4" x14ac:dyDescent="0.35">
      <c r="A678" t="s">
        <v>23</v>
      </c>
      <c r="B678" t="s">
        <v>4</v>
      </c>
      <c r="C678" t="s">
        <v>27</v>
      </c>
      <c r="D678">
        <v>0</v>
      </c>
    </row>
    <row r="679" spans="1:4" x14ac:dyDescent="0.35">
      <c r="A679" t="s">
        <v>24</v>
      </c>
      <c r="B679" t="s">
        <v>4</v>
      </c>
      <c r="C679" t="s">
        <v>27</v>
      </c>
      <c r="D679">
        <v>0</v>
      </c>
    </row>
    <row r="680" spans="1:4" x14ac:dyDescent="0.35">
      <c r="A680" t="s">
        <v>25</v>
      </c>
      <c r="B680" t="s">
        <v>4</v>
      </c>
      <c r="C680" t="s">
        <v>27</v>
      </c>
      <c r="D680">
        <v>0</v>
      </c>
    </row>
    <row r="681" spans="1:4" x14ac:dyDescent="0.35">
      <c r="A681" t="s">
        <v>26</v>
      </c>
      <c r="B681" t="s">
        <v>4</v>
      </c>
      <c r="C681" t="s">
        <v>27</v>
      </c>
      <c r="D681">
        <v>0</v>
      </c>
    </row>
    <row r="682" spans="1:4" x14ac:dyDescent="0.35">
      <c r="A682" t="s">
        <v>27</v>
      </c>
      <c r="B682" t="s">
        <v>4</v>
      </c>
      <c r="C682" t="s">
        <v>27</v>
      </c>
      <c r="D682">
        <v>0</v>
      </c>
    </row>
    <row r="683" spans="1:4" x14ac:dyDescent="0.35">
      <c r="A683" t="s">
        <v>28</v>
      </c>
      <c r="B683" t="s">
        <v>4</v>
      </c>
      <c r="C683" t="s">
        <v>27</v>
      </c>
      <c r="D683">
        <v>0</v>
      </c>
    </row>
    <row r="684" spans="1:4" x14ac:dyDescent="0.35">
      <c r="A684" t="s">
        <v>29</v>
      </c>
      <c r="B684" t="s">
        <v>4</v>
      </c>
      <c r="C684" t="s">
        <v>27</v>
      </c>
      <c r="D684">
        <v>0</v>
      </c>
    </row>
    <row r="685" spans="1:4" x14ac:dyDescent="0.35">
      <c r="A685" t="s">
        <v>30</v>
      </c>
      <c r="B685" t="s">
        <v>4</v>
      </c>
      <c r="C685" t="s">
        <v>27</v>
      </c>
      <c r="D685">
        <v>0</v>
      </c>
    </row>
    <row r="686" spans="1:4" x14ac:dyDescent="0.35">
      <c r="A686" t="s">
        <v>31</v>
      </c>
      <c r="B686" t="s">
        <v>4</v>
      </c>
      <c r="C686" t="s">
        <v>27</v>
      </c>
      <c r="D686">
        <v>0</v>
      </c>
    </row>
    <row r="687" spans="1:4" x14ac:dyDescent="0.35">
      <c r="A687" t="s">
        <v>32</v>
      </c>
      <c r="B687" t="s">
        <v>4</v>
      </c>
      <c r="C687" t="s">
        <v>27</v>
      </c>
      <c r="D687">
        <v>0</v>
      </c>
    </row>
    <row r="688" spans="1:4" x14ac:dyDescent="0.35">
      <c r="A688" t="s">
        <v>33</v>
      </c>
      <c r="B688" t="s">
        <v>4</v>
      </c>
      <c r="C688" t="s">
        <v>27</v>
      </c>
      <c r="D688">
        <v>0</v>
      </c>
    </row>
    <row r="689" spans="1:4" x14ac:dyDescent="0.35">
      <c r="A689" t="s">
        <v>34</v>
      </c>
      <c r="B689" t="s">
        <v>4</v>
      </c>
      <c r="C689" t="s">
        <v>27</v>
      </c>
      <c r="D689">
        <v>0</v>
      </c>
    </row>
    <row r="690" spans="1:4" x14ac:dyDescent="0.35">
      <c r="A690" t="s">
        <v>35</v>
      </c>
      <c r="B690" t="s">
        <v>4</v>
      </c>
      <c r="C690" t="s">
        <v>27</v>
      </c>
      <c r="D690">
        <v>0</v>
      </c>
    </row>
    <row r="691" spans="1:4" x14ac:dyDescent="0.35">
      <c r="A691" t="s">
        <v>36</v>
      </c>
      <c r="B691" t="s">
        <v>4</v>
      </c>
      <c r="C691" t="s">
        <v>27</v>
      </c>
      <c r="D691">
        <v>0</v>
      </c>
    </row>
    <row r="692" spans="1:4" x14ac:dyDescent="0.35">
      <c r="A692" t="s">
        <v>37</v>
      </c>
      <c r="B692" t="s">
        <v>4</v>
      </c>
      <c r="C692" t="s">
        <v>27</v>
      </c>
      <c r="D692">
        <v>0</v>
      </c>
    </row>
    <row r="693" spans="1:4" x14ac:dyDescent="0.35">
      <c r="A693" t="s">
        <v>38</v>
      </c>
      <c r="B693" t="s">
        <v>4</v>
      </c>
      <c r="C693" t="s">
        <v>27</v>
      </c>
      <c r="D693">
        <v>0</v>
      </c>
    </row>
    <row r="694" spans="1:4" x14ac:dyDescent="0.35">
      <c r="A694" t="s">
        <v>39</v>
      </c>
      <c r="B694" t="s">
        <v>4</v>
      </c>
      <c r="C694" t="s">
        <v>27</v>
      </c>
      <c r="D694">
        <v>0</v>
      </c>
    </row>
    <row r="695" spans="1:4" x14ac:dyDescent="0.35">
      <c r="A695" t="s">
        <v>7</v>
      </c>
      <c r="B695" t="s">
        <v>4</v>
      </c>
      <c r="C695" t="s">
        <v>28</v>
      </c>
      <c r="D695">
        <v>0</v>
      </c>
    </row>
    <row r="696" spans="1:4" x14ac:dyDescent="0.35">
      <c r="A696" t="s">
        <v>8</v>
      </c>
      <c r="B696" t="s">
        <v>4</v>
      </c>
      <c r="C696" t="s">
        <v>28</v>
      </c>
      <c r="D696">
        <v>0</v>
      </c>
    </row>
    <row r="697" spans="1:4" x14ac:dyDescent="0.35">
      <c r="A697" t="s">
        <v>9</v>
      </c>
      <c r="B697" t="s">
        <v>4</v>
      </c>
      <c r="C697" t="s">
        <v>28</v>
      </c>
      <c r="D697">
        <v>0</v>
      </c>
    </row>
    <row r="698" spans="1:4" x14ac:dyDescent="0.35">
      <c r="A698" t="s">
        <v>10</v>
      </c>
      <c r="B698" t="s">
        <v>4</v>
      </c>
      <c r="C698" t="s">
        <v>28</v>
      </c>
      <c r="D698">
        <v>0</v>
      </c>
    </row>
    <row r="699" spans="1:4" x14ac:dyDescent="0.35">
      <c r="A699" t="s">
        <v>11</v>
      </c>
      <c r="B699" t="s">
        <v>4</v>
      </c>
      <c r="C699" t="s">
        <v>28</v>
      </c>
      <c r="D699">
        <v>0</v>
      </c>
    </row>
    <row r="700" spans="1:4" x14ac:dyDescent="0.35">
      <c r="A700" t="s">
        <v>12</v>
      </c>
      <c r="B700" t="s">
        <v>4</v>
      </c>
      <c r="C700" t="s">
        <v>28</v>
      </c>
      <c r="D700">
        <v>0</v>
      </c>
    </row>
    <row r="701" spans="1:4" x14ac:dyDescent="0.35">
      <c r="A701" t="s">
        <v>13</v>
      </c>
      <c r="B701" t="s">
        <v>4</v>
      </c>
      <c r="C701" t="s">
        <v>28</v>
      </c>
      <c r="D701">
        <v>0</v>
      </c>
    </row>
    <row r="702" spans="1:4" x14ac:dyDescent="0.35">
      <c r="A702" t="s">
        <v>14</v>
      </c>
      <c r="B702" t="s">
        <v>4</v>
      </c>
      <c r="C702" t="s">
        <v>28</v>
      </c>
      <c r="D702">
        <v>0</v>
      </c>
    </row>
    <row r="703" spans="1:4" x14ac:dyDescent="0.35">
      <c r="A703" t="s">
        <v>15</v>
      </c>
      <c r="B703" t="s">
        <v>4</v>
      </c>
      <c r="C703" t="s">
        <v>28</v>
      </c>
      <c r="D703">
        <v>0</v>
      </c>
    </row>
    <row r="704" spans="1:4" x14ac:dyDescent="0.35">
      <c r="A704" t="s">
        <v>16</v>
      </c>
      <c r="B704" t="s">
        <v>4</v>
      </c>
      <c r="C704" t="s">
        <v>28</v>
      </c>
      <c r="D704">
        <v>0</v>
      </c>
    </row>
    <row r="705" spans="1:4" x14ac:dyDescent="0.35">
      <c r="A705" t="s">
        <v>17</v>
      </c>
      <c r="B705" t="s">
        <v>4</v>
      </c>
      <c r="C705" t="s">
        <v>28</v>
      </c>
      <c r="D705">
        <v>0</v>
      </c>
    </row>
    <row r="706" spans="1:4" x14ac:dyDescent="0.35">
      <c r="A706" t="s">
        <v>18</v>
      </c>
      <c r="B706" t="s">
        <v>4</v>
      </c>
      <c r="C706" t="s">
        <v>28</v>
      </c>
      <c r="D706">
        <v>0</v>
      </c>
    </row>
    <row r="707" spans="1:4" x14ac:dyDescent="0.35">
      <c r="A707" t="s">
        <v>19</v>
      </c>
      <c r="B707" t="s">
        <v>4</v>
      </c>
      <c r="C707" t="s">
        <v>28</v>
      </c>
      <c r="D707">
        <v>0</v>
      </c>
    </row>
    <row r="708" spans="1:4" x14ac:dyDescent="0.35">
      <c r="A708" t="s">
        <v>20</v>
      </c>
      <c r="B708" t="s">
        <v>4</v>
      </c>
      <c r="C708" t="s">
        <v>28</v>
      </c>
      <c r="D708">
        <v>0</v>
      </c>
    </row>
    <row r="709" spans="1:4" x14ac:dyDescent="0.35">
      <c r="A709" t="s">
        <v>21</v>
      </c>
      <c r="B709" t="s">
        <v>4</v>
      </c>
      <c r="C709" t="s">
        <v>28</v>
      </c>
      <c r="D709">
        <v>0</v>
      </c>
    </row>
    <row r="710" spans="1:4" x14ac:dyDescent="0.35">
      <c r="A710" t="s">
        <v>22</v>
      </c>
      <c r="B710" t="s">
        <v>4</v>
      </c>
      <c r="C710" t="s">
        <v>28</v>
      </c>
      <c r="D710">
        <v>0</v>
      </c>
    </row>
    <row r="711" spans="1:4" x14ac:dyDescent="0.35">
      <c r="A711" t="s">
        <v>23</v>
      </c>
      <c r="B711" t="s">
        <v>4</v>
      </c>
      <c r="C711" t="s">
        <v>28</v>
      </c>
      <c r="D711">
        <v>0</v>
      </c>
    </row>
    <row r="712" spans="1:4" x14ac:dyDescent="0.35">
      <c r="A712" t="s">
        <v>24</v>
      </c>
      <c r="B712" t="s">
        <v>4</v>
      </c>
      <c r="C712" t="s">
        <v>28</v>
      </c>
      <c r="D712">
        <v>0</v>
      </c>
    </row>
    <row r="713" spans="1:4" x14ac:dyDescent="0.35">
      <c r="A713" t="s">
        <v>25</v>
      </c>
      <c r="B713" t="s">
        <v>4</v>
      </c>
      <c r="C713" t="s">
        <v>28</v>
      </c>
      <c r="D713">
        <v>0</v>
      </c>
    </row>
    <row r="714" spans="1:4" x14ac:dyDescent="0.35">
      <c r="A714" t="s">
        <v>26</v>
      </c>
      <c r="B714" t="s">
        <v>4</v>
      </c>
      <c r="C714" t="s">
        <v>28</v>
      </c>
      <c r="D714">
        <v>0</v>
      </c>
    </row>
    <row r="715" spans="1:4" x14ac:dyDescent="0.35">
      <c r="A715" t="s">
        <v>27</v>
      </c>
      <c r="B715" t="s">
        <v>4</v>
      </c>
      <c r="C715" t="s">
        <v>28</v>
      </c>
      <c r="D715">
        <v>0</v>
      </c>
    </row>
    <row r="716" spans="1:4" x14ac:dyDescent="0.35">
      <c r="A716" t="s">
        <v>28</v>
      </c>
      <c r="B716" t="s">
        <v>4</v>
      </c>
      <c r="C716" t="s">
        <v>28</v>
      </c>
      <c r="D716">
        <v>0</v>
      </c>
    </row>
    <row r="717" spans="1:4" x14ac:dyDescent="0.35">
      <c r="A717" t="s">
        <v>29</v>
      </c>
      <c r="B717" t="s">
        <v>4</v>
      </c>
      <c r="C717" t="s">
        <v>28</v>
      </c>
      <c r="D717">
        <v>0</v>
      </c>
    </row>
    <row r="718" spans="1:4" x14ac:dyDescent="0.35">
      <c r="A718" t="s">
        <v>30</v>
      </c>
      <c r="B718" t="s">
        <v>4</v>
      </c>
      <c r="C718" t="s">
        <v>28</v>
      </c>
      <c r="D718">
        <v>0</v>
      </c>
    </row>
    <row r="719" spans="1:4" x14ac:dyDescent="0.35">
      <c r="A719" t="s">
        <v>31</v>
      </c>
      <c r="B719" t="s">
        <v>4</v>
      </c>
      <c r="C719" t="s">
        <v>28</v>
      </c>
      <c r="D719">
        <v>0</v>
      </c>
    </row>
    <row r="720" spans="1:4" x14ac:dyDescent="0.35">
      <c r="A720" t="s">
        <v>32</v>
      </c>
      <c r="B720" t="s">
        <v>4</v>
      </c>
      <c r="C720" t="s">
        <v>28</v>
      </c>
      <c r="D720">
        <v>0</v>
      </c>
    </row>
    <row r="721" spans="1:4" x14ac:dyDescent="0.35">
      <c r="A721" t="s">
        <v>33</v>
      </c>
      <c r="B721" t="s">
        <v>4</v>
      </c>
      <c r="C721" t="s">
        <v>28</v>
      </c>
      <c r="D721">
        <v>0</v>
      </c>
    </row>
    <row r="722" spans="1:4" x14ac:dyDescent="0.35">
      <c r="A722" t="s">
        <v>34</v>
      </c>
      <c r="B722" t="s">
        <v>4</v>
      </c>
      <c r="C722" t="s">
        <v>28</v>
      </c>
      <c r="D722">
        <v>0</v>
      </c>
    </row>
    <row r="723" spans="1:4" x14ac:dyDescent="0.35">
      <c r="A723" t="s">
        <v>35</v>
      </c>
      <c r="B723" t="s">
        <v>4</v>
      </c>
      <c r="C723" t="s">
        <v>28</v>
      </c>
      <c r="D723">
        <v>0</v>
      </c>
    </row>
    <row r="724" spans="1:4" x14ac:dyDescent="0.35">
      <c r="A724" t="s">
        <v>36</v>
      </c>
      <c r="B724" t="s">
        <v>4</v>
      </c>
      <c r="C724" t="s">
        <v>28</v>
      </c>
      <c r="D724">
        <v>0</v>
      </c>
    </row>
    <row r="725" spans="1:4" x14ac:dyDescent="0.35">
      <c r="A725" t="s">
        <v>37</v>
      </c>
      <c r="B725" t="s">
        <v>4</v>
      </c>
      <c r="C725" t="s">
        <v>28</v>
      </c>
      <c r="D725">
        <v>0</v>
      </c>
    </row>
    <row r="726" spans="1:4" x14ac:dyDescent="0.35">
      <c r="A726" t="s">
        <v>38</v>
      </c>
      <c r="B726" t="s">
        <v>4</v>
      </c>
      <c r="C726" t="s">
        <v>28</v>
      </c>
      <c r="D726">
        <v>0</v>
      </c>
    </row>
    <row r="727" spans="1:4" x14ac:dyDescent="0.35">
      <c r="A727" t="s">
        <v>39</v>
      </c>
      <c r="B727" t="s">
        <v>4</v>
      </c>
      <c r="C727" t="s">
        <v>28</v>
      </c>
      <c r="D727">
        <v>0</v>
      </c>
    </row>
    <row r="728" spans="1:4" x14ac:dyDescent="0.35">
      <c r="A728" t="s">
        <v>7</v>
      </c>
      <c r="B728" t="s">
        <v>4</v>
      </c>
      <c r="C728" t="s">
        <v>29</v>
      </c>
      <c r="D728">
        <v>0</v>
      </c>
    </row>
    <row r="729" spans="1:4" x14ac:dyDescent="0.35">
      <c r="A729" t="s">
        <v>8</v>
      </c>
      <c r="B729" t="s">
        <v>4</v>
      </c>
      <c r="C729" t="s">
        <v>29</v>
      </c>
      <c r="D729">
        <v>0</v>
      </c>
    </row>
    <row r="730" spans="1:4" x14ac:dyDescent="0.35">
      <c r="A730" t="s">
        <v>9</v>
      </c>
      <c r="B730" t="s">
        <v>4</v>
      </c>
      <c r="C730" t="s">
        <v>29</v>
      </c>
      <c r="D730">
        <v>0</v>
      </c>
    </row>
    <row r="731" spans="1:4" x14ac:dyDescent="0.35">
      <c r="A731" t="s">
        <v>10</v>
      </c>
      <c r="B731" t="s">
        <v>4</v>
      </c>
      <c r="C731" t="s">
        <v>29</v>
      </c>
      <c r="D731">
        <v>0</v>
      </c>
    </row>
    <row r="732" spans="1:4" x14ac:dyDescent="0.35">
      <c r="A732" t="s">
        <v>11</v>
      </c>
      <c r="B732" t="s">
        <v>4</v>
      </c>
      <c r="C732" t="s">
        <v>29</v>
      </c>
      <c r="D732">
        <v>0</v>
      </c>
    </row>
    <row r="733" spans="1:4" x14ac:dyDescent="0.35">
      <c r="A733" t="s">
        <v>12</v>
      </c>
      <c r="B733" t="s">
        <v>4</v>
      </c>
      <c r="C733" t="s">
        <v>29</v>
      </c>
      <c r="D733">
        <v>0</v>
      </c>
    </row>
    <row r="734" spans="1:4" x14ac:dyDescent="0.35">
      <c r="A734" t="s">
        <v>13</v>
      </c>
      <c r="B734" t="s">
        <v>4</v>
      </c>
      <c r="C734" t="s">
        <v>29</v>
      </c>
      <c r="D734">
        <v>0</v>
      </c>
    </row>
    <row r="735" spans="1:4" x14ac:dyDescent="0.35">
      <c r="A735" t="s">
        <v>14</v>
      </c>
      <c r="B735" t="s">
        <v>4</v>
      </c>
      <c r="C735" t="s">
        <v>29</v>
      </c>
      <c r="D735">
        <v>0</v>
      </c>
    </row>
    <row r="736" spans="1:4" x14ac:dyDescent="0.35">
      <c r="A736" t="s">
        <v>15</v>
      </c>
      <c r="B736" t="s">
        <v>4</v>
      </c>
      <c r="C736" t="s">
        <v>29</v>
      </c>
      <c r="D736">
        <v>0</v>
      </c>
    </row>
    <row r="737" spans="1:4" x14ac:dyDescent="0.35">
      <c r="A737" t="s">
        <v>16</v>
      </c>
      <c r="B737" t="s">
        <v>4</v>
      </c>
      <c r="C737" t="s">
        <v>29</v>
      </c>
      <c r="D737">
        <v>0</v>
      </c>
    </row>
    <row r="738" spans="1:4" x14ac:dyDescent="0.35">
      <c r="A738" t="s">
        <v>17</v>
      </c>
      <c r="B738" t="s">
        <v>4</v>
      </c>
      <c r="C738" t="s">
        <v>29</v>
      </c>
      <c r="D738">
        <v>0</v>
      </c>
    </row>
    <row r="739" spans="1:4" x14ac:dyDescent="0.35">
      <c r="A739" t="s">
        <v>18</v>
      </c>
      <c r="B739" t="s">
        <v>4</v>
      </c>
      <c r="C739" t="s">
        <v>29</v>
      </c>
      <c r="D739">
        <v>0</v>
      </c>
    </row>
    <row r="740" spans="1:4" x14ac:dyDescent="0.35">
      <c r="A740" t="s">
        <v>19</v>
      </c>
      <c r="B740" t="s">
        <v>4</v>
      </c>
      <c r="C740" t="s">
        <v>29</v>
      </c>
      <c r="D740">
        <v>0</v>
      </c>
    </row>
    <row r="741" spans="1:4" x14ac:dyDescent="0.35">
      <c r="A741" t="s">
        <v>20</v>
      </c>
      <c r="B741" t="s">
        <v>4</v>
      </c>
      <c r="C741" t="s">
        <v>29</v>
      </c>
      <c r="D741">
        <v>0</v>
      </c>
    </row>
    <row r="742" spans="1:4" x14ac:dyDescent="0.35">
      <c r="A742" t="s">
        <v>21</v>
      </c>
      <c r="B742" t="s">
        <v>4</v>
      </c>
      <c r="C742" t="s">
        <v>29</v>
      </c>
      <c r="D742">
        <v>0</v>
      </c>
    </row>
    <row r="743" spans="1:4" x14ac:dyDescent="0.35">
      <c r="A743" t="s">
        <v>22</v>
      </c>
      <c r="B743" t="s">
        <v>4</v>
      </c>
      <c r="C743" t="s">
        <v>29</v>
      </c>
      <c r="D743">
        <v>0</v>
      </c>
    </row>
    <row r="744" spans="1:4" x14ac:dyDescent="0.35">
      <c r="A744" t="s">
        <v>23</v>
      </c>
      <c r="B744" t="s">
        <v>4</v>
      </c>
      <c r="C744" t="s">
        <v>29</v>
      </c>
      <c r="D744">
        <v>0</v>
      </c>
    </row>
    <row r="745" spans="1:4" x14ac:dyDescent="0.35">
      <c r="A745" t="s">
        <v>24</v>
      </c>
      <c r="B745" t="s">
        <v>4</v>
      </c>
      <c r="C745" t="s">
        <v>29</v>
      </c>
      <c r="D745">
        <v>0</v>
      </c>
    </row>
    <row r="746" spans="1:4" x14ac:dyDescent="0.35">
      <c r="A746" t="s">
        <v>25</v>
      </c>
      <c r="B746" t="s">
        <v>4</v>
      </c>
      <c r="C746" t="s">
        <v>29</v>
      </c>
      <c r="D746">
        <v>0</v>
      </c>
    </row>
    <row r="747" spans="1:4" x14ac:dyDescent="0.35">
      <c r="A747" t="s">
        <v>26</v>
      </c>
      <c r="B747" t="s">
        <v>4</v>
      </c>
      <c r="C747" t="s">
        <v>29</v>
      </c>
      <c r="D747">
        <v>0</v>
      </c>
    </row>
    <row r="748" spans="1:4" x14ac:dyDescent="0.35">
      <c r="A748" t="s">
        <v>27</v>
      </c>
      <c r="B748" t="s">
        <v>4</v>
      </c>
      <c r="C748" t="s">
        <v>29</v>
      </c>
      <c r="D748">
        <v>0</v>
      </c>
    </row>
    <row r="749" spans="1:4" x14ac:dyDescent="0.35">
      <c r="A749" t="s">
        <v>28</v>
      </c>
      <c r="B749" t="s">
        <v>4</v>
      </c>
      <c r="C749" t="s">
        <v>29</v>
      </c>
      <c r="D749">
        <v>0</v>
      </c>
    </row>
    <row r="750" spans="1:4" x14ac:dyDescent="0.35">
      <c r="A750" t="s">
        <v>29</v>
      </c>
      <c r="B750" t="s">
        <v>4</v>
      </c>
      <c r="C750" t="s">
        <v>29</v>
      </c>
      <c r="D750">
        <v>0</v>
      </c>
    </row>
    <row r="751" spans="1:4" x14ac:dyDescent="0.35">
      <c r="A751" t="s">
        <v>30</v>
      </c>
      <c r="B751" t="s">
        <v>4</v>
      </c>
      <c r="C751" t="s">
        <v>29</v>
      </c>
      <c r="D751">
        <v>0</v>
      </c>
    </row>
    <row r="752" spans="1:4" x14ac:dyDescent="0.35">
      <c r="A752" t="s">
        <v>31</v>
      </c>
      <c r="B752" t="s">
        <v>4</v>
      </c>
      <c r="C752" t="s">
        <v>29</v>
      </c>
      <c r="D752">
        <v>0</v>
      </c>
    </row>
    <row r="753" spans="1:4" x14ac:dyDescent="0.35">
      <c r="A753" t="s">
        <v>32</v>
      </c>
      <c r="B753" t="s">
        <v>4</v>
      </c>
      <c r="C753" t="s">
        <v>29</v>
      </c>
      <c r="D753">
        <v>0</v>
      </c>
    </row>
    <row r="754" spans="1:4" x14ac:dyDescent="0.35">
      <c r="A754" t="s">
        <v>33</v>
      </c>
      <c r="B754" t="s">
        <v>4</v>
      </c>
      <c r="C754" t="s">
        <v>29</v>
      </c>
      <c r="D754">
        <v>0</v>
      </c>
    </row>
    <row r="755" spans="1:4" x14ac:dyDescent="0.35">
      <c r="A755" t="s">
        <v>34</v>
      </c>
      <c r="B755" t="s">
        <v>4</v>
      </c>
      <c r="C755" t="s">
        <v>29</v>
      </c>
      <c r="D755">
        <v>0</v>
      </c>
    </row>
    <row r="756" spans="1:4" x14ac:dyDescent="0.35">
      <c r="A756" t="s">
        <v>35</v>
      </c>
      <c r="B756" t="s">
        <v>4</v>
      </c>
      <c r="C756" t="s">
        <v>29</v>
      </c>
      <c r="D756">
        <v>0</v>
      </c>
    </row>
    <row r="757" spans="1:4" x14ac:dyDescent="0.35">
      <c r="A757" t="s">
        <v>36</v>
      </c>
      <c r="B757" t="s">
        <v>4</v>
      </c>
      <c r="C757" t="s">
        <v>29</v>
      </c>
      <c r="D757">
        <v>0</v>
      </c>
    </row>
    <row r="758" spans="1:4" x14ac:dyDescent="0.35">
      <c r="A758" t="s">
        <v>37</v>
      </c>
      <c r="B758" t="s">
        <v>4</v>
      </c>
      <c r="C758" t="s">
        <v>29</v>
      </c>
      <c r="D758">
        <v>0</v>
      </c>
    </row>
    <row r="759" spans="1:4" x14ac:dyDescent="0.35">
      <c r="A759" t="s">
        <v>38</v>
      </c>
      <c r="B759" t="s">
        <v>4</v>
      </c>
      <c r="C759" t="s">
        <v>29</v>
      </c>
      <c r="D759">
        <v>0</v>
      </c>
    </row>
    <row r="760" spans="1:4" x14ac:dyDescent="0.35">
      <c r="A760" t="s">
        <v>39</v>
      </c>
      <c r="B760" t="s">
        <v>4</v>
      </c>
      <c r="C760" t="s">
        <v>29</v>
      </c>
      <c r="D760">
        <v>0</v>
      </c>
    </row>
    <row r="761" spans="1:4" x14ac:dyDescent="0.35">
      <c r="A761" t="s">
        <v>7</v>
      </c>
      <c r="B761" t="s">
        <v>4</v>
      </c>
      <c r="C761" t="s">
        <v>30</v>
      </c>
      <c r="D761">
        <v>0</v>
      </c>
    </row>
    <row r="762" spans="1:4" x14ac:dyDescent="0.35">
      <c r="A762" t="s">
        <v>8</v>
      </c>
      <c r="B762" t="s">
        <v>4</v>
      </c>
      <c r="C762" t="s">
        <v>30</v>
      </c>
      <c r="D762">
        <v>0</v>
      </c>
    </row>
    <row r="763" spans="1:4" x14ac:dyDescent="0.35">
      <c r="A763" t="s">
        <v>9</v>
      </c>
      <c r="B763" t="s">
        <v>4</v>
      </c>
      <c r="C763" t="s">
        <v>30</v>
      </c>
      <c r="D763">
        <v>0</v>
      </c>
    </row>
    <row r="764" spans="1:4" x14ac:dyDescent="0.35">
      <c r="A764" t="s">
        <v>10</v>
      </c>
      <c r="B764" t="s">
        <v>4</v>
      </c>
      <c r="C764" t="s">
        <v>30</v>
      </c>
      <c r="D764">
        <v>0</v>
      </c>
    </row>
    <row r="765" spans="1:4" x14ac:dyDescent="0.35">
      <c r="A765" t="s">
        <v>11</v>
      </c>
      <c r="B765" t="s">
        <v>4</v>
      </c>
      <c r="C765" t="s">
        <v>30</v>
      </c>
      <c r="D765">
        <v>0</v>
      </c>
    </row>
    <row r="766" spans="1:4" x14ac:dyDescent="0.35">
      <c r="A766" t="s">
        <v>12</v>
      </c>
      <c r="B766" t="s">
        <v>4</v>
      </c>
      <c r="C766" t="s">
        <v>30</v>
      </c>
      <c r="D766">
        <v>0</v>
      </c>
    </row>
    <row r="767" spans="1:4" x14ac:dyDescent="0.35">
      <c r="A767" t="s">
        <v>13</v>
      </c>
      <c r="B767" t="s">
        <v>4</v>
      </c>
      <c r="C767" t="s">
        <v>30</v>
      </c>
      <c r="D767">
        <v>0</v>
      </c>
    </row>
    <row r="768" spans="1:4" x14ac:dyDescent="0.35">
      <c r="A768" t="s">
        <v>14</v>
      </c>
      <c r="B768" t="s">
        <v>4</v>
      </c>
      <c r="C768" t="s">
        <v>30</v>
      </c>
      <c r="D768">
        <v>0</v>
      </c>
    </row>
    <row r="769" spans="1:4" x14ac:dyDescent="0.35">
      <c r="A769" t="s">
        <v>15</v>
      </c>
      <c r="B769" t="s">
        <v>4</v>
      </c>
      <c r="C769" t="s">
        <v>30</v>
      </c>
      <c r="D769">
        <v>0</v>
      </c>
    </row>
    <row r="770" spans="1:4" x14ac:dyDescent="0.35">
      <c r="A770" t="s">
        <v>16</v>
      </c>
      <c r="B770" t="s">
        <v>4</v>
      </c>
      <c r="C770" t="s">
        <v>30</v>
      </c>
      <c r="D770">
        <v>0</v>
      </c>
    </row>
    <row r="771" spans="1:4" x14ac:dyDescent="0.35">
      <c r="A771" t="s">
        <v>17</v>
      </c>
      <c r="B771" t="s">
        <v>4</v>
      </c>
      <c r="C771" t="s">
        <v>30</v>
      </c>
      <c r="D771">
        <v>0</v>
      </c>
    </row>
    <row r="772" spans="1:4" x14ac:dyDescent="0.35">
      <c r="A772" t="s">
        <v>18</v>
      </c>
      <c r="B772" t="s">
        <v>4</v>
      </c>
      <c r="C772" t="s">
        <v>30</v>
      </c>
      <c r="D772">
        <v>0</v>
      </c>
    </row>
    <row r="773" spans="1:4" x14ac:dyDescent="0.35">
      <c r="A773" t="s">
        <v>19</v>
      </c>
      <c r="B773" t="s">
        <v>4</v>
      </c>
      <c r="C773" t="s">
        <v>30</v>
      </c>
      <c r="D773">
        <v>0</v>
      </c>
    </row>
    <row r="774" spans="1:4" x14ac:dyDescent="0.35">
      <c r="A774" t="s">
        <v>20</v>
      </c>
      <c r="B774" t="s">
        <v>4</v>
      </c>
      <c r="C774" t="s">
        <v>30</v>
      </c>
      <c r="D774">
        <v>0</v>
      </c>
    </row>
    <row r="775" spans="1:4" x14ac:dyDescent="0.35">
      <c r="A775" t="s">
        <v>21</v>
      </c>
      <c r="B775" t="s">
        <v>4</v>
      </c>
      <c r="C775" t="s">
        <v>30</v>
      </c>
      <c r="D775">
        <v>0</v>
      </c>
    </row>
    <row r="776" spans="1:4" x14ac:dyDescent="0.35">
      <c r="A776" t="s">
        <v>22</v>
      </c>
      <c r="B776" t="s">
        <v>4</v>
      </c>
      <c r="C776" t="s">
        <v>30</v>
      </c>
      <c r="D776">
        <v>0</v>
      </c>
    </row>
    <row r="777" spans="1:4" x14ac:dyDescent="0.35">
      <c r="A777" t="s">
        <v>23</v>
      </c>
      <c r="B777" t="s">
        <v>4</v>
      </c>
      <c r="C777" t="s">
        <v>30</v>
      </c>
      <c r="D777">
        <v>0</v>
      </c>
    </row>
    <row r="778" spans="1:4" x14ac:dyDescent="0.35">
      <c r="A778" t="s">
        <v>24</v>
      </c>
      <c r="B778" t="s">
        <v>4</v>
      </c>
      <c r="C778" t="s">
        <v>30</v>
      </c>
      <c r="D778">
        <v>0</v>
      </c>
    </row>
    <row r="779" spans="1:4" x14ac:dyDescent="0.35">
      <c r="A779" t="s">
        <v>25</v>
      </c>
      <c r="B779" t="s">
        <v>4</v>
      </c>
      <c r="C779" t="s">
        <v>30</v>
      </c>
      <c r="D779">
        <v>0</v>
      </c>
    </row>
    <row r="780" spans="1:4" x14ac:dyDescent="0.35">
      <c r="A780" t="s">
        <v>26</v>
      </c>
      <c r="B780" t="s">
        <v>4</v>
      </c>
      <c r="C780" t="s">
        <v>30</v>
      </c>
      <c r="D780">
        <v>0</v>
      </c>
    </row>
    <row r="781" spans="1:4" x14ac:dyDescent="0.35">
      <c r="A781" t="s">
        <v>27</v>
      </c>
      <c r="B781" t="s">
        <v>4</v>
      </c>
      <c r="C781" t="s">
        <v>30</v>
      </c>
      <c r="D781">
        <v>0</v>
      </c>
    </row>
    <row r="782" spans="1:4" x14ac:dyDescent="0.35">
      <c r="A782" t="s">
        <v>28</v>
      </c>
      <c r="B782" t="s">
        <v>4</v>
      </c>
      <c r="C782" t="s">
        <v>30</v>
      </c>
      <c r="D782">
        <v>0</v>
      </c>
    </row>
    <row r="783" spans="1:4" x14ac:dyDescent="0.35">
      <c r="A783" t="s">
        <v>29</v>
      </c>
      <c r="B783" t="s">
        <v>4</v>
      </c>
      <c r="C783" t="s">
        <v>30</v>
      </c>
      <c r="D783">
        <v>0</v>
      </c>
    </row>
    <row r="784" spans="1:4" x14ac:dyDescent="0.35">
      <c r="A784" t="s">
        <v>30</v>
      </c>
      <c r="B784" t="s">
        <v>4</v>
      </c>
      <c r="C784" t="s">
        <v>30</v>
      </c>
      <c r="D784">
        <v>0</v>
      </c>
    </row>
    <row r="785" spans="1:4" x14ac:dyDescent="0.35">
      <c r="A785" t="s">
        <v>31</v>
      </c>
      <c r="B785" t="s">
        <v>4</v>
      </c>
      <c r="C785" t="s">
        <v>30</v>
      </c>
      <c r="D785">
        <v>0</v>
      </c>
    </row>
    <row r="786" spans="1:4" x14ac:dyDescent="0.35">
      <c r="A786" t="s">
        <v>32</v>
      </c>
      <c r="B786" t="s">
        <v>4</v>
      </c>
      <c r="C786" t="s">
        <v>30</v>
      </c>
      <c r="D786">
        <v>0</v>
      </c>
    </row>
    <row r="787" spans="1:4" x14ac:dyDescent="0.35">
      <c r="A787" t="s">
        <v>33</v>
      </c>
      <c r="B787" t="s">
        <v>4</v>
      </c>
      <c r="C787" t="s">
        <v>30</v>
      </c>
      <c r="D787">
        <v>0</v>
      </c>
    </row>
    <row r="788" spans="1:4" x14ac:dyDescent="0.35">
      <c r="A788" t="s">
        <v>34</v>
      </c>
      <c r="B788" t="s">
        <v>4</v>
      </c>
      <c r="C788" t="s">
        <v>30</v>
      </c>
      <c r="D788">
        <v>0</v>
      </c>
    </row>
    <row r="789" spans="1:4" x14ac:dyDescent="0.35">
      <c r="A789" t="s">
        <v>35</v>
      </c>
      <c r="B789" t="s">
        <v>4</v>
      </c>
      <c r="C789" t="s">
        <v>30</v>
      </c>
      <c r="D789">
        <v>0</v>
      </c>
    </row>
    <row r="790" spans="1:4" x14ac:dyDescent="0.35">
      <c r="A790" t="s">
        <v>36</v>
      </c>
      <c r="B790" t="s">
        <v>4</v>
      </c>
      <c r="C790" t="s">
        <v>30</v>
      </c>
      <c r="D790">
        <v>0</v>
      </c>
    </row>
    <row r="791" spans="1:4" x14ac:dyDescent="0.35">
      <c r="A791" t="s">
        <v>37</v>
      </c>
      <c r="B791" t="s">
        <v>4</v>
      </c>
      <c r="C791" t="s">
        <v>30</v>
      </c>
      <c r="D791">
        <v>0</v>
      </c>
    </row>
    <row r="792" spans="1:4" x14ac:dyDescent="0.35">
      <c r="A792" t="s">
        <v>38</v>
      </c>
      <c r="B792" t="s">
        <v>4</v>
      </c>
      <c r="C792" t="s">
        <v>30</v>
      </c>
      <c r="D792">
        <v>0</v>
      </c>
    </row>
    <row r="793" spans="1:4" x14ac:dyDescent="0.35">
      <c r="A793" t="s">
        <v>39</v>
      </c>
      <c r="B793" t="s">
        <v>4</v>
      </c>
      <c r="C793" t="s">
        <v>30</v>
      </c>
      <c r="D793">
        <v>0</v>
      </c>
    </row>
    <row r="794" spans="1:4" x14ac:dyDescent="0.35">
      <c r="A794" t="s">
        <v>7</v>
      </c>
      <c r="B794" t="s">
        <v>4</v>
      </c>
      <c r="C794" t="s">
        <v>31</v>
      </c>
      <c r="D794">
        <v>0</v>
      </c>
    </row>
    <row r="795" spans="1:4" x14ac:dyDescent="0.35">
      <c r="A795" t="s">
        <v>8</v>
      </c>
      <c r="B795" t="s">
        <v>4</v>
      </c>
      <c r="C795" t="s">
        <v>31</v>
      </c>
      <c r="D795">
        <v>0</v>
      </c>
    </row>
    <row r="796" spans="1:4" x14ac:dyDescent="0.35">
      <c r="A796" t="s">
        <v>9</v>
      </c>
      <c r="B796" t="s">
        <v>4</v>
      </c>
      <c r="C796" t="s">
        <v>31</v>
      </c>
      <c r="D796">
        <v>0</v>
      </c>
    </row>
    <row r="797" spans="1:4" x14ac:dyDescent="0.35">
      <c r="A797" t="s">
        <v>10</v>
      </c>
      <c r="B797" t="s">
        <v>4</v>
      </c>
      <c r="C797" t="s">
        <v>31</v>
      </c>
      <c r="D797">
        <v>0</v>
      </c>
    </row>
    <row r="798" spans="1:4" x14ac:dyDescent="0.35">
      <c r="A798" t="s">
        <v>11</v>
      </c>
      <c r="B798" t="s">
        <v>4</v>
      </c>
      <c r="C798" t="s">
        <v>31</v>
      </c>
      <c r="D798">
        <v>0</v>
      </c>
    </row>
    <row r="799" spans="1:4" x14ac:dyDescent="0.35">
      <c r="A799" t="s">
        <v>12</v>
      </c>
      <c r="B799" t="s">
        <v>4</v>
      </c>
      <c r="C799" t="s">
        <v>31</v>
      </c>
      <c r="D799">
        <v>0</v>
      </c>
    </row>
    <row r="800" spans="1:4" x14ac:dyDescent="0.35">
      <c r="A800" t="s">
        <v>13</v>
      </c>
      <c r="B800" t="s">
        <v>4</v>
      </c>
      <c r="C800" t="s">
        <v>31</v>
      </c>
      <c r="D800">
        <v>0</v>
      </c>
    </row>
    <row r="801" spans="1:4" x14ac:dyDescent="0.35">
      <c r="A801" t="s">
        <v>14</v>
      </c>
      <c r="B801" t="s">
        <v>4</v>
      </c>
      <c r="C801" t="s">
        <v>31</v>
      </c>
      <c r="D801">
        <v>0</v>
      </c>
    </row>
    <row r="802" spans="1:4" x14ac:dyDescent="0.35">
      <c r="A802" t="s">
        <v>15</v>
      </c>
      <c r="B802" t="s">
        <v>4</v>
      </c>
      <c r="C802" t="s">
        <v>31</v>
      </c>
      <c r="D802">
        <v>0</v>
      </c>
    </row>
    <row r="803" spans="1:4" x14ac:dyDescent="0.35">
      <c r="A803" t="s">
        <v>16</v>
      </c>
      <c r="B803" t="s">
        <v>4</v>
      </c>
      <c r="C803" t="s">
        <v>31</v>
      </c>
      <c r="D803">
        <v>0</v>
      </c>
    </row>
    <row r="804" spans="1:4" x14ac:dyDescent="0.35">
      <c r="A804" t="s">
        <v>17</v>
      </c>
      <c r="B804" t="s">
        <v>4</v>
      </c>
      <c r="C804" t="s">
        <v>31</v>
      </c>
      <c r="D804">
        <v>0</v>
      </c>
    </row>
    <row r="805" spans="1:4" x14ac:dyDescent="0.35">
      <c r="A805" t="s">
        <v>18</v>
      </c>
      <c r="B805" t="s">
        <v>4</v>
      </c>
      <c r="C805" t="s">
        <v>31</v>
      </c>
      <c r="D805">
        <v>0</v>
      </c>
    </row>
    <row r="806" spans="1:4" x14ac:dyDescent="0.35">
      <c r="A806" t="s">
        <v>19</v>
      </c>
      <c r="B806" t="s">
        <v>4</v>
      </c>
      <c r="C806" t="s">
        <v>31</v>
      </c>
      <c r="D806">
        <v>0</v>
      </c>
    </row>
    <row r="807" spans="1:4" x14ac:dyDescent="0.35">
      <c r="A807" t="s">
        <v>20</v>
      </c>
      <c r="B807" t="s">
        <v>4</v>
      </c>
      <c r="C807" t="s">
        <v>31</v>
      </c>
      <c r="D807">
        <v>0</v>
      </c>
    </row>
    <row r="808" spans="1:4" x14ac:dyDescent="0.35">
      <c r="A808" t="s">
        <v>21</v>
      </c>
      <c r="B808" t="s">
        <v>4</v>
      </c>
      <c r="C808" t="s">
        <v>31</v>
      </c>
      <c r="D808">
        <v>0</v>
      </c>
    </row>
    <row r="809" spans="1:4" x14ac:dyDescent="0.35">
      <c r="A809" t="s">
        <v>22</v>
      </c>
      <c r="B809" t="s">
        <v>4</v>
      </c>
      <c r="C809" t="s">
        <v>31</v>
      </c>
      <c r="D809">
        <v>0</v>
      </c>
    </row>
    <row r="810" spans="1:4" x14ac:dyDescent="0.35">
      <c r="A810" t="s">
        <v>23</v>
      </c>
      <c r="B810" t="s">
        <v>4</v>
      </c>
      <c r="C810" t="s">
        <v>31</v>
      </c>
      <c r="D810">
        <v>0</v>
      </c>
    </row>
    <row r="811" spans="1:4" x14ac:dyDescent="0.35">
      <c r="A811" t="s">
        <v>24</v>
      </c>
      <c r="B811" t="s">
        <v>4</v>
      </c>
      <c r="C811" t="s">
        <v>31</v>
      </c>
      <c r="D811">
        <v>0</v>
      </c>
    </row>
    <row r="812" spans="1:4" x14ac:dyDescent="0.35">
      <c r="A812" t="s">
        <v>25</v>
      </c>
      <c r="B812" t="s">
        <v>4</v>
      </c>
      <c r="C812" t="s">
        <v>31</v>
      </c>
      <c r="D812">
        <v>0</v>
      </c>
    </row>
    <row r="813" spans="1:4" x14ac:dyDescent="0.35">
      <c r="A813" t="s">
        <v>26</v>
      </c>
      <c r="B813" t="s">
        <v>4</v>
      </c>
      <c r="C813" t="s">
        <v>31</v>
      </c>
      <c r="D813">
        <v>0</v>
      </c>
    </row>
    <row r="814" spans="1:4" x14ac:dyDescent="0.35">
      <c r="A814" t="s">
        <v>27</v>
      </c>
      <c r="B814" t="s">
        <v>4</v>
      </c>
      <c r="C814" t="s">
        <v>31</v>
      </c>
      <c r="D814">
        <v>0</v>
      </c>
    </row>
    <row r="815" spans="1:4" x14ac:dyDescent="0.35">
      <c r="A815" t="s">
        <v>28</v>
      </c>
      <c r="B815" t="s">
        <v>4</v>
      </c>
      <c r="C815" t="s">
        <v>31</v>
      </c>
      <c r="D815">
        <v>0</v>
      </c>
    </row>
    <row r="816" spans="1:4" x14ac:dyDescent="0.35">
      <c r="A816" t="s">
        <v>29</v>
      </c>
      <c r="B816" t="s">
        <v>4</v>
      </c>
      <c r="C816" t="s">
        <v>31</v>
      </c>
      <c r="D816">
        <v>0</v>
      </c>
    </row>
    <row r="817" spans="1:4" x14ac:dyDescent="0.35">
      <c r="A817" t="s">
        <v>30</v>
      </c>
      <c r="B817" t="s">
        <v>4</v>
      </c>
      <c r="C817" t="s">
        <v>31</v>
      </c>
      <c r="D817">
        <v>0</v>
      </c>
    </row>
    <row r="818" spans="1:4" x14ac:dyDescent="0.35">
      <c r="A818" t="s">
        <v>31</v>
      </c>
      <c r="B818" t="s">
        <v>4</v>
      </c>
      <c r="C818" t="s">
        <v>31</v>
      </c>
      <c r="D818">
        <v>0</v>
      </c>
    </row>
    <row r="819" spans="1:4" x14ac:dyDescent="0.35">
      <c r="A819" t="s">
        <v>32</v>
      </c>
      <c r="B819" t="s">
        <v>4</v>
      </c>
      <c r="C819" t="s">
        <v>31</v>
      </c>
      <c r="D819">
        <v>0</v>
      </c>
    </row>
    <row r="820" spans="1:4" x14ac:dyDescent="0.35">
      <c r="A820" t="s">
        <v>33</v>
      </c>
      <c r="B820" t="s">
        <v>4</v>
      </c>
      <c r="C820" t="s">
        <v>31</v>
      </c>
      <c r="D820">
        <v>0</v>
      </c>
    </row>
    <row r="821" spans="1:4" x14ac:dyDescent="0.35">
      <c r="A821" t="s">
        <v>34</v>
      </c>
      <c r="B821" t="s">
        <v>4</v>
      </c>
      <c r="C821" t="s">
        <v>31</v>
      </c>
      <c r="D821">
        <v>0</v>
      </c>
    </row>
    <row r="822" spans="1:4" x14ac:dyDescent="0.35">
      <c r="A822" t="s">
        <v>35</v>
      </c>
      <c r="B822" t="s">
        <v>4</v>
      </c>
      <c r="C822" t="s">
        <v>31</v>
      </c>
      <c r="D822">
        <v>0</v>
      </c>
    </row>
    <row r="823" spans="1:4" x14ac:dyDescent="0.35">
      <c r="A823" t="s">
        <v>36</v>
      </c>
      <c r="B823" t="s">
        <v>4</v>
      </c>
      <c r="C823" t="s">
        <v>31</v>
      </c>
      <c r="D823">
        <v>0</v>
      </c>
    </row>
    <row r="824" spans="1:4" x14ac:dyDescent="0.35">
      <c r="A824" t="s">
        <v>37</v>
      </c>
      <c r="B824" t="s">
        <v>4</v>
      </c>
      <c r="C824" t="s">
        <v>31</v>
      </c>
      <c r="D824">
        <v>0</v>
      </c>
    </row>
    <row r="825" spans="1:4" x14ac:dyDescent="0.35">
      <c r="A825" t="s">
        <v>38</v>
      </c>
      <c r="B825" t="s">
        <v>4</v>
      </c>
      <c r="C825" t="s">
        <v>31</v>
      </c>
      <c r="D825">
        <v>0</v>
      </c>
    </row>
    <row r="826" spans="1:4" x14ac:dyDescent="0.35">
      <c r="A826" t="s">
        <v>39</v>
      </c>
      <c r="B826" t="s">
        <v>4</v>
      </c>
      <c r="C826" t="s">
        <v>31</v>
      </c>
      <c r="D826">
        <v>0</v>
      </c>
    </row>
    <row r="827" spans="1:4" x14ac:dyDescent="0.35">
      <c r="A827" t="s">
        <v>7</v>
      </c>
      <c r="B827" t="s">
        <v>4</v>
      </c>
      <c r="C827" t="s">
        <v>32</v>
      </c>
      <c r="D827">
        <v>0</v>
      </c>
    </row>
    <row r="828" spans="1:4" x14ac:dyDescent="0.35">
      <c r="A828" t="s">
        <v>8</v>
      </c>
      <c r="B828" t="s">
        <v>4</v>
      </c>
      <c r="C828" t="s">
        <v>32</v>
      </c>
      <c r="D828">
        <v>0</v>
      </c>
    </row>
    <row r="829" spans="1:4" x14ac:dyDescent="0.35">
      <c r="A829" t="s">
        <v>9</v>
      </c>
      <c r="B829" t="s">
        <v>4</v>
      </c>
      <c r="C829" t="s">
        <v>32</v>
      </c>
      <c r="D829">
        <v>0</v>
      </c>
    </row>
    <row r="830" spans="1:4" x14ac:dyDescent="0.35">
      <c r="A830" t="s">
        <v>10</v>
      </c>
      <c r="B830" t="s">
        <v>4</v>
      </c>
      <c r="C830" t="s">
        <v>32</v>
      </c>
      <c r="D830">
        <v>0</v>
      </c>
    </row>
    <row r="831" spans="1:4" x14ac:dyDescent="0.35">
      <c r="A831" t="s">
        <v>11</v>
      </c>
      <c r="B831" t="s">
        <v>4</v>
      </c>
      <c r="C831" t="s">
        <v>32</v>
      </c>
      <c r="D831">
        <v>0</v>
      </c>
    </row>
    <row r="832" spans="1:4" x14ac:dyDescent="0.35">
      <c r="A832" t="s">
        <v>12</v>
      </c>
      <c r="B832" t="s">
        <v>4</v>
      </c>
      <c r="C832" t="s">
        <v>32</v>
      </c>
      <c r="D832">
        <v>0</v>
      </c>
    </row>
    <row r="833" spans="1:4" x14ac:dyDescent="0.35">
      <c r="A833" t="s">
        <v>13</v>
      </c>
      <c r="B833" t="s">
        <v>4</v>
      </c>
      <c r="C833" t="s">
        <v>32</v>
      </c>
      <c r="D833">
        <v>0</v>
      </c>
    </row>
    <row r="834" spans="1:4" x14ac:dyDescent="0.35">
      <c r="A834" t="s">
        <v>14</v>
      </c>
      <c r="B834" t="s">
        <v>4</v>
      </c>
      <c r="C834" t="s">
        <v>32</v>
      </c>
      <c r="D834">
        <v>0</v>
      </c>
    </row>
    <row r="835" spans="1:4" x14ac:dyDescent="0.35">
      <c r="A835" t="s">
        <v>15</v>
      </c>
      <c r="B835" t="s">
        <v>4</v>
      </c>
      <c r="C835" t="s">
        <v>32</v>
      </c>
      <c r="D835">
        <v>0</v>
      </c>
    </row>
    <row r="836" spans="1:4" x14ac:dyDescent="0.35">
      <c r="A836" t="s">
        <v>16</v>
      </c>
      <c r="B836" t="s">
        <v>4</v>
      </c>
      <c r="C836" t="s">
        <v>32</v>
      </c>
      <c r="D836">
        <v>0</v>
      </c>
    </row>
    <row r="837" spans="1:4" x14ac:dyDescent="0.35">
      <c r="A837" t="s">
        <v>17</v>
      </c>
      <c r="B837" t="s">
        <v>4</v>
      </c>
      <c r="C837" t="s">
        <v>32</v>
      </c>
      <c r="D837">
        <v>0</v>
      </c>
    </row>
    <row r="838" spans="1:4" x14ac:dyDescent="0.35">
      <c r="A838" t="s">
        <v>18</v>
      </c>
      <c r="B838" t="s">
        <v>4</v>
      </c>
      <c r="C838" t="s">
        <v>32</v>
      </c>
      <c r="D838">
        <v>0</v>
      </c>
    </row>
    <row r="839" spans="1:4" x14ac:dyDescent="0.35">
      <c r="A839" t="s">
        <v>19</v>
      </c>
      <c r="B839" t="s">
        <v>4</v>
      </c>
      <c r="C839" t="s">
        <v>32</v>
      </c>
      <c r="D839">
        <v>0</v>
      </c>
    </row>
    <row r="840" spans="1:4" x14ac:dyDescent="0.35">
      <c r="A840" t="s">
        <v>20</v>
      </c>
      <c r="B840" t="s">
        <v>4</v>
      </c>
      <c r="C840" t="s">
        <v>32</v>
      </c>
      <c r="D840">
        <v>0</v>
      </c>
    </row>
    <row r="841" spans="1:4" x14ac:dyDescent="0.35">
      <c r="A841" t="s">
        <v>21</v>
      </c>
      <c r="B841" t="s">
        <v>4</v>
      </c>
      <c r="C841" t="s">
        <v>32</v>
      </c>
      <c r="D841">
        <v>0</v>
      </c>
    </row>
    <row r="842" spans="1:4" x14ac:dyDescent="0.35">
      <c r="A842" t="s">
        <v>22</v>
      </c>
      <c r="B842" t="s">
        <v>4</v>
      </c>
      <c r="C842" t="s">
        <v>32</v>
      </c>
      <c r="D842">
        <v>0</v>
      </c>
    </row>
    <row r="843" spans="1:4" x14ac:dyDescent="0.35">
      <c r="A843" t="s">
        <v>23</v>
      </c>
      <c r="B843" t="s">
        <v>4</v>
      </c>
      <c r="C843" t="s">
        <v>32</v>
      </c>
      <c r="D843">
        <v>0</v>
      </c>
    </row>
    <row r="844" spans="1:4" x14ac:dyDescent="0.35">
      <c r="A844" t="s">
        <v>24</v>
      </c>
      <c r="B844" t="s">
        <v>4</v>
      </c>
      <c r="C844" t="s">
        <v>32</v>
      </c>
      <c r="D844">
        <v>0</v>
      </c>
    </row>
    <row r="845" spans="1:4" x14ac:dyDescent="0.35">
      <c r="A845" t="s">
        <v>25</v>
      </c>
      <c r="B845" t="s">
        <v>4</v>
      </c>
      <c r="C845" t="s">
        <v>32</v>
      </c>
      <c r="D845">
        <v>0</v>
      </c>
    </row>
    <row r="846" spans="1:4" x14ac:dyDescent="0.35">
      <c r="A846" t="s">
        <v>26</v>
      </c>
      <c r="B846" t="s">
        <v>4</v>
      </c>
      <c r="C846" t="s">
        <v>32</v>
      </c>
      <c r="D846">
        <v>0</v>
      </c>
    </row>
    <row r="847" spans="1:4" x14ac:dyDescent="0.35">
      <c r="A847" t="s">
        <v>27</v>
      </c>
      <c r="B847" t="s">
        <v>4</v>
      </c>
      <c r="C847" t="s">
        <v>32</v>
      </c>
      <c r="D847">
        <v>0</v>
      </c>
    </row>
    <row r="848" spans="1:4" x14ac:dyDescent="0.35">
      <c r="A848" t="s">
        <v>28</v>
      </c>
      <c r="B848" t="s">
        <v>4</v>
      </c>
      <c r="C848" t="s">
        <v>32</v>
      </c>
      <c r="D848">
        <v>0</v>
      </c>
    </row>
    <row r="849" spans="1:4" x14ac:dyDescent="0.35">
      <c r="A849" t="s">
        <v>29</v>
      </c>
      <c r="B849" t="s">
        <v>4</v>
      </c>
      <c r="C849" t="s">
        <v>32</v>
      </c>
      <c r="D849">
        <v>0</v>
      </c>
    </row>
    <row r="850" spans="1:4" x14ac:dyDescent="0.35">
      <c r="A850" t="s">
        <v>30</v>
      </c>
      <c r="B850" t="s">
        <v>4</v>
      </c>
      <c r="C850" t="s">
        <v>32</v>
      </c>
      <c r="D850">
        <v>0</v>
      </c>
    </row>
    <row r="851" spans="1:4" x14ac:dyDescent="0.35">
      <c r="A851" t="s">
        <v>31</v>
      </c>
      <c r="B851" t="s">
        <v>4</v>
      </c>
      <c r="C851" t="s">
        <v>32</v>
      </c>
      <c r="D851">
        <v>0</v>
      </c>
    </row>
    <row r="852" spans="1:4" x14ac:dyDescent="0.35">
      <c r="A852" t="s">
        <v>32</v>
      </c>
      <c r="B852" t="s">
        <v>4</v>
      </c>
      <c r="C852" t="s">
        <v>32</v>
      </c>
      <c r="D852">
        <v>0</v>
      </c>
    </row>
    <row r="853" spans="1:4" x14ac:dyDescent="0.35">
      <c r="A853" t="s">
        <v>33</v>
      </c>
      <c r="B853" t="s">
        <v>4</v>
      </c>
      <c r="C853" t="s">
        <v>32</v>
      </c>
      <c r="D853">
        <v>0</v>
      </c>
    </row>
    <row r="854" spans="1:4" x14ac:dyDescent="0.35">
      <c r="A854" t="s">
        <v>34</v>
      </c>
      <c r="B854" t="s">
        <v>4</v>
      </c>
      <c r="C854" t="s">
        <v>32</v>
      </c>
      <c r="D854">
        <v>0</v>
      </c>
    </row>
    <row r="855" spans="1:4" x14ac:dyDescent="0.35">
      <c r="A855" t="s">
        <v>35</v>
      </c>
      <c r="B855" t="s">
        <v>4</v>
      </c>
      <c r="C855" t="s">
        <v>32</v>
      </c>
      <c r="D855">
        <v>0</v>
      </c>
    </row>
    <row r="856" spans="1:4" x14ac:dyDescent="0.35">
      <c r="A856" t="s">
        <v>36</v>
      </c>
      <c r="B856" t="s">
        <v>4</v>
      </c>
      <c r="C856" t="s">
        <v>32</v>
      </c>
      <c r="D856">
        <v>0</v>
      </c>
    </row>
    <row r="857" spans="1:4" x14ac:dyDescent="0.35">
      <c r="A857" t="s">
        <v>37</v>
      </c>
      <c r="B857" t="s">
        <v>4</v>
      </c>
      <c r="C857" t="s">
        <v>32</v>
      </c>
      <c r="D857">
        <v>0</v>
      </c>
    </row>
    <row r="858" spans="1:4" x14ac:dyDescent="0.35">
      <c r="A858" t="s">
        <v>38</v>
      </c>
      <c r="B858" t="s">
        <v>4</v>
      </c>
      <c r="C858" t="s">
        <v>32</v>
      </c>
      <c r="D858">
        <v>0</v>
      </c>
    </row>
    <row r="859" spans="1:4" x14ac:dyDescent="0.35">
      <c r="A859" t="s">
        <v>39</v>
      </c>
      <c r="B859" t="s">
        <v>4</v>
      </c>
      <c r="C859" t="s">
        <v>32</v>
      </c>
      <c r="D859">
        <v>0</v>
      </c>
    </row>
    <row r="860" spans="1:4" x14ac:dyDescent="0.35">
      <c r="A860" t="s">
        <v>7</v>
      </c>
      <c r="B860" t="s">
        <v>4</v>
      </c>
      <c r="C860" t="s">
        <v>33</v>
      </c>
      <c r="D860">
        <v>0</v>
      </c>
    </row>
    <row r="861" spans="1:4" x14ac:dyDescent="0.35">
      <c r="A861" t="s">
        <v>8</v>
      </c>
      <c r="B861" t="s">
        <v>4</v>
      </c>
      <c r="C861" t="s">
        <v>33</v>
      </c>
      <c r="D861">
        <v>0</v>
      </c>
    </row>
    <row r="862" spans="1:4" x14ac:dyDescent="0.35">
      <c r="A862" t="s">
        <v>9</v>
      </c>
      <c r="B862" t="s">
        <v>4</v>
      </c>
      <c r="C862" t="s">
        <v>33</v>
      </c>
      <c r="D862">
        <v>0</v>
      </c>
    </row>
    <row r="863" spans="1:4" x14ac:dyDescent="0.35">
      <c r="A863" t="s">
        <v>10</v>
      </c>
      <c r="B863" t="s">
        <v>4</v>
      </c>
      <c r="C863" t="s">
        <v>33</v>
      </c>
      <c r="D863">
        <v>0</v>
      </c>
    </row>
    <row r="864" spans="1:4" x14ac:dyDescent="0.35">
      <c r="A864" t="s">
        <v>11</v>
      </c>
      <c r="B864" t="s">
        <v>4</v>
      </c>
      <c r="C864" t="s">
        <v>33</v>
      </c>
      <c r="D864">
        <v>0</v>
      </c>
    </row>
    <row r="865" spans="1:4" x14ac:dyDescent="0.35">
      <c r="A865" t="s">
        <v>12</v>
      </c>
      <c r="B865" t="s">
        <v>4</v>
      </c>
      <c r="C865" t="s">
        <v>33</v>
      </c>
      <c r="D865">
        <v>0</v>
      </c>
    </row>
    <row r="866" spans="1:4" x14ac:dyDescent="0.35">
      <c r="A866" t="s">
        <v>13</v>
      </c>
      <c r="B866" t="s">
        <v>4</v>
      </c>
      <c r="C866" t="s">
        <v>33</v>
      </c>
      <c r="D866">
        <v>0</v>
      </c>
    </row>
    <row r="867" spans="1:4" x14ac:dyDescent="0.35">
      <c r="A867" t="s">
        <v>14</v>
      </c>
      <c r="B867" t="s">
        <v>4</v>
      </c>
      <c r="C867" t="s">
        <v>33</v>
      </c>
      <c r="D867">
        <v>0</v>
      </c>
    </row>
    <row r="868" spans="1:4" x14ac:dyDescent="0.35">
      <c r="A868" t="s">
        <v>15</v>
      </c>
      <c r="B868" t="s">
        <v>4</v>
      </c>
      <c r="C868" t="s">
        <v>33</v>
      </c>
      <c r="D868">
        <v>0</v>
      </c>
    </row>
    <row r="869" spans="1:4" x14ac:dyDescent="0.35">
      <c r="A869" t="s">
        <v>16</v>
      </c>
      <c r="B869" t="s">
        <v>4</v>
      </c>
      <c r="C869" t="s">
        <v>33</v>
      </c>
      <c r="D869">
        <v>0</v>
      </c>
    </row>
    <row r="870" spans="1:4" x14ac:dyDescent="0.35">
      <c r="A870" t="s">
        <v>17</v>
      </c>
      <c r="B870" t="s">
        <v>4</v>
      </c>
      <c r="C870" t="s">
        <v>33</v>
      </c>
      <c r="D870">
        <v>0</v>
      </c>
    </row>
    <row r="871" spans="1:4" x14ac:dyDescent="0.35">
      <c r="A871" t="s">
        <v>18</v>
      </c>
      <c r="B871" t="s">
        <v>4</v>
      </c>
      <c r="C871" t="s">
        <v>33</v>
      </c>
      <c r="D871">
        <v>0</v>
      </c>
    </row>
    <row r="872" spans="1:4" x14ac:dyDescent="0.35">
      <c r="A872" t="s">
        <v>19</v>
      </c>
      <c r="B872" t="s">
        <v>4</v>
      </c>
      <c r="C872" t="s">
        <v>33</v>
      </c>
      <c r="D872">
        <v>0</v>
      </c>
    </row>
    <row r="873" spans="1:4" x14ac:dyDescent="0.35">
      <c r="A873" t="s">
        <v>20</v>
      </c>
      <c r="B873" t="s">
        <v>4</v>
      </c>
      <c r="C873" t="s">
        <v>33</v>
      </c>
      <c r="D873">
        <v>0</v>
      </c>
    </row>
    <row r="874" spans="1:4" x14ac:dyDescent="0.35">
      <c r="A874" t="s">
        <v>21</v>
      </c>
      <c r="B874" t="s">
        <v>4</v>
      </c>
      <c r="C874" t="s">
        <v>33</v>
      </c>
      <c r="D874">
        <v>0</v>
      </c>
    </row>
    <row r="875" spans="1:4" x14ac:dyDescent="0.35">
      <c r="A875" t="s">
        <v>22</v>
      </c>
      <c r="B875" t="s">
        <v>4</v>
      </c>
      <c r="C875" t="s">
        <v>33</v>
      </c>
      <c r="D875">
        <v>0</v>
      </c>
    </row>
    <row r="876" spans="1:4" x14ac:dyDescent="0.35">
      <c r="A876" t="s">
        <v>23</v>
      </c>
      <c r="B876" t="s">
        <v>4</v>
      </c>
      <c r="C876" t="s">
        <v>33</v>
      </c>
      <c r="D876">
        <v>0</v>
      </c>
    </row>
    <row r="877" spans="1:4" x14ac:dyDescent="0.35">
      <c r="A877" t="s">
        <v>24</v>
      </c>
      <c r="B877" t="s">
        <v>4</v>
      </c>
      <c r="C877" t="s">
        <v>33</v>
      </c>
      <c r="D877">
        <v>0</v>
      </c>
    </row>
    <row r="878" spans="1:4" x14ac:dyDescent="0.35">
      <c r="A878" t="s">
        <v>25</v>
      </c>
      <c r="B878" t="s">
        <v>4</v>
      </c>
      <c r="C878" t="s">
        <v>33</v>
      </c>
      <c r="D878">
        <v>0</v>
      </c>
    </row>
    <row r="879" spans="1:4" x14ac:dyDescent="0.35">
      <c r="A879" t="s">
        <v>26</v>
      </c>
      <c r="B879" t="s">
        <v>4</v>
      </c>
      <c r="C879" t="s">
        <v>33</v>
      </c>
      <c r="D879">
        <v>0</v>
      </c>
    </row>
    <row r="880" spans="1:4" x14ac:dyDescent="0.35">
      <c r="A880" t="s">
        <v>27</v>
      </c>
      <c r="B880" t="s">
        <v>4</v>
      </c>
      <c r="C880" t="s">
        <v>33</v>
      </c>
      <c r="D880">
        <v>0</v>
      </c>
    </row>
    <row r="881" spans="1:4" x14ac:dyDescent="0.35">
      <c r="A881" t="s">
        <v>28</v>
      </c>
      <c r="B881" t="s">
        <v>4</v>
      </c>
      <c r="C881" t="s">
        <v>33</v>
      </c>
      <c r="D881">
        <v>0</v>
      </c>
    </row>
    <row r="882" spans="1:4" x14ac:dyDescent="0.35">
      <c r="A882" t="s">
        <v>29</v>
      </c>
      <c r="B882" t="s">
        <v>4</v>
      </c>
      <c r="C882" t="s">
        <v>33</v>
      </c>
      <c r="D882">
        <v>0</v>
      </c>
    </row>
    <row r="883" spans="1:4" x14ac:dyDescent="0.35">
      <c r="A883" t="s">
        <v>30</v>
      </c>
      <c r="B883" t="s">
        <v>4</v>
      </c>
      <c r="C883" t="s">
        <v>33</v>
      </c>
      <c r="D883">
        <v>0</v>
      </c>
    </row>
    <row r="884" spans="1:4" x14ac:dyDescent="0.35">
      <c r="A884" t="s">
        <v>31</v>
      </c>
      <c r="B884" t="s">
        <v>4</v>
      </c>
      <c r="C884" t="s">
        <v>33</v>
      </c>
      <c r="D884">
        <v>0</v>
      </c>
    </row>
    <row r="885" spans="1:4" x14ac:dyDescent="0.35">
      <c r="A885" t="s">
        <v>32</v>
      </c>
      <c r="B885" t="s">
        <v>4</v>
      </c>
      <c r="C885" t="s">
        <v>33</v>
      </c>
      <c r="D885">
        <v>0</v>
      </c>
    </row>
    <row r="886" spans="1:4" x14ac:dyDescent="0.35">
      <c r="A886" t="s">
        <v>33</v>
      </c>
      <c r="B886" t="s">
        <v>4</v>
      </c>
      <c r="C886" t="s">
        <v>33</v>
      </c>
      <c r="D886">
        <v>0</v>
      </c>
    </row>
    <row r="887" spans="1:4" x14ac:dyDescent="0.35">
      <c r="A887" t="s">
        <v>34</v>
      </c>
      <c r="B887" t="s">
        <v>4</v>
      </c>
      <c r="C887" t="s">
        <v>33</v>
      </c>
      <c r="D887">
        <v>0</v>
      </c>
    </row>
    <row r="888" spans="1:4" x14ac:dyDescent="0.35">
      <c r="A888" t="s">
        <v>35</v>
      </c>
      <c r="B888" t="s">
        <v>4</v>
      </c>
      <c r="C888" t="s">
        <v>33</v>
      </c>
      <c r="D888">
        <v>0</v>
      </c>
    </row>
    <row r="889" spans="1:4" x14ac:dyDescent="0.35">
      <c r="A889" t="s">
        <v>36</v>
      </c>
      <c r="B889" t="s">
        <v>4</v>
      </c>
      <c r="C889" t="s">
        <v>33</v>
      </c>
      <c r="D889">
        <v>0</v>
      </c>
    </row>
    <row r="890" spans="1:4" x14ac:dyDescent="0.35">
      <c r="A890" t="s">
        <v>37</v>
      </c>
      <c r="B890" t="s">
        <v>4</v>
      </c>
      <c r="C890" t="s">
        <v>33</v>
      </c>
      <c r="D890">
        <v>0</v>
      </c>
    </row>
    <row r="891" spans="1:4" x14ac:dyDescent="0.35">
      <c r="A891" t="s">
        <v>38</v>
      </c>
      <c r="B891" t="s">
        <v>4</v>
      </c>
      <c r="C891" t="s">
        <v>33</v>
      </c>
      <c r="D891">
        <v>0</v>
      </c>
    </row>
    <row r="892" spans="1:4" x14ac:dyDescent="0.35">
      <c r="A892" t="s">
        <v>39</v>
      </c>
      <c r="B892" t="s">
        <v>4</v>
      </c>
      <c r="C892" t="s">
        <v>33</v>
      </c>
      <c r="D892">
        <v>0</v>
      </c>
    </row>
    <row r="893" spans="1:4" x14ac:dyDescent="0.35">
      <c r="A893" t="s">
        <v>7</v>
      </c>
      <c r="B893" t="s">
        <v>4</v>
      </c>
      <c r="C893" t="s">
        <v>34</v>
      </c>
      <c r="D893">
        <v>0</v>
      </c>
    </row>
    <row r="894" spans="1:4" x14ac:dyDescent="0.35">
      <c r="A894" t="s">
        <v>8</v>
      </c>
      <c r="B894" t="s">
        <v>4</v>
      </c>
      <c r="C894" t="s">
        <v>34</v>
      </c>
      <c r="D894">
        <v>0</v>
      </c>
    </row>
    <row r="895" spans="1:4" x14ac:dyDescent="0.35">
      <c r="A895" t="s">
        <v>9</v>
      </c>
      <c r="B895" t="s">
        <v>4</v>
      </c>
      <c r="C895" t="s">
        <v>34</v>
      </c>
      <c r="D895">
        <v>0</v>
      </c>
    </row>
    <row r="896" spans="1:4" x14ac:dyDescent="0.35">
      <c r="A896" t="s">
        <v>10</v>
      </c>
      <c r="B896" t="s">
        <v>4</v>
      </c>
      <c r="C896" t="s">
        <v>34</v>
      </c>
      <c r="D896">
        <v>0</v>
      </c>
    </row>
    <row r="897" spans="1:4" x14ac:dyDescent="0.35">
      <c r="A897" t="s">
        <v>11</v>
      </c>
      <c r="B897" t="s">
        <v>4</v>
      </c>
      <c r="C897" t="s">
        <v>34</v>
      </c>
      <c r="D897">
        <v>0</v>
      </c>
    </row>
    <row r="898" spans="1:4" x14ac:dyDescent="0.35">
      <c r="A898" t="s">
        <v>12</v>
      </c>
      <c r="B898" t="s">
        <v>4</v>
      </c>
      <c r="C898" t="s">
        <v>34</v>
      </c>
      <c r="D898">
        <v>0</v>
      </c>
    </row>
    <row r="899" spans="1:4" x14ac:dyDescent="0.35">
      <c r="A899" t="s">
        <v>13</v>
      </c>
      <c r="B899" t="s">
        <v>4</v>
      </c>
      <c r="C899" t="s">
        <v>34</v>
      </c>
      <c r="D899">
        <v>0</v>
      </c>
    </row>
    <row r="900" spans="1:4" x14ac:dyDescent="0.35">
      <c r="A900" t="s">
        <v>14</v>
      </c>
      <c r="B900" t="s">
        <v>4</v>
      </c>
      <c r="C900" t="s">
        <v>34</v>
      </c>
      <c r="D900">
        <v>0</v>
      </c>
    </row>
    <row r="901" spans="1:4" x14ac:dyDescent="0.35">
      <c r="A901" t="s">
        <v>15</v>
      </c>
      <c r="B901" t="s">
        <v>4</v>
      </c>
      <c r="C901" t="s">
        <v>34</v>
      </c>
      <c r="D901">
        <v>0</v>
      </c>
    </row>
    <row r="902" spans="1:4" x14ac:dyDescent="0.35">
      <c r="A902" t="s">
        <v>16</v>
      </c>
      <c r="B902" t="s">
        <v>4</v>
      </c>
      <c r="C902" t="s">
        <v>34</v>
      </c>
      <c r="D902">
        <v>0</v>
      </c>
    </row>
    <row r="903" spans="1:4" x14ac:dyDescent="0.35">
      <c r="A903" t="s">
        <v>17</v>
      </c>
      <c r="B903" t="s">
        <v>4</v>
      </c>
      <c r="C903" t="s">
        <v>34</v>
      </c>
      <c r="D903">
        <v>0</v>
      </c>
    </row>
    <row r="904" spans="1:4" x14ac:dyDescent="0.35">
      <c r="A904" t="s">
        <v>18</v>
      </c>
      <c r="B904" t="s">
        <v>4</v>
      </c>
      <c r="C904" t="s">
        <v>34</v>
      </c>
      <c r="D904">
        <v>0</v>
      </c>
    </row>
    <row r="905" spans="1:4" x14ac:dyDescent="0.35">
      <c r="A905" t="s">
        <v>19</v>
      </c>
      <c r="B905" t="s">
        <v>4</v>
      </c>
      <c r="C905" t="s">
        <v>34</v>
      </c>
      <c r="D905">
        <v>0</v>
      </c>
    </row>
    <row r="906" spans="1:4" x14ac:dyDescent="0.35">
      <c r="A906" t="s">
        <v>20</v>
      </c>
      <c r="B906" t="s">
        <v>4</v>
      </c>
      <c r="C906" t="s">
        <v>34</v>
      </c>
      <c r="D906">
        <v>0</v>
      </c>
    </row>
    <row r="907" spans="1:4" x14ac:dyDescent="0.35">
      <c r="A907" t="s">
        <v>21</v>
      </c>
      <c r="B907" t="s">
        <v>4</v>
      </c>
      <c r="C907" t="s">
        <v>34</v>
      </c>
      <c r="D907">
        <v>0</v>
      </c>
    </row>
    <row r="908" spans="1:4" x14ac:dyDescent="0.35">
      <c r="A908" t="s">
        <v>22</v>
      </c>
      <c r="B908" t="s">
        <v>4</v>
      </c>
      <c r="C908" t="s">
        <v>34</v>
      </c>
      <c r="D908">
        <v>0</v>
      </c>
    </row>
    <row r="909" spans="1:4" x14ac:dyDescent="0.35">
      <c r="A909" t="s">
        <v>23</v>
      </c>
      <c r="B909" t="s">
        <v>4</v>
      </c>
      <c r="C909" t="s">
        <v>34</v>
      </c>
      <c r="D909">
        <v>0</v>
      </c>
    </row>
    <row r="910" spans="1:4" x14ac:dyDescent="0.35">
      <c r="A910" t="s">
        <v>24</v>
      </c>
      <c r="B910" t="s">
        <v>4</v>
      </c>
      <c r="C910" t="s">
        <v>34</v>
      </c>
      <c r="D910">
        <v>0</v>
      </c>
    </row>
    <row r="911" spans="1:4" x14ac:dyDescent="0.35">
      <c r="A911" t="s">
        <v>25</v>
      </c>
      <c r="B911" t="s">
        <v>4</v>
      </c>
      <c r="C911" t="s">
        <v>34</v>
      </c>
      <c r="D911">
        <v>0</v>
      </c>
    </row>
    <row r="912" spans="1:4" x14ac:dyDescent="0.35">
      <c r="A912" t="s">
        <v>26</v>
      </c>
      <c r="B912" t="s">
        <v>4</v>
      </c>
      <c r="C912" t="s">
        <v>34</v>
      </c>
      <c r="D912">
        <v>0</v>
      </c>
    </row>
    <row r="913" spans="1:4" x14ac:dyDescent="0.35">
      <c r="A913" t="s">
        <v>27</v>
      </c>
      <c r="B913" t="s">
        <v>4</v>
      </c>
      <c r="C913" t="s">
        <v>34</v>
      </c>
      <c r="D913">
        <v>0</v>
      </c>
    </row>
    <row r="914" spans="1:4" x14ac:dyDescent="0.35">
      <c r="A914" t="s">
        <v>28</v>
      </c>
      <c r="B914" t="s">
        <v>4</v>
      </c>
      <c r="C914" t="s">
        <v>34</v>
      </c>
      <c r="D914">
        <v>0</v>
      </c>
    </row>
    <row r="915" spans="1:4" x14ac:dyDescent="0.35">
      <c r="A915" t="s">
        <v>29</v>
      </c>
      <c r="B915" t="s">
        <v>4</v>
      </c>
      <c r="C915" t="s">
        <v>34</v>
      </c>
      <c r="D915">
        <v>0</v>
      </c>
    </row>
    <row r="916" spans="1:4" x14ac:dyDescent="0.35">
      <c r="A916" t="s">
        <v>30</v>
      </c>
      <c r="B916" t="s">
        <v>4</v>
      </c>
      <c r="C916" t="s">
        <v>34</v>
      </c>
      <c r="D916">
        <v>0</v>
      </c>
    </row>
    <row r="917" spans="1:4" x14ac:dyDescent="0.35">
      <c r="A917" t="s">
        <v>31</v>
      </c>
      <c r="B917" t="s">
        <v>4</v>
      </c>
      <c r="C917" t="s">
        <v>34</v>
      </c>
      <c r="D917">
        <v>0</v>
      </c>
    </row>
    <row r="918" spans="1:4" x14ac:dyDescent="0.35">
      <c r="A918" t="s">
        <v>32</v>
      </c>
      <c r="B918" t="s">
        <v>4</v>
      </c>
      <c r="C918" t="s">
        <v>34</v>
      </c>
      <c r="D918">
        <v>0</v>
      </c>
    </row>
    <row r="919" spans="1:4" x14ac:dyDescent="0.35">
      <c r="A919" t="s">
        <v>33</v>
      </c>
      <c r="B919" t="s">
        <v>4</v>
      </c>
      <c r="C919" t="s">
        <v>34</v>
      </c>
      <c r="D919">
        <v>0</v>
      </c>
    </row>
    <row r="920" spans="1:4" x14ac:dyDescent="0.35">
      <c r="A920" t="s">
        <v>34</v>
      </c>
      <c r="B920" t="s">
        <v>4</v>
      </c>
      <c r="C920" t="s">
        <v>34</v>
      </c>
      <c r="D920">
        <v>0</v>
      </c>
    </row>
    <row r="921" spans="1:4" x14ac:dyDescent="0.35">
      <c r="A921" t="s">
        <v>35</v>
      </c>
      <c r="B921" t="s">
        <v>4</v>
      </c>
      <c r="C921" t="s">
        <v>34</v>
      </c>
      <c r="D921">
        <v>0</v>
      </c>
    </row>
    <row r="922" spans="1:4" x14ac:dyDescent="0.35">
      <c r="A922" t="s">
        <v>36</v>
      </c>
      <c r="B922" t="s">
        <v>4</v>
      </c>
      <c r="C922" t="s">
        <v>34</v>
      </c>
      <c r="D922">
        <v>0</v>
      </c>
    </row>
    <row r="923" spans="1:4" x14ac:dyDescent="0.35">
      <c r="A923" t="s">
        <v>37</v>
      </c>
      <c r="B923" t="s">
        <v>4</v>
      </c>
      <c r="C923" t="s">
        <v>34</v>
      </c>
      <c r="D923">
        <v>0</v>
      </c>
    </row>
    <row r="924" spans="1:4" x14ac:dyDescent="0.35">
      <c r="A924" t="s">
        <v>38</v>
      </c>
      <c r="B924" t="s">
        <v>4</v>
      </c>
      <c r="C924" t="s">
        <v>34</v>
      </c>
      <c r="D924">
        <v>0</v>
      </c>
    </row>
    <row r="925" spans="1:4" x14ac:dyDescent="0.35">
      <c r="A925" t="s">
        <v>39</v>
      </c>
      <c r="B925" t="s">
        <v>4</v>
      </c>
      <c r="C925" t="s">
        <v>34</v>
      </c>
      <c r="D925">
        <v>0</v>
      </c>
    </row>
    <row r="926" spans="1:4" x14ac:dyDescent="0.35">
      <c r="A926" t="s">
        <v>7</v>
      </c>
      <c r="B926" t="s">
        <v>4</v>
      </c>
      <c r="C926" t="s">
        <v>35</v>
      </c>
      <c r="D926">
        <v>0</v>
      </c>
    </row>
    <row r="927" spans="1:4" x14ac:dyDescent="0.35">
      <c r="A927" t="s">
        <v>8</v>
      </c>
      <c r="B927" t="s">
        <v>4</v>
      </c>
      <c r="C927" t="s">
        <v>35</v>
      </c>
      <c r="D927">
        <v>0</v>
      </c>
    </row>
    <row r="928" spans="1:4" x14ac:dyDescent="0.35">
      <c r="A928" t="s">
        <v>9</v>
      </c>
      <c r="B928" t="s">
        <v>4</v>
      </c>
      <c r="C928" t="s">
        <v>35</v>
      </c>
      <c r="D928">
        <v>0</v>
      </c>
    </row>
    <row r="929" spans="1:4" x14ac:dyDescent="0.35">
      <c r="A929" t="s">
        <v>10</v>
      </c>
      <c r="B929" t="s">
        <v>4</v>
      </c>
      <c r="C929" t="s">
        <v>35</v>
      </c>
      <c r="D929">
        <v>0</v>
      </c>
    </row>
    <row r="930" spans="1:4" x14ac:dyDescent="0.35">
      <c r="A930" t="s">
        <v>11</v>
      </c>
      <c r="B930" t="s">
        <v>4</v>
      </c>
      <c r="C930" t="s">
        <v>35</v>
      </c>
      <c r="D930">
        <v>0</v>
      </c>
    </row>
    <row r="931" spans="1:4" x14ac:dyDescent="0.35">
      <c r="A931" t="s">
        <v>12</v>
      </c>
      <c r="B931" t="s">
        <v>4</v>
      </c>
      <c r="C931" t="s">
        <v>35</v>
      </c>
      <c r="D931">
        <v>0</v>
      </c>
    </row>
    <row r="932" spans="1:4" x14ac:dyDescent="0.35">
      <c r="A932" t="s">
        <v>13</v>
      </c>
      <c r="B932" t="s">
        <v>4</v>
      </c>
      <c r="C932" t="s">
        <v>35</v>
      </c>
      <c r="D932">
        <v>0</v>
      </c>
    </row>
    <row r="933" spans="1:4" x14ac:dyDescent="0.35">
      <c r="A933" t="s">
        <v>14</v>
      </c>
      <c r="B933" t="s">
        <v>4</v>
      </c>
      <c r="C933" t="s">
        <v>35</v>
      </c>
      <c r="D933">
        <v>0</v>
      </c>
    </row>
    <row r="934" spans="1:4" x14ac:dyDescent="0.35">
      <c r="A934" t="s">
        <v>15</v>
      </c>
      <c r="B934" t="s">
        <v>4</v>
      </c>
      <c r="C934" t="s">
        <v>35</v>
      </c>
      <c r="D934">
        <v>0</v>
      </c>
    </row>
    <row r="935" spans="1:4" x14ac:dyDescent="0.35">
      <c r="A935" t="s">
        <v>16</v>
      </c>
      <c r="B935" t="s">
        <v>4</v>
      </c>
      <c r="C935" t="s">
        <v>35</v>
      </c>
      <c r="D935">
        <v>0</v>
      </c>
    </row>
    <row r="936" spans="1:4" x14ac:dyDescent="0.35">
      <c r="A936" t="s">
        <v>17</v>
      </c>
      <c r="B936" t="s">
        <v>4</v>
      </c>
      <c r="C936" t="s">
        <v>35</v>
      </c>
      <c r="D936">
        <v>0</v>
      </c>
    </row>
    <row r="937" spans="1:4" x14ac:dyDescent="0.35">
      <c r="A937" t="s">
        <v>18</v>
      </c>
      <c r="B937" t="s">
        <v>4</v>
      </c>
      <c r="C937" t="s">
        <v>35</v>
      </c>
      <c r="D937">
        <v>0</v>
      </c>
    </row>
    <row r="938" spans="1:4" x14ac:dyDescent="0.35">
      <c r="A938" t="s">
        <v>19</v>
      </c>
      <c r="B938" t="s">
        <v>4</v>
      </c>
      <c r="C938" t="s">
        <v>35</v>
      </c>
      <c r="D938">
        <v>0</v>
      </c>
    </row>
    <row r="939" spans="1:4" x14ac:dyDescent="0.35">
      <c r="A939" t="s">
        <v>20</v>
      </c>
      <c r="B939" t="s">
        <v>4</v>
      </c>
      <c r="C939" t="s">
        <v>35</v>
      </c>
      <c r="D939">
        <v>0</v>
      </c>
    </row>
    <row r="940" spans="1:4" x14ac:dyDescent="0.35">
      <c r="A940" t="s">
        <v>21</v>
      </c>
      <c r="B940" t="s">
        <v>4</v>
      </c>
      <c r="C940" t="s">
        <v>35</v>
      </c>
      <c r="D940">
        <v>0</v>
      </c>
    </row>
    <row r="941" spans="1:4" x14ac:dyDescent="0.35">
      <c r="A941" t="s">
        <v>22</v>
      </c>
      <c r="B941" t="s">
        <v>4</v>
      </c>
      <c r="C941" t="s">
        <v>35</v>
      </c>
      <c r="D941">
        <v>0</v>
      </c>
    </row>
    <row r="942" spans="1:4" x14ac:dyDescent="0.35">
      <c r="A942" t="s">
        <v>23</v>
      </c>
      <c r="B942" t="s">
        <v>4</v>
      </c>
      <c r="C942" t="s">
        <v>35</v>
      </c>
      <c r="D942">
        <v>0</v>
      </c>
    </row>
    <row r="943" spans="1:4" x14ac:dyDescent="0.35">
      <c r="A943" t="s">
        <v>24</v>
      </c>
      <c r="B943" t="s">
        <v>4</v>
      </c>
      <c r="C943" t="s">
        <v>35</v>
      </c>
      <c r="D943">
        <v>0</v>
      </c>
    </row>
    <row r="944" spans="1:4" x14ac:dyDescent="0.35">
      <c r="A944" t="s">
        <v>25</v>
      </c>
      <c r="B944" t="s">
        <v>4</v>
      </c>
      <c r="C944" t="s">
        <v>35</v>
      </c>
      <c r="D944">
        <v>0</v>
      </c>
    </row>
    <row r="945" spans="1:4" x14ac:dyDescent="0.35">
      <c r="A945" t="s">
        <v>26</v>
      </c>
      <c r="B945" t="s">
        <v>4</v>
      </c>
      <c r="C945" t="s">
        <v>35</v>
      </c>
      <c r="D945">
        <v>0</v>
      </c>
    </row>
    <row r="946" spans="1:4" x14ac:dyDescent="0.35">
      <c r="A946" t="s">
        <v>27</v>
      </c>
      <c r="B946" t="s">
        <v>4</v>
      </c>
      <c r="C946" t="s">
        <v>35</v>
      </c>
      <c r="D946">
        <v>0</v>
      </c>
    </row>
    <row r="947" spans="1:4" x14ac:dyDescent="0.35">
      <c r="A947" t="s">
        <v>28</v>
      </c>
      <c r="B947" t="s">
        <v>4</v>
      </c>
      <c r="C947" t="s">
        <v>35</v>
      </c>
      <c r="D947">
        <v>0</v>
      </c>
    </row>
    <row r="948" spans="1:4" x14ac:dyDescent="0.35">
      <c r="A948" t="s">
        <v>29</v>
      </c>
      <c r="B948" t="s">
        <v>4</v>
      </c>
      <c r="C948" t="s">
        <v>35</v>
      </c>
      <c r="D948">
        <v>0</v>
      </c>
    </row>
    <row r="949" spans="1:4" x14ac:dyDescent="0.35">
      <c r="A949" t="s">
        <v>30</v>
      </c>
      <c r="B949" t="s">
        <v>4</v>
      </c>
      <c r="C949" t="s">
        <v>35</v>
      </c>
      <c r="D949">
        <v>0</v>
      </c>
    </row>
    <row r="950" spans="1:4" x14ac:dyDescent="0.35">
      <c r="A950" t="s">
        <v>31</v>
      </c>
      <c r="B950" t="s">
        <v>4</v>
      </c>
      <c r="C950" t="s">
        <v>35</v>
      </c>
      <c r="D950">
        <v>0</v>
      </c>
    </row>
    <row r="951" spans="1:4" x14ac:dyDescent="0.35">
      <c r="A951" t="s">
        <v>32</v>
      </c>
      <c r="B951" t="s">
        <v>4</v>
      </c>
      <c r="C951" t="s">
        <v>35</v>
      </c>
      <c r="D951">
        <v>0</v>
      </c>
    </row>
    <row r="952" spans="1:4" x14ac:dyDescent="0.35">
      <c r="A952" t="s">
        <v>33</v>
      </c>
      <c r="B952" t="s">
        <v>4</v>
      </c>
      <c r="C952" t="s">
        <v>35</v>
      </c>
      <c r="D952">
        <v>0</v>
      </c>
    </row>
    <row r="953" spans="1:4" x14ac:dyDescent="0.35">
      <c r="A953" t="s">
        <v>34</v>
      </c>
      <c r="B953" t="s">
        <v>4</v>
      </c>
      <c r="C953" t="s">
        <v>35</v>
      </c>
      <c r="D953">
        <v>0</v>
      </c>
    </row>
    <row r="954" spans="1:4" x14ac:dyDescent="0.35">
      <c r="A954" t="s">
        <v>35</v>
      </c>
      <c r="B954" t="s">
        <v>4</v>
      </c>
      <c r="C954" t="s">
        <v>35</v>
      </c>
      <c r="D954">
        <v>0</v>
      </c>
    </row>
    <row r="955" spans="1:4" x14ac:dyDescent="0.35">
      <c r="A955" t="s">
        <v>36</v>
      </c>
      <c r="B955" t="s">
        <v>4</v>
      </c>
      <c r="C955" t="s">
        <v>35</v>
      </c>
      <c r="D955">
        <v>0</v>
      </c>
    </row>
    <row r="956" spans="1:4" x14ac:dyDescent="0.35">
      <c r="A956" t="s">
        <v>37</v>
      </c>
      <c r="B956" t="s">
        <v>4</v>
      </c>
      <c r="C956" t="s">
        <v>35</v>
      </c>
      <c r="D956">
        <v>0</v>
      </c>
    </row>
    <row r="957" spans="1:4" x14ac:dyDescent="0.35">
      <c r="A957" t="s">
        <v>38</v>
      </c>
      <c r="B957" t="s">
        <v>4</v>
      </c>
      <c r="C957" t="s">
        <v>35</v>
      </c>
      <c r="D957">
        <v>0</v>
      </c>
    </row>
    <row r="958" spans="1:4" x14ac:dyDescent="0.35">
      <c r="A958" t="s">
        <v>39</v>
      </c>
      <c r="B958" t="s">
        <v>4</v>
      </c>
      <c r="C958" t="s">
        <v>35</v>
      </c>
      <c r="D958">
        <v>0</v>
      </c>
    </row>
    <row r="959" spans="1:4" x14ac:dyDescent="0.35">
      <c r="A959" t="s">
        <v>7</v>
      </c>
      <c r="B959" t="s">
        <v>4</v>
      </c>
      <c r="C959" t="s">
        <v>36</v>
      </c>
      <c r="D959">
        <v>0</v>
      </c>
    </row>
    <row r="960" spans="1:4" x14ac:dyDescent="0.35">
      <c r="A960" t="s">
        <v>8</v>
      </c>
      <c r="B960" t="s">
        <v>4</v>
      </c>
      <c r="C960" t="s">
        <v>36</v>
      </c>
      <c r="D960">
        <v>0</v>
      </c>
    </row>
    <row r="961" spans="1:4" x14ac:dyDescent="0.35">
      <c r="A961" t="s">
        <v>9</v>
      </c>
      <c r="B961" t="s">
        <v>4</v>
      </c>
      <c r="C961" t="s">
        <v>36</v>
      </c>
      <c r="D961">
        <v>0</v>
      </c>
    </row>
    <row r="962" spans="1:4" x14ac:dyDescent="0.35">
      <c r="A962" t="s">
        <v>10</v>
      </c>
      <c r="B962" t="s">
        <v>4</v>
      </c>
      <c r="C962" t="s">
        <v>36</v>
      </c>
      <c r="D962">
        <v>0</v>
      </c>
    </row>
    <row r="963" spans="1:4" x14ac:dyDescent="0.35">
      <c r="A963" t="s">
        <v>11</v>
      </c>
      <c r="B963" t="s">
        <v>4</v>
      </c>
      <c r="C963" t="s">
        <v>36</v>
      </c>
      <c r="D963">
        <v>0</v>
      </c>
    </row>
    <row r="964" spans="1:4" x14ac:dyDescent="0.35">
      <c r="A964" t="s">
        <v>12</v>
      </c>
      <c r="B964" t="s">
        <v>4</v>
      </c>
      <c r="C964" t="s">
        <v>36</v>
      </c>
      <c r="D964">
        <v>0</v>
      </c>
    </row>
    <row r="965" spans="1:4" x14ac:dyDescent="0.35">
      <c r="A965" t="s">
        <v>13</v>
      </c>
      <c r="B965" t="s">
        <v>4</v>
      </c>
      <c r="C965" t="s">
        <v>36</v>
      </c>
      <c r="D965">
        <v>0</v>
      </c>
    </row>
    <row r="966" spans="1:4" x14ac:dyDescent="0.35">
      <c r="A966" t="s">
        <v>14</v>
      </c>
      <c r="B966" t="s">
        <v>4</v>
      </c>
      <c r="C966" t="s">
        <v>36</v>
      </c>
      <c r="D966">
        <v>0</v>
      </c>
    </row>
    <row r="967" spans="1:4" x14ac:dyDescent="0.35">
      <c r="A967" t="s">
        <v>15</v>
      </c>
      <c r="B967" t="s">
        <v>4</v>
      </c>
      <c r="C967" t="s">
        <v>36</v>
      </c>
      <c r="D967">
        <v>0</v>
      </c>
    </row>
    <row r="968" spans="1:4" x14ac:dyDescent="0.35">
      <c r="A968" t="s">
        <v>16</v>
      </c>
      <c r="B968" t="s">
        <v>4</v>
      </c>
      <c r="C968" t="s">
        <v>36</v>
      </c>
      <c r="D968">
        <v>0</v>
      </c>
    </row>
    <row r="969" spans="1:4" x14ac:dyDescent="0.35">
      <c r="A969" t="s">
        <v>17</v>
      </c>
      <c r="B969" t="s">
        <v>4</v>
      </c>
      <c r="C969" t="s">
        <v>36</v>
      </c>
      <c r="D969">
        <v>0</v>
      </c>
    </row>
    <row r="970" spans="1:4" x14ac:dyDescent="0.35">
      <c r="A970" t="s">
        <v>18</v>
      </c>
      <c r="B970" t="s">
        <v>4</v>
      </c>
      <c r="C970" t="s">
        <v>36</v>
      </c>
      <c r="D970">
        <v>0</v>
      </c>
    </row>
    <row r="971" spans="1:4" x14ac:dyDescent="0.35">
      <c r="A971" t="s">
        <v>19</v>
      </c>
      <c r="B971" t="s">
        <v>4</v>
      </c>
      <c r="C971" t="s">
        <v>36</v>
      </c>
      <c r="D971">
        <v>0</v>
      </c>
    </row>
    <row r="972" spans="1:4" x14ac:dyDescent="0.35">
      <c r="A972" t="s">
        <v>20</v>
      </c>
      <c r="B972" t="s">
        <v>4</v>
      </c>
      <c r="C972" t="s">
        <v>36</v>
      </c>
      <c r="D972">
        <v>0</v>
      </c>
    </row>
    <row r="973" spans="1:4" x14ac:dyDescent="0.35">
      <c r="A973" t="s">
        <v>21</v>
      </c>
      <c r="B973" t="s">
        <v>4</v>
      </c>
      <c r="C973" t="s">
        <v>36</v>
      </c>
      <c r="D973">
        <v>0</v>
      </c>
    </row>
    <row r="974" spans="1:4" x14ac:dyDescent="0.35">
      <c r="A974" t="s">
        <v>22</v>
      </c>
      <c r="B974" t="s">
        <v>4</v>
      </c>
      <c r="C974" t="s">
        <v>36</v>
      </c>
      <c r="D974">
        <v>0</v>
      </c>
    </row>
    <row r="975" spans="1:4" x14ac:dyDescent="0.35">
      <c r="A975" t="s">
        <v>23</v>
      </c>
      <c r="B975" t="s">
        <v>4</v>
      </c>
      <c r="C975" t="s">
        <v>36</v>
      </c>
      <c r="D975">
        <v>0</v>
      </c>
    </row>
    <row r="976" spans="1:4" x14ac:dyDescent="0.35">
      <c r="A976" t="s">
        <v>24</v>
      </c>
      <c r="B976" t="s">
        <v>4</v>
      </c>
      <c r="C976" t="s">
        <v>36</v>
      </c>
      <c r="D976">
        <v>0</v>
      </c>
    </row>
    <row r="977" spans="1:4" x14ac:dyDescent="0.35">
      <c r="A977" t="s">
        <v>25</v>
      </c>
      <c r="B977" t="s">
        <v>4</v>
      </c>
      <c r="C977" t="s">
        <v>36</v>
      </c>
      <c r="D977">
        <v>0</v>
      </c>
    </row>
    <row r="978" spans="1:4" x14ac:dyDescent="0.35">
      <c r="A978" t="s">
        <v>26</v>
      </c>
      <c r="B978" t="s">
        <v>4</v>
      </c>
      <c r="C978" t="s">
        <v>36</v>
      </c>
      <c r="D978">
        <v>0</v>
      </c>
    </row>
    <row r="979" spans="1:4" x14ac:dyDescent="0.35">
      <c r="A979" t="s">
        <v>27</v>
      </c>
      <c r="B979" t="s">
        <v>4</v>
      </c>
      <c r="C979" t="s">
        <v>36</v>
      </c>
      <c r="D979">
        <v>0</v>
      </c>
    </row>
    <row r="980" spans="1:4" x14ac:dyDescent="0.35">
      <c r="A980" t="s">
        <v>28</v>
      </c>
      <c r="B980" t="s">
        <v>4</v>
      </c>
      <c r="C980" t="s">
        <v>36</v>
      </c>
      <c r="D980">
        <v>0</v>
      </c>
    </row>
    <row r="981" spans="1:4" x14ac:dyDescent="0.35">
      <c r="A981" t="s">
        <v>29</v>
      </c>
      <c r="B981" t="s">
        <v>4</v>
      </c>
      <c r="C981" t="s">
        <v>36</v>
      </c>
      <c r="D981">
        <v>0</v>
      </c>
    </row>
    <row r="982" spans="1:4" x14ac:dyDescent="0.35">
      <c r="A982" t="s">
        <v>30</v>
      </c>
      <c r="B982" t="s">
        <v>4</v>
      </c>
      <c r="C982" t="s">
        <v>36</v>
      </c>
      <c r="D982">
        <v>0</v>
      </c>
    </row>
    <row r="983" spans="1:4" x14ac:dyDescent="0.35">
      <c r="A983" t="s">
        <v>31</v>
      </c>
      <c r="B983" t="s">
        <v>4</v>
      </c>
      <c r="C983" t="s">
        <v>36</v>
      </c>
      <c r="D983">
        <v>0</v>
      </c>
    </row>
    <row r="984" spans="1:4" x14ac:dyDescent="0.35">
      <c r="A984" t="s">
        <v>32</v>
      </c>
      <c r="B984" t="s">
        <v>4</v>
      </c>
      <c r="C984" t="s">
        <v>36</v>
      </c>
      <c r="D984">
        <v>0</v>
      </c>
    </row>
    <row r="985" spans="1:4" x14ac:dyDescent="0.35">
      <c r="A985" t="s">
        <v>33</v>
      </c>
      <c r="B985" t="s">
        <v>4</v>
      </c>
      <c r="C985" t="s">
        <v>36</v>
      </c>
      <c r="D985">
        <v>0</v>
      </c>
    </row>
    <row r="986" spans="1:4" x14ac:dyDescent="0.35">
      <c r="A986" t="s">
        <v>34</v>
      </c>
      <c r="B986" t="s">
        <v>4</v>
      </c>
      <c r="C986" t="s">
        <v>36</v>
      </c>
      <c r="D986">
        <v>0</v>
      </c>
    </row>
    <row r="987" spans="1:4" x14ac:dyDescent="0.35">
      <c r="A987" t="s">
        <v>35</v>
      </c>
      <c r="B987" t="s">
        <v>4</v>
      </c>
      <c r="C987" t="s">
        <v>36</v>
      </c>
      <c r="D987">
        <v>0</v>
      </c>
    </row>
    <row r="988" spans="1:4" x14ac:dyDescent="0.35">
      <c r="A988" t="s">
        <v>36</v>
      </c>
      <c r="B988" t="s">
        <v>4</v>
      </c>
      <c r="C988" t="s">
        <v>36</v>
      </c>
      <c r="D988">
        <v>0</v>
      </c>
    </row>
    <row r="989" spans="1:4" x14ac:dyDescent="0.35">
      <c r="A989" t="s">
        <v>37</v>
      </c>
      <c r="B989" t="s">
        <v>4</v>
      </c>
      <c r="C989" t="s">
        <v>36</v>
      </c>
      <c r="D989">
        <v>0</v>
      </c>
    </row>
    <row r="990" spans="1:4" x14ac:dyDescent="0.35">
      <c r="A990" t="s">
        <v>38</v>
      </c>
      <c r="B990" t="s">
        <v>4</v>
      </c>
      <c r="C990" t="s">
        <v>36</v>
      </c>
      <c r="D990">
        <v>0</v>
      </c>
    </row>
    <row r="991" spans="1:4" x14ac:dyDescent="0.35">
      <c r="A991" t="s">
        <v>39</v>
      </c>
      <c r="B991" t="s">
        <v>4</v>
      </c>
      <c r="C991" t="s">
        <v>36</v>
      </c>
      <c r="D991">
        <v>0</v>
      </c>
    </row>
    <row r="992" spans="1:4" x14ac:dyDescent="0.35">
      <c r="A992" t="s">
        <v>7</v>
      </c>
      <c r="B992" t="s">
        <v>4</v>
      </c>
      <c r="C992" t="s">
        <v>37</v>
      </c>
      <c r="D992">
        <v>0</v>
      </c>
    </row>
    <row r="993" spans="1:4" x14ac:dyDescent="0.35">
      <c r="A993" t="s">
        <v>8</v>
      </c>
      <c r="B993" t="s">
        <v>4</v>
      </c>
      <c r="C993" t="s">
        <v>37</v>
      </c>
      <c r="D993">
        <v>0</v>
      </c>
    </row>
    <row r="994" spans="1:4" x14ac:dyDescent="0.35">
      <c r="A994" t="s">
        <v>9</v>
      </c>
      <c r="B994" t="s">
        <v>4</v>
      </c>
      <c r="C994" t="s">
        <v>37</v>
      </c>
      <c r="D994">
        <v>0</v>
      </c>
    </row>
    <row r="995" spans="1:4" x14ac:dyDescent="0.35">
      <c r="A995" t="s">
        <v>10</v>
      </c>
      <c r="B995" t="s">
        <v>4</v>
      </c>
      <c r="C995" t="s">
        <v>37</v>
      </c>
      <c r="D995">
        <v>0</v>
      </c>
    </row>
    <row r="996" spans="1:4" x14ac:dyDescent="0.35">
      <c r="A996" t="s">
        <v>11</v>
      </c>
      <c r="B996" t="s">
        <v>4</v>
      </c>
      <c r="C996" t="s">
        <v>37</v>
      </c>
      <c r="D996">
        <v>0</v>
      </c>
    </row>
    <row r="997" spans="1:4" x14ac:dyDescent="0.35">
      <c r="A997" t="s">
        <v>12</v>
      </c>
      <c r="B997" t="s">
        <v>4</v>
      </c>
      <c r="C997" t="s">
        <v>37</v>
      </c>
      <c r="D997">
        <v>0</v>
      </c>
    </row>
    <row r="998" spans="1:4" x14ac:dyDescent="0.35">
      <c r="A998" t="s">
        <v>13</v>
      </c>
      <c r="B998" t="s">
        <v>4</v>
      </c>
      <c r="C998" t="s">
        <v>37</v>
      </c>
      <c r="D998">
        <v>0</v>
      </c>
    </row>
    <row r="999" spans="1:4" x14ac:dyDescent="0.35">
      <c r="A999" t="s">
        <v>14</v>
      </c>
      <c r="B999" t="s">
        <v>4</v>
      </c>
      <c r="C999" t="s">
        <v>37</v>
      </c>
      <c r="D999">
        <v>0</v>
      </c>
    </row>
    <row r="1000" spans="1:4" x14ac:dyDescent="0.35">
      <c r="A1000" t="s">
        <v>15</v>
      </c>
      <c r="B1000" t="s">
        <v>4</v>
      </c>
      <c r="C1000" t="s">
        <v>37</v>
      </c>
      <c r="D1000">
        <v>0</v>
      </c>
    </row>
    <row r="1001" spans="1:4" x14ac:dyDescent="0.35">
      <c r="A1001" t="s">
        <v>16</v>
      </c>
      <c r="B1001" t="s">
        <v>4</v>
      </c>
      <c r="C1001" t="s">
        <v>37</v>
      </c>
      <c r="D1001">
        <v>0</v>
      </c>
    </row>
    <row r="1002" spans="1:4" x14ac:dyDescent="0.35">
      <c r="A1002" t="s">
        <v>17</v>
      </c>
      <c r="B1002" t="s">
        <v>4</v>
      </c>
      <c r="C1002" t="s">
        <v>37</v>
      </c>
      <c r="D1002">
        <v>0</v>
      </c>
    </row>
    <row r="1003" spans="1:4" x14ac:dyDescent="0.35">
      <c r="A1003" t="s">
        <v>18</v>
      </c>
      <c r="B1003" t="s">
        <v>4</v>
      </c>
      <c r="C1003" t="s">
        <v>37</v>
      </c>
      <c r="D1003">
        <v>0</v>
      </c>
    </row>
    <row r="1004" spans="1:4" x14ac:dyDescent="0.35">
      <c r="A1004" t="s">
        <v>19</v>
      </c>
      <c r="B1004" t="s">
        <v>4</v>
      </c>
      <c r="C1004" t="s">
        <v>37</v>
      </c>
      <c r="D1004">
        <v>0</v>
      </c>
    </row>
    <row r="1005" spans="1:4" x14ac:dyDescent="0.35">
      <c r="A1005" t="s">
        <v>20</v>
      </c>
      <c r="B1005" t="s">
        <v>4</v>
      </c>
      <c r="C1005" t="s">
        <v>37</v>
      </c>
      <c r="D1005">
        <v>0</v>
      </c>
    </row>
    <row r="1006" spans="1:4" x14ac:dyDescent="0.35">
      <c r="A1006" t="s">
        <v>21</v>
      </c>
      <c r="B1006" t="s">
        <v>4</v>
      </c>
      <c r="C1006" t="s">
        <v>37</v>
      </c>
      <c r="D1006">
        <v>0</v>
      </c>
    </row>
    <row r="1007" spans="1:4" x14ac:dyDescent="0.35">
      <c r="A1007" t="s">
        <v>22</v>
      </c>
      <c r="B1007" t="s">
        <v>4</v>
      </c>
      <c r="C1007" t="s">
        <v>37</v>
      </c>
      <c r="D1007">
        <v>0</v>
      </c>
    </row>
    <row r="1008" spans="1:4" x14ac:dyDescent="0.35">
      <c r="A1008" t="s">
        <v>23</v>
      </c>
      <c r="B1008" t="s">
        <v>4</v>
      </c>
      <c r="C1008" t="s">
        <v>37</v>
      </c>
      <c r="D1008">
        <v>0</v>
      </c>
    </row>
    <row r="1009" spans="1:4" x14ac:dyDescent="0.35">
      <c r="A1009" t="s">
        <v>24</v>
      </c>
      <c r="B1009" t="s">
        <v>4</v>
      </c>
      <c r="C1009" t="s">
        <v>37</v>
      </c>
      <c r="D1009">
        <v>0</v>
      </c>
    </row>
    <row r="1010" spans="1:4" x14ac:dyDescent="0.35">
      <c r="A1010" t="s">
        <v>25</v>
      </c>
      <c r="B1010" t="s">
        <v>4</v>
      </c>
      <c r="C1010" t="s">
        <v>37</v>
      </c>
      <c r="D1010">
        <v>0</v>
      </c>
    </row>
    <row r="1011" spans="1:4" x14ac:dyDescent="0.35">
      <c r="A1011" t="s">
        <v>26</v>
      </c>
      <c r="B1011" t="s">
        <v>4</v>
      </c>
      <c r="C1011" t="s">
        <v>37</v>
      </c>
      <c r="D1011">
        <v>0</v>
      </c>
    </row>
    <row r="1012" spans="1:4" x14ac:dyDescent="0.35">
      <c r="A1012" t="s">
        <v>27</v>
      </c>
      <c r="B1012" t="s">
        <v>4</v>
      </c>
      <c r="C1012" t="s">
        <v>37</v>
      </c>
      <c r="D1012">
        <v>0</v>
      </c>
    </row>
    <row r="1013" spans="1:4" x14ac:dyDescent="0.35">
      <c r="A1013" t="s">
        <v>28</v>
      </c>
      <c r="B1013" t="s">
        <v>4</v>
      </c>
      <c r="C1013" t="s">
        <v>37</v>
      </c>
      <c r="D1013">
        <v>0</v>
      </c>
    </row>
    <row r="1014" spans="1:4" x14ac:dyDescent="0.35">
      <c r="A1014" t="s">
        <v>29</v>
      </c>
      <c r="B1014" t="s">
        <v>4</v>
      </c>
      <c r="C1014" t="s">
        <v>37</v>
      </c>
      <c r="D1014">
        <v>0</v>
      </c>
    </row>
    <row r="1015" spans="1:4" x14ac:dyDescent="0.35">
      <c r="A1015" t="s">
        <v>30</v>
      </c>
      <c r="B1015" t="s">
        <v>4</v>
      </c>
      <c r="C1015" t="s">
        <v>37</v>
      </c>
      <c r="D1015">
        <v>0</v>
      </c>
    </row>
    <row r="1016" spans="1:4" x14ac:dyDescent="0.35">
      <c r="A1016" t="s">
        <v>31</v>
      </c>
      <c r="B1016" t="s">
        <v>4</v>
      </c>
      <c r="C1016" t="s">
        <v>37</v>
      </c>
      <c r="D1016">
        <v>0</v>
      </c>
    </row>
    <row r="1017" spans="1:4" x14ac:dyDescent="0.35">
      <c r="A1017" t="s">
        <v>32</v>
      </c>
      <c r="B1017" t="s">
        <v>4</v>
      </c>
      <c r="C1017" t="s">
        <v>37</v>
      </c>
      <c r="D1017">
        <v>0</v>
      </c>
    </row>
    <row r="1018" spans="1:4" x14ac:dyDescent="0.35">
      <c r="A1018" t="s">
        <v>33</v>
      </c>
      <c r="B1018" t="s">
        <v>4</v>
      </c>
      <c r="C1018" t="s">
        <v>37</v>
      </c>
      <c r="D1018">
        <v>0</v>
      </c>
    </row>
    <row r="1019" spans="1:4" x14ac:dyDescent="0.35">
      <c r="A1019" t="s">
        <v>34</v>
      </c>
      <c r="B1019" t="s">
        <v>4</v>
      </c>
      <c r="C1019" t="s">
        <v>37</v>
      </c>
      <c r="D1019">
        <v>0</v>
      </c>
    </row>
    <row r="1020" spans="1:4" x14ac:dyDescent="0.35">
      <c r="A1020" t="s">
        <v>35</v>
      </c>
      <c r="B1020" t="s">
        <v>4</v>
      </c>
      <c r="C1020" t="s">
        <v>37</v>
      </c>
      <c r="D1020">
        <v>0</v>
      </c>
    </row>
    <row r="1021" spans="1:4" x14ac:dyDescent="0.35">
      <c r="A1021" t="s">
        <v>36</v>
      </c>
      <c r="B1021" t="s">
        <v>4</v>
      </c>
      <c r="C1021" t="s">
        <v>37</v>
      </c>
      <c r="D1021">
        <v>0</v>
      </c>
    </row>
    <row r="1022" spans="1:4" x14ac:dyDescent="0.35">
      <c r="A1022" t="s">
        <v>37</v>
      </c>
      <c r="B1022" t="s">
        <v>4</v>
      </c>
      <c r="C1022" t="s">
        <v>37</v>
      </c>
      <c r="D1022">
        <v>0</v>
      </c>
    </row>
    <row r="1023" spans="1:4" x14ac:dyDescent="0.35">
      <c r="A1023" t="s">
        <v>38</v>
      </c>
      <c r="B1023" t="s">
        <v>4</v>
      </c>
      <c r="C1023" t="s">
        <v>37</v>
      </c>
      <c r="D1023">
        <v>0</v>
      </c>
    </row>
    <row r="1024" spans="1:4" x14ac:dyDescent="0.35">
      <c r="A1024" t="s">
        <v>39</v>
      </c>
      <c r="B1024" t="s">
        <v>4</v>
      </c>
      <c r="C1024" t="s">
        <v>37</v>
      </c>
      <c r="D1024">
        <v>0</v>
      </c>
    </row>
    <row r="1025" spans="1:4" x14ac:dyDescent="0.35">
      <c r="A1025" t="s">
        <v>7</v>
      </c>
      <c r="B1025" t="s">
        <v>4</v>
      </c>
      <c r="C1025" t="s">
        <v>38</v>
      </c>
      <c r="D1025">
        <v>0</v>
      </c>
    </row>
    <row r="1026" spans="1:4" x14ac:dyDescent="0.35">
      <c r="A1026" t="s">
        <v>8</v>
      </c>
      <c r="B1026" t="s">
        <v>4</v>
      </c>
      <c r="C1026" t="s">
        <v>38</v>
      </c>
      <c r="D1026">
        <v>0</v>
      </c>
    </row>
    <row r="1027" spans="1:4" x14ac:dyDescent="0.35">
      <c r="A1027" t="s">
        <v>9</v>
      </c>
      <c r="B1027" t="s">
        <v>4</v>
      </c>
      <c r="C1027" t="s">
        <v>38</v>
      </c>
      <c r="D1027">
        <v>0</v>
      </c>
    </row>
    <row r="1028" spans="1:4" x14ac:dyDescent="0.35">
      <c r="A1028" t="s">
        <v>10</v>
      </c>
      <c r="B1028" t="s">
        <v>4</v>
      </c>
      <c r="C1028" t="s">
        <v>38</v>
      </c>
      <c r="D1028">
        <v>0</v>
      </c>
    </row>
    <row r="1029" spans="1:4" x14ac:dyDescent="0.35">
      <c r="A1029" t="s">
        <v>11</v>
      </c>
      <c r="B1029" t="s">
        <v>4</v>
      </c>
      <c r="C1029" t="s">
        <v>38</v>
      </c>
      <c r="D1029">
        <v>0</v>
      </c>
    </row>
    <row r="1030" spans="1:4" x14ac:dyDescent="0.35">
      <c r="A1030" t="s">
        <v>12</v>
      </c>
      <c r="B1030" t="s">
        <v>4</v>
      </c>
      <c r="C1030" t="s">
        <v>38</v>
      </c>
      <c r="D1030">
        <v>0</v>
      </c>
    </row>
    <row r="1031" spans="1:4" x14ac:dyDescent="0.35">
      <c r="A1031" t="s">
        <v>13</v>
      </c>
      <c r="B1031" t="s">
        <v>4</v>
      </c>
      <c r="C1031" t="s">
        <v>38</v>
      </c>
      <c r="D1031">
        <v>0</v>
      </c>
    </row>
    <row r="1032" spans="1:4" x14ac:dyDescent="0.35">
      <c r="A1032" t="s">
        <v>14</v>
      </c>
      <c r="B1032" t="s">
        <v>4</v>
      </c>
      <c r="C1032" t="s">
        <v>38</v>
      </c>
      <c r="D1032">
        <v>0</v>
      </c>
    </row>
    <row r="1033" spans="1:4" x14ac:dyDescent="0.35">
      <c r="A1033" t="s">
        <v>15</v>
      </c>
      <c r="B1033" t="s">
        <v>4</v>
      </c>
      <c r="C1033" t="s">
        <v>38</v>
      </c>
      <c r="D1033">
        <v>0</v>
      </c>
    </row>
    <row r="1034" spans="1:4" x14ac:dyDescent="0.35">
      <c r="A1034" t="s">
        <v>16</v>
      </c>
      <c r="B1034" t="s">
        <v>4</v>
      </c>
      <c r="C1034" t="s">
        <v>38</v>
      </c>
      <c r="D1034">
        <v>0</v>
      </c>
    </row>
    <row r="1035" spans="1:4" x14ac:dyDescent="0.35">
      <c r="A1035" t="s">
        <v>17</v>
      </c>
      <c r="B1035" t="s">
        <v>4</v>
      </c>
      <c r="C1035" t="s">
        <v>38</v>
      </c>
      <c r="D1035">
        <v>0</v>
      </c>
    </row>
    <row r="1036" spans="1:4" x14ac:dyDescent="0.35">
      <c r="A1036" t="s">
        <v>18</v>
      </c>
      <c r="B1036" t="s">
        <v>4</v>
      </c>
      <c r="C1036" t="s">
        <v>38</v>
      </c>
      <c r="D1036">
        <v>0</v>
      </c>
    </row>
    <row r="1037" spans="1:4" x14ac:dyDescent="0.35">
      <c r="A1037" t="s">
        <v>19</v>
      </c>
      <c r="B1037" t="s">
        <v>4</v>
      </c>
      <c r="C1037" t="s">
        <v>38</v>
      </c>
      <c r="D1037">
        <v>0</v>
      </c>
    </row>
    <row r="1038" spans="1:4" x14ac:dyDescent="0.35">
      <c r="A1038" t="s">
        <v>20</v>
      </c>
      <c r="B1038" t="s">
        <v>4</v>
      </c>
      <c r="C1038" t="s">
        <v>38</v>
      </c>
      <c r="D1038">
        <v>0</v>
      </c>
    </row>
    <row r="1039" spans="1:4" x14ac:dyDescent="0.35">
      <c r="A1039" t="s">
        <v>21</v>
      </c>
      <c r="B1039" t="s">
        <v>4</v>
      </c>
      <c r="C1039" t="s">
        <v>38</v>
      </c>
      <c r="D1039">
        <v>0</v>
      </c>
    </row>
    <row r="1040" spans="1:4" x14ac:dyDescent="0.35">
      <c r="A1040" t="s">
        <v>22</v>
      </c>
      <c r="B1040" t="s">
        <v>4</v>
      </c>
      <c r="C1040" t="s">
        <v>38</v>
      </c>
      <c r="D1040">
        <v>0</v>
      </c>
    </row>
    <row r="1041" spans="1:4" x14ac:dyDescent="0.35">
      <c r="A1041" t="s">
        <v>23</v>
      </c>
      <c r="B1041" t="s">
        <v>4</v>
      </c>
      <c r="C1041" t="s">
        <v>38</v>
      </c>
      <c r="D1041">
        <v>0</v>
      </c>
    </row>
    <row r="1042" spans="1:4" x14ac:dyDescent="0.35">
      <c r="A1042" t="s">
        <v>24</v>
      </c>
      <c r="B1042" t="s">
        <v>4</v>
      </c>
      <c r="C1042" t="s">
        <v>38</v>
      </c>
      <c r="D1042">
        <v>0</v>
      </c>
    </row>
    <row r="1043" spans="1:4" x14ac:dyDescent="0.35">
      <c r="A1043" t="s">
        <v>25</v>
      </c>
      <c r="B1043" t="s">
        <v>4</v>
      </c>
      <c r="C1043" t="s">
        <v>38</v>
      </c>
      <c r="D1043">
        <v>0</v>
      </c>
    </row>
    <row r="1044" spans="1:4" x14ac:dyDescent="0.35">
      <c r="A1044" t="s">
        <v>26</v>
      </c>
      <c r="B1044" t="s">
        <v>4</v>
      </c>
      <c r="C1044" t="s">
        <v>38</v>
      </c>
      <c r="D1044">
        <v>0</v>
      </c>
    </row>
    <row r="1045" spans="1:4" x14ac:dyDescent="0.35">
      <c r="A1045" t="s">
        <v>27</v>
      </c>
      <c r="B1045" t="s">
        <v>4</v>
      </c>
      <c r="C1045" t="s">
        <v>38</v>
      </c>
      <c r="D1045">
        <v>0</v>
      </c>
    </row>
    <row r="1046" spans="1:4" x14ac:dyDescent="0.35">
      <c r="A1046" t="s">
        <v>28</v>
      </c>
      <c r="B1046" t="s">
        <v>4</v>
      </c>
      <c r="C1046" t="s">
        <v>38</v>
      </c>
      <c r="D1046">
        <v>0</v>
      </c>
    </row>
    <row r="1047" spans="1:4" x14ac:dyDescent="0.35">
      <c r="A1047" t="s">
        <v>29</v>
      </c>
      <c r="B1047" t="s">
        <v>4</v>
      </c>
      <c r="C1047" t="s">
        <v>38</v>
      </c>
      <c r="D1047">
        <v>0</v>
      </c>
    </row>
    <row r="1048" spans="1:4" x14ac:dyDescent="0.35">
      <c r="A1048" t="s">
        <v>30</v>
      </c>
      <c r="B1048" t="s">
        <v>4</v>
      </c>
      <c r="C1048" t="s">
        <v>38</v>
      </c>
      <c r="D1048">
        <v>0</v>
      </c>
    </row>
    <row r="1049" spans="1:4" x14ac:dyDescent="0.35">
      <c r="A1049" t="s">
        <v>31</v>
      </c>
      <c r="B1049" t="s">
        <v>4</v>
      </c>
      <c r="C1049" t="s">
        <v>38</v>
      </c>
      <c r="D1049">
        <v>0</v>
      </c>
    </row>
    <row r="1050" spans="1:4" x14ac:dyDescent="0.35">
      <c r="A1050" t="s">
        <v>32</v>
      </c>
      <c r="B1050" t="s">
        <v>4</v>
      </c>
      <c r="C1050" t="s">
        <v>38</v>
      </c>
      <c r="D1050">
        <v>0</v>
      </c>
    </row>
    <row r="1051" spans="1:4" x14ac:dyDescent="0.35">
      <c r="A1051" t="s">
        <v>33</v>
      </c>
      <c r="B1051" t="s">
        <v>4</v>
      </c>
      <c r="C1051" t="s">
        <v>38</v>
      </c>
      <c r="D1051">
        <v>0</v>
      </c>
    </row>
    <row r="1052" spans="1:4" x14ac:dyDescent="0.35">
      <c r="A1052" t="s">
        <v>34</v>
      </c>
      <c r="B1052" t="s">
        <v>4</v>
      </c>
      <c r="C1052" t="s">
        <v>38</v>
      </c>
      <c r="D1052">
        <v>0</v>
      </c>
    </row>
    <row r="1053" spans="1:4" x14ac:dyDescent="0.35">
      <c r="A1053" t="s">
        <v>35</v>
      </c>
      <c r="B1053" t="s">
        <v>4</v>
      </c>
      <c r="C1053" t="s">
        <v>38</v>
      </c>
      <c r="D1053">
        <v>0</v>
      </c>
    </row>
    <row r="1054" spans="1:4" x14ac:dyDescent="0.35">
      <c r="A1054" t="s">
        <v>36</v>
      </c>
      <c r="B1054" t="s">
        <v>4</v>
      </c>
      <c r="C1054" t="s">
        <v>38</v>
      </c>
      <c r="D1054">
        <v>0</v>
      </c>
    </row>
    <row r="1055" spans="1:4" x14ac:dyDescent="0.35">
      <c r="A1055" t="s">
        <v>37</v>
      </c>
      <c r="B1055" t="s">
        <v>4</v>
      </c>
      <c r="C1055" t="s">
        <v>38</v>
      </c>
      <c r="D1055">
        <v>0</v>
      </c>
    </row>
    <row r="1056" spans="1:4" x14ac:dyDescent="0.35">
      <c r="A1056" t="s">
        <v>38</v>
      </c>
      <c r="B1056" t="s">
        <v>4</v>
      </c>
      <c r="C1056" t="s">
        <v>38</v>
      </c>
      <c r="D1056">
        <v>0</v>
      </c>
    </row>
    <row r="1057" spans="1:4" x14ac:dyDescent="0.35">
      <c r="A1057" t="s">
        <v>39</v>
      </c>
      <c r="B1057" t="s">
        <v>4</v>
      </c>
      <c r="C1057" t="s">
        <v>38</v>
      </c>
      <c r="D1057">
        <v>0</v>
      </c>
    </row>
    <row r="1058" spans="1:4" x14ac:dyDescent="0.35">
      <c r="A1058" t="s">
        <v>7</v>
      </c>
      <c r="B1058" t="s">
        <v>4</v>
      </c>
      <c r="C1058" t="s">
        <v>39</v>
      </c>
      <c r="D1058">
        <v>0</v>
      </c>
    </row>
    <row r="1059" spans="1:4" x14ac:dyDescent="0.35">
      <c r="A1059" t="s">
        <v>8</v>
      </c>
      <c r="B1059" t="s">
        <v>4</v>
      </c>
      <c r="C1059" t="s">
        <v>39</v>
      </c>
      <c r="D1059">
        <v>0</v>
      </c>
    </row>
    <row r="1060" spans="1:4" x14ac:dyDescent="0.35">
      <c r="A1060" t="s">
        <v>9</v>
      </c>
      <c r="B1060" t="s">
        <v>4</v>
      </c>
      <c r="C1060" t="s">
        <v>39</v>
      </c>
      <c r="D1060">
        <v>0</v>
      </c>
    </row>
    <row r="1061" spans="1:4" x14ac:dyDescent="0.35">
      <c r="A1061" t="s">
        <v>10</v>
      </c>
      <c r="B1061" t="s">
        <v>4</v>
      </c>
      <c r="C1061" t="s">
        <v>39</v>
      </c>
      <c r="D1061">
        <v>0</v>
      </c>
    </row>
    <row r="1062" spans="1:4" x14ac:dyDescent="0.35">
      <c r="A1062" t="s">
        <v>11</v>
      </c>
      <c r="B1062" t="s">
        <v>4</v>
      </c>
      <c r="C1062" t="s">
        <v>39</v>
      </c>
      <c r="D1062">
        <v>0</v>
      </c>
    </row>
    <row r="1063" spans="1:4" x14ac:dyDescent="0.35">
      <c r="A1063" t="s">
        <v>12</v>
      </c>
      <c r="B1063" t="s">
        <v>4</v>
      </c>
      <c r="C1063" t="s">
        <v>39</v>
      </c>
      <c r="D1063">
        <v>0</v>
      </c>
    </row>
    <row r="1064" spans="1:4" x14ac:dyDescent="0.35">
      <c r="A1064" t="s">
        <v>13</v>
      </c>
      <c r="B1064" t="s">
        <v>4</v>
      </c>
      <c r="C1064" t="s">
        <v>39</v>
      </c>
      <c r="D1064">
        <v>0</v>
      </c>
    </row>
    <row r="1065" spans="1:4" x14ac:dyDescent="0.35">
      <c r="A1065" t="s">
        <v>14</v>
      </c>
      <c r="B1065" t="s">
        <v>4</v>
      </c>
      <c r="C1065" t="s">
        <v>39</v>
      </c>
      <c r="D1065">
        <v>0</v>
      </c>
    </row>
    <row r="1066" spans="1:4" x14ac:dyDescent="0.35">
      <c r="A1066" t="s">
        <v>15</v>
      </c>
      <c r="B1066" t="s">
        <v>4</v>
      </c>
      <c r="C1066" t="s">
        <v>39</v>
      </c>
      <c r="D1066">
        <v>0</v>
      </c>
    </row>
    <row r="1067" spans="1:4" x14ac:dyDescent="0.35">
      <c r="A1067" t="s">
        <v>16</v>
      </c>
      <c r="B1067" t="s">
        <v>4</v>
      </c>
      <c r="C1067" t="s">
        <v>39</v>
      </c>
      <c r="D1067">
        <v>0</v>
      </c>
    </row>
    <row r="1068" spans="1:4" x14ac:dyDescent="0.35">
      <c r="A1068" t="s">
        <v>17</v>
      </c>
      <c r="B1068" t="s">
        <v>4</v>
      </c>
      <c r="C1068" t="s">
        <v>39</v>
      </c>
      <c r="D1068">
        <v>0</v>
      </c>
    </row>
    <row r="1069" spans="1:4" x14ac:dyDescent="0.35">
      <c r="A1069" t="s">
        <v>18</v>
      </c>
      <c r="B1069" t="s">
        <v>4</v>
      </c>
      <c r="C1069" t="s">
        <v>39</v>
      </c>
      <c r="D1069">
        <v>0</v>
      </c>
    </row>
    <row r="1070" spans="1:4" x14ac:dyDescent="0.35">
      <c r="A1070" t="s">
        <v>19</v>
      </c>
      <c r="B1070" t="s">
        <v>4</v>
      </c>
      <c r="C1070" t="s">
        <v>39</v>
      </c>
      <c r="D1070">
        <v>0</v>
      </c>
    </row>
    <row r="1071" spans="1:4" x14ac:dyDescent="0.35">
      <c r="A1071" t="s">
        <v>20</v>
      </c>
      <c r="B1071" t="s">
        <v>4</v>
      </c>
      <c r="C1071" t="s">
        <v>39</v>
      </c>
      <c r="D1071">
        <v>0</v>
      </c>
    </row>
    <row r="1072" spans="1:4" x14ac:dyDescent="0.35">
      <c r="A1072" t="s">
        <v>21</v>
      </c>
      <c r="B1072" t="s">
        <v>4</v>
      </c>
      <c r="C1072" t="s">
        <v>39</v>
      </c>
      <c r="D1072">
        <v>0</v>
      </c>
    </row>
    <row r="1073" spans="1:4" x14ac:dyDescent="0.35">
      <c r="A1073" t="s">
        <v>22</v>
      </c>
      <c r="B1073" t="s">
        <v>4</v>
      </c>
      <c r="C1073" t="s">
        <v>39</v>
      </c>
      <c r="D1073">
        <v>0</v>
      </c>
    </row>
    <row r="1074" spans="1:4" x14ac:dyDescent="0.35">
      <c r="A1074" t="s">
        <v>23</v>
      </c>
      <c r="B1074" t="s">
        <v>4</v>
      </c>
      <c r="C1074" t="s">
        <v>39</v>
      </c>
      <c r="D1074">
        <v>0</v>
      </c>
    </row>
    <row r="1075" spans="1:4" x14ac:dyDescent="0.35">
      <c r="A1075" t="s">
        <v>24</v>
      </c>
      <c r="B1075" t="s">
        <v>4</v>
      </c>
      <c r="C1075" t="s">
        <v>39</v>
      </c>
      <c r="D1075">
        <v>0</v>
      </c>
    </row>
    <row r="1076" spans="1:4" x14ac:dyDescent="0.35">
      <c r="A1076" t="s">
        <v>25</v>
      </c>
      <c r="B1076" t="s">
        <v>4</v>
      </c>
      <c r="C1076" t="s">
        <v>39</v>
      </c>
      <c r="D1076">
        <v>0</v>
      </c>
    </row>
    <row r="1077" spans="1:4" x14ac:dyDescent="0.35">
      <c r="A1077" t="s">
        <v>26</v>
      </c>
      <c r="B1077" t="s">
        <v>4</v>
      </c>
      <c r="C1077" t="s">
        <v>39</v>
      </c>
      <c r="D1077">
        <v>0</v>
      </c>
    </row>
    <row r="1078" spans="1:4" x14ac:dyDescent="0.35">
      <c r="A1078" t="s">
        <v>27</v>
      </c>
      <c r="B1078" t="s">
        <v>4</v>
      </c>
      <c r="C1078" t="s">
        <v>39</v>
      </c>
      <c r="D1078">
        <v>0</v>
      </c>
    </row>
    <row r="1079" spans="1:4" x14ac:dyDescent="0.35">
      <c r="A1079" t="s">
        <v>28</v>
      </c>
      <c r="B1079" t="s">
        <v>4</v>
      </c>
      <c r="C1079" t="s">
        <v>39</v>
      </c>
      <c r="D1079">
        <v>0</v>
      </c>
    </row>
    <row r="1080" spans="1:4" x14ac:dyDescent="0.35">
      <c r="A1080" t="s">
        <v>29</v>
      </c>
      <c r="B1080" t="s">
        <v>4</v>
      </c>
      <c r="C1080" t="s">
        <v>39</v>
      </c>
      <c r="D1080">
        <v>0</v>
      </c>
    </row>
    <row r="1081" spans="1:4" x14ac:dyDescent="0.35">
      <c r="A1081" t="s">
        <v>30</v>
      </c>
      <c r="B1081" t="s">
        <v>4</v>
      </c>
      <c r="C1081" t="s">
        <v>39</v>
      </c>
      <c r="D1081">
        <v>0</v>
      </c>
    </row>
    <row r="1082" spans="1:4" x14ac:dyDescent="0.35">
      <c r="A1082" t="s">
        <v>31</v>
      </c>
      <c r="B1082" t="s">
        <v>4</v>
      </c>
      <c r="C1082" t="s">
        <v>39</v>
      </c>
      <c r="D1082">
        <v>0</v>
      </c>
    </row>
    <row r="1083" spans="1:4" x14ac:dyDescent="0.35">
      <c r="A1083" t="s">
        <v>32</v>
      </c>
      <c r="B1083" t="s">
        <v>4</v>
      </c>
      <c r="C1083" t="s">
        <v>39</v>
      </c>
      <c r="D1083">
        <v>0</v>
      </c>
    </row>
    <row r="1084" spans="1:4" x14ac:dyDescent="0.35">
      <c r="A1084" t="s">
        <v>33</v>
      </c>
      <c r="B1084" t="s">
        <v>4</v>
      </c>
      <c r="C1084" t="s">
        <v>39</v>
      </c>
      <c r="D1084">
        <v>0</v>
      </c>
    </row>
    <row r="1085" spans="1:4" x14ac:dyDescent="0.35">
      <c r="A1085" t="s">
        <v>34</v>
      </c>
      <c r="B1085" t="s">
        <v>4</v>
      </c>
      <c r="C1085" t="s">
        <v>39</v>
      </c>
      <c r="D1085">
        <v>0</v>
      </c>
    </row>
    <row r="1086" spans="1:4" x14ac:dyDescent="0.35">
      <c r="A1086" t="s">
        <v>35</v>
      </c>
      <c r="B1086" t="s">
        <v>4</v>
      </c>
      <c r="C1086" t="s">
        <v>39</v>
      </c>
      <c r="D1086">
        <v>0</v>
      </c>
    </row>
    <row r="1087" spans="1:4" x14ac:dyDescent="0.35">
      <c r="A1087" t="s">
        <v>36</v>
      </c>
      <c r="B1087" t="s">
        <v>4</v>
      </c>
      <c r="C1087" t="s">
        <v>39</v>
      </c>
      <c r="D1087">
        <v>0</v>
      </c>
    </row>
    <row r="1088" spans="1:4" x14ac:dyDescent="0.35">
      <c r="A1088" t="s">
        <v>37</v>
      </c>
      <c r="B1088" t="s">
        <v>4</v>
      </c>
      <c r="C1088" t="s">
        <v>39</v>
      </c>
      <c r="D1088">
        <v>0</v>
      </c>
    </row>
    <row r="1089" spans="1:4" x14ac:dyDescent="0.35">
      <c r="A1089" t="s">
        <v>38</v>
      </c>
      <c r="B1089" t="s">
        <v>4</v>
      </c>
      <c r="C1089" t="s">
        <v>39</v>
      </c>
      <c r="D1089">
        <v>0</v>
      </c>
    </row>
    <row r="1090" spans="1:4" x14ac:dyDescent="0.35">
      <c r="A1090" t="s">
        <v>39</v>
      </c>
      <c r="B1090" t="s">
        <v>4</v>
      </c>
      <c r="C1090" t="s">
        <v>39</v>
      </c>
      <c r="D1090">
        <v>0</v>
      </c>
    </row>
    <row r="1091" spans="1:4" x14ac:dyDescent="0.35">
      <c r="A1091" t="s">
        <v>7</v>
      </c>
      <c r="B1091" t="s">
        <v>5</v>
      </c>
      <c r="C1091" t="s">
        <v>7</v>
      </c>
      <c r="D1091">
        <v>0</v>
      </c>
    </row>
    <row r="1092" spans="1:4" x14ac:dyDescent="0.35">
      <c r="A1092" t="s">
        <v>8</v>
      </c>
      <c r="B1092" t="s">
        <v>5</v>
      </c>
      <c r="C1092" t="s">
        <v>7</v>
      </c>
      <c r="D1092">
        <v>0</v>
      </c>
    </row>
    <row r="1093" spans="1:4" x14ac:dyDescent="0.35">
      <c r="A1093" t="s">
        <v>9</v>
      </c>
      <c r="B1093" t="s">
        <v>5</v>
      </c>
      <c r="C1093" t="s">
        <v>7</v>
      </c>
      <c r="D1093">
        <v>0</v>
      </c>
    </row>
    <row r="1094" spans="1:4" x14ac:dyDescent="0.35">
      <c r="A1094" t="s">
        <v>10</v>
      </c>
      <c r="B1094" t="s">
        <v>5</v>
      </c>
      <c r="C1094" t="s">
        <v>7</v>
      </c>
      <c r="D1094">
        <v>0</v>
      </c>
    </row>
    <row r="1095" spans="1:4" x14ac:dyDescent="0.35">
      <c r="A1095" t="s">
        <v>11</v>
      </c>
      <c r="B1095" t="s">
        <v>5</v>
      </c>
      <c r="C1095" t="s">
        <v>7</v>
      </c>
      <c r="D1095">
        <v>0</v>
      </c>
    </row>
    <row r="1096" spans="1:4" x14ac:dyDescent="0.35">
      <c r="A1096" t="s">
        <v>12</v>
      </c>
      <c r="B1096" t="s">
        <v>5</v>
      </c>
      <c r="C1096" t="s">
        <v>7</v>
      </c>
      <c r="D1096">
        <v>0</v>
      </c>
    </row>
    <row r="1097" spans="1:4" x14ac:dyDescent="0.35">
      <c r="A1097" t="s">
        <v>13</v>
      </c>
      <c r="B1097" t="s">
        <v>5</v>
      </c>
      <c r="C1097" t="s">
        <v>7</v>
      </c>
      <c r="D1097">
        <v>0</v>
      </c>
    </row>
    <row r="1098" spans="1:4" x14ac:dyDescent="0.35">
      <c r="A1098" t="s">
        <v>14</v>
      </c>
      <c r="B1098" t="s">
        <v>5</v>
      </c>
      <c r="C1098" t="s">
        <v>7</v>
      </c>
      <c r="D1098">
        <v>0</v>
      </c>
    </row>
    <row r="1099" spans="1:4" x14ac:dyDescent="0.35">
      <c r="A1099" t="s">
        <v>15</v>
      </c>
      <c r="B1099" t="s">
        <v>5</v>
      </c>
      <c r="C1099" t="s">
        <v>7</v>
      </c>
      <c r="D1099">
        <v>0</v>
      </c>
    </row>
    <row r="1100" spans="1:4" x14ac:dyDescent="0.35">
      <c r="A1100" t="s">
        <v>16</v>
      </c>
      <c r="B1100" t="s">
        <v>5</v>
      </c>
      <c r="C1100" t="s">
        <v>7</v>
      </c>
      <c r="D1100">
        <v>0</v>
      </c>
    </row>
    <row r="1101" spans="1:4" x14ac:dyDescent="0.35">
      <c r="A1101" t="s">
        <v>17</v>
      </c>
      <c r="B1101" t="s">
        <v>5</v>
      </c>
      <c r="C1101" t="s">
        <v>7</v>
      </c>
      <c r="D1101">
        <v>0</v>
      </c>
    </row>
    <row r="1102" spans="1:4" x14ac:dyDescent="0.35">
      <c r="A1102" t="s">
        <v>18</v>
      </c>
      <c r="B1102" t="s">
        <v>5</v>
      </c>
      <c r="C1102" t="s">
        <v>7</v>
      </c>
      <c r="D1102">
        <v>0</v>
      </c>
    </row>
    <row r="1103" spans="1:4" x14ac:dyDescent="0.35">
      <c r="A1103" t="s">
        <v>19</v>
      </c>
      <c r="B1103" t="s">
        <v>5</v>
      </c>
      <c r="C1103" t="s">
        <v>7</v>
      </c>
      <c r="D1103">
        <v>0</v>
      </c>
    </row>
    <row r="1104" spans="1:4" x14ac:dyDescent="0.35">
      <c r="A1104" t="s">
        <v>20</v>
      </c>
      <c r="B1104" t="s">
        <v>5</v>
      </c>
      <c r="C1104" t="s">
        <v>7</v>
      </c>
      <c r="D1104">
        <v>0</v>
      </c>
    </row>
    <row r="1105" spans="1:4" x14ac:dyDescent="0.35">
      <c r="A1105" t="s">
        <v>21</v>
      </c>
      <c r="B1105" t="s">
        <v>5</v>
      </c>
      <c r="C1105" t="s">
        <v>7</v>
      </c>
      <c r="D1105">
        <v>0</v>
      </c>
    </row>
    <row r="1106" spans="1:4" x14ac:dyDescent="0.35">
      <c r="A1106" t="s">
        <v>22</v>
      </c>
      <c r="B1106" t="s">
        <v>5</v>
      </c>
      <c r="C1106" t="s">
        <v>7</v>
      </c>
      <c r="D1106">
        <v>0</v>
      </c>
    </row>
    <row r="1107" spans="1:4" x14ac:dyDescent="0.35">
      <c r="A1107" t="s">
        <v>23</v>
      </c>
      <c r="B1107" t="s">
        <v>5</v>
      </c>
      <c r="C1107" t="s">
        <v>7</v>
      </c>
      <c r="D1107">
        <v>0</v>
      </c>
    </row>
    <row r="1108" spans="1:4" x14ac:dyDescent="0.35">
      <c r="A1108" t="s">
        <v>24</v>
      </c>
      <c r="B1108" t="s">
        <v>5</v>
      </c>
      <c r="C1108" t="s">
        <v>7</v>
      </c>
      <c r="D1108">
        <v>0</v>
      </c>
    </row>
    <row r="1109" spans="1:4" x14ac:dyDescent="0.35">
      <c r="A1109" t="s">
        <v>25</v>
      </c>
      <c r="B1109" t="s">
        <v>5</v>
      </c>
      <c r="C1109" t="s">
        <v>7</v>
      </c>
      <c r="D1109">
        <v>0</v>
      </c>
    </row>
    <row r="1110" spans="1:4" x14ac:dyDescent="0.35">
      <c r="A1110" t="s">
        <v>26</v>
      </c>
      <c r="B1110" t="s">
        <v>5</v>
      </c>
      <c r="C1110" t="s">
        <v>7</v>
      </c>
      <c r="D1110">
        <v>0</v>
      </c>
    </row>
    <row r="1111" spans="1:4" x14ac:dyDescent="0.35">
      <c r="A1111" t="s">
        <v>27</v>
      </c>
      <c r="B1111" t="s">
        <v>5</v>
      </c>
      <c r="C1111" t="s">
        <v>7</v>
      </c>
      <c r="D1111">
        <v>0</v>
      </c>
    </row>
    <row r="1112" spans="1:4" x14ac:dyDescent="0.35">
      <c r="A1112" t="s">
        <v>28</v>
      </c>
      <c r="B1112" t="s">
        <v>5</v>
      </c>
      <c r="C1112" t="s">
        <v>7</v>
      </c>
      <c r="D1112">
        <v>0</v>
      </c>
    </row>
    <row r="1113" spans="1:4" x14ac:dyDescent="0.35">
      <c r="A1113" t="s">
        <v>29</v>
      </c>
      <c r="B1113" t="s">
        <v>5</v>
      </c>
      <c r="C1113" t="s">
        <v>7</v>
      </c>
      <c r="D1113">
        <v>0</v>
      </c>
    </row>
    <row r="1114" spans="1:4" x14ac:dyDescent="0.35">
      <c r="A1114" t="s">
        <v>30</v>
      </c>
      <c r="B1114" t="s">
        <v>5</v>
      </c>
      <c r="C1114" t="s">
        <v>7</v>
      </c>
      <c r="D1114">
        <v>0</v>
      </c>
    </row>
    <row r="1115" spans="1:4" x14ac:dyDescent="0.35">
      <c r="A1115" t="s">
        <v>31</v>
      </c>
      <c r="B1115" t="s">
        <v>5</v>
      </c>
      <c r="C1115" t="s">
        <v>7</v>
      </c>
      <c r="D1115">
        <v>0</v>
      </c>
    </row>
    <row r="1116" spans="1:4" x14ac:dyDescent="0.35">
      <c r="A1116" t="s">
        <v>32</v>
      </c>
      <c r="B1116" t="s">
        <v>5</v>
      </c>
      <c r="C1116" t="s">
        <v>7</v>
      </c>
      <c r="D1116">
        <v>0</v>
      </c>
    </row>
    <row r="1117" spans="1:4" x14ac:dyDescent="0.35">
      <c r="A1117" t="s">
        <v>33</v>
      </c>
      <c r="B1117" t="s">
        <v>5</v>
      </c>
      <c r="C1117" t="s">
        <v>7</v>
      </c>
      <c r="D1117">
        <v>0</v>
      </c>
    </row>
    <row r="1118" spans="1:4" x14ac:dyDescent="0.35">
      <c r="A1118" t="s">
        <v>34</v>
      </c>
      <c r="B1118" t="s">
        <v>5</v>
      </c>
      <c r="C1118" t="s">
        <v>7</v>
      </c>
      <c r="D1118">
        <v>0</v>
      </c>
    </row>
    <row r="1119" spans="1:4" x14ac:dyDescent="0.35">
      <c r="A1119" t="s">
        <v>35</v>
      </c>
      <c r="B1119" t="s">
        <v>5</v>
      </c>
      <c r="C1119" t="s">
        <v>7</v>
      </c>
      <c r="D1119">
        <v>0</v>
      </c>
    </row>
    <row r="1120" spans="1:4" x14ac:dyDescent="0.35">
      <c r="A1120" t="s">
        <v>36</v>
      </c>
      <c r="B1120" t="s">
        <v>5</v>
      </c>
      <c r="C1120" t="s">
        <v>7</v>
      </c>
      <c r="D1120">
        <v>0</v>
      </c>
    </row>
    <row r="1121" spans="1:4" x14ac:dyDescent="0.35">
      <c r="A1121" t="s">
        <v>37</v>
      </c>
      <c r="B1121" t="s">
        <v>5</v>
      </c>
      <c r="C1121" t="s">
        <v>7</v>
      </c>
      <c r="D1121">
        <v>0</v>
      </c>
    </row>
    <row r="1122" spans="1:4" x14ac:dyDescent="0.35">
      <c r="A1122" t="s">
        <v>38</v>
      </c>
      <c r="B1122" t="s">
        <v>5</v>
      </c>
      <c r="C1122" t="s">
        <v>7</v>
      </c>
      <c r="D1122">
        <v>0</v>
      </c>
    </row>
    <row r="1123" spans="1:4" x14ac:dyDescent="0.35">
      <c r="A1123" t="s">
        <v>39</v>
      </c>
      <c r="B1123" t="s">
        <v>5</v>
      </c>
      <c r="C1123" t="s">
        <v>7</v>
      </c>
      <c r="D1123">
        <v>0</v>
      </c>
    </row>
    <row r="1124" spans="1:4" x14ac:dyDescent="0.35">
      <c r="A1124" t="s">
        <v>7</v>
      </c>
      <c r="B1124" t="s">
        <v>5</v>
      </c>
      <c r="C1124" t="s">
        <v>8</v>
      </c>
      <c r="D1124">
        <v>0</v>
      </c>
    </row>
    <row r="1125" spans="1:4" x14ac:dyDescent="0.35">
      <c r="A1125" t="s">
        <v>8</v>
      </c>
      <c r="B1125" t="s">
        <v>5</v>
      </c>
      <c r="C1125" t="s">
        <v>8</v>
      </c>
      <c r="D1125">
        <v>0</v>
      </c>
    </row>
    <row r="1126" spans="1:4" x14ac:dyDescent="0.35">
      <c r="A1126" t="s">
        <v>9</v>
      </c>
      <c r="B1126" t="s">
        <v>5</v>
      </c>
      <c r="C1126" t="s">
        <v>8</v>
      </c>
      <c r="D1126">
        <v>0</v>
      </c>
    </row>
    <row r="1127" spans="1:4" x14ac:dyDescent="0.35">
      <c r="A1127" t="s">
        <v>10</v>
      </c>
      <c r="B1127" t="s">
        <v>5</v>
      </c>
      <c r="C1127" t="s">
        <v>8</v>
      </c>
      <c r="D1127">
        <v>0</v>
      </c>
    </row>
    <row r="1128" spans="1:4" x14ac:dyDescent="0.35">
      <c r="A1128" t="s">
        <v>11</v>
      </c>
      <c r="B1128" t="s">
        <v>5</v>
      </c>
      <c r="C1128" t="s">
        <v>8</v>
      </c>
      <c r="D1128">
        <v>0</v>
      </c>
    </row>
    <row r="1129" spans="1:4" x14ac:dyDescent="0.35">
      <c r="A1129" t="s">
        <v>12</v>
      </c>
      <c r="B1129" t="s">
        <v>5</v>
      </c>
      <c r="C1129" t="s">
        <v>8</v>
      </c>
      <c r="D1129">
        <v>0</v>
      </c>
    </row>
    <row r="1130" spans="1:4" x14ac:dyDescent="0.35">
      <c r="A1130" t="s">
        <v>13</v>
      </c>
      <c r="B1130" t="s">
        <v>5</v>
      </c>
      <c r="C1130" t="s">
        <v>8</v>
      </c>
      <c r="D1130">
        <v>0</v>
      </c>
    </row>
    <row r="1131" spans="1:4" x14ac:dyDescent="0.35">
      <c r="A1131" t="s">
        <v>14</v>
      </c>
      <c r="B1131" t="s">
        <v>5</v>
      </c>
      <c r="C1131" t="s">
        <v>8</v>
      </c>
      <c r="D1131">
        <v>0</v>
      </c>
    </row>
    <row r="1132" spans="1:4" x14ac:dyDescent="0.35">
      <c r="A1132" t="s">
        <v>15</v>
      </c>
      <c r="B1132" t="s">
        <v>5</v>
      </c>
      <c r="C1132" t="s">
        <v>8</v>
      </c>
      <c r="D1132">
        <v>0</v>
      </c>
    </row>
    <row r="1133" spans="1:4" x14ac:dyDescent="0.35">
      <c r="A1133" t="s">
        <v>16</v>
      </c>
      <c r="B1133" t="s">
        <v>5</v>
      </c>
      <c r="C1133" t="s">
        <v>8</v>
      </c>
      <c r="D1133">
        <v>0</v>
      </c>
    </row>
    <row r="1134" spans="1:4" x14ac:dyDescent="0.35">
      <c r="A1134" t="s">
        <v>17</v>
      </c>
      <c r="B1134" t="s">
        <v>5</v>
      </c>
      <c r="C1134" t="s">
        <v>8</v>
      </c>
      <c r="D1134">
        <v>0</v>
      </c>
    </row>
    <row r="1135" spans="1:4" x14ac:dyDescent="0.35">
      <c r="A1135" t="s">
        <v>18</v>
      </c>
      <c r="B1135" t="s">
        <v>5</v>
      </c>
      <c r="C1135" t="s">
        <v>8</v>
      </c>
      <c r="D1135">
        <v>0</v>
      </c>
    </row>
    <row r="1136" spans="1:4" x14ac:dyDescent="0.35">
      <c r="A1136" t="s">
        <v>19</v>
      </c>
      <c r="B1136" t="s">
        <v>5</v>
      </c>
      <c r="C1136" t="s">
        <v>8</v>
      </c>
      <c r="D1136">
        <v>0</v>
      </c>
    </row>
    <row r="1137" spans="1:4" x14ac:dyDescent="0.35">
      <c r="A1137" t="s">
        <v>20</v>
      </c>
      <c r="B1137" t="s">
        <v>5</v>
      </c>
      <c r="C1137" t="s">
        <v>8</v>
      </c>
      <c r="D1137">
        <v>0</v>
      </c>
    </row>
    <row r="1138" spans="1:4" x14ac:dyDescent="0.35">
      <c r="A1138" t="s">
        <v>21</v>
      </c>
      <c r="B1138" t="s">
        <v>5</v>
      </c>
      <c r="C1138" t="s">
        <v>8</v>
      </c>
      <c r="D1138">
        <v>0</v>
      </c>
    </row>
    <row r="1139" spans="1:4" x14ac:dyDescent="0.35">
      <c r="A1139" t="s">
        <v>22</v>
      </c>
      <c r="B1139" t="s">
        <v>5</v>
      </c>
      <c r="C1139" t="s">
        <v>8</v>
      </c>
      <c r="D1139">
        <v>0</v>
      </c>
    </row>
    <row r="1140" spans="1:4" x14ac:dyDescent="0.35">
      <c r="A1140" t="s">
        <v>23</v>
      </c>
      <c r="B1140" t="s">
        <v>5</v>
      </c>
      <c r="C1140" t="s">
        <v>8</v>
      </c>
      <c r="D1140">
        <v>0</v>
      </c>
    </row>
    <row r="1141" spans="1:4" x14ac:dyDescent="0.35">
      <c r="A1141" t="s">
        <v>24</v>
      </c>
      <c r="B1141" t="s">
        <v>5</v>
      </c>
      <c r="C1141" t="s">
        <v>8</v>
      </c>
      <c r="D1141">
        <v>0</v>
      </c>
    </row>
    <row r="1142" spans="1:4" x14ac:dyDescent="0.35">
      <c r="A1142" t="s">
        <v>25</v>
      </c>
      <c r="B1142" t="s">
        <v>5</v>
      </c>
      <c r="C1142" t="s">
        <v>8</v>
      </c>
      <c r="D1142">
        <v>0</v>
      </c>
    </row>
    <row r="1143" spans="1:4" x14ac:dyDescent="0.35">
      <c r="A1143" t="s">
        <v>26</v>
      </c>
      <c r="B1143" t="s">
        <v>5</v>
      </c>
      <c r="C1143" t="s">
        <v>8</v>
      </c>
      <c r="D1143">
        <v>0</v>
      </c>
    </row>
    <row r="1144" spans="1:4" x14ac:dyDescent="0.35">
      <c r="A1144" t="s">
        <v>27</v>
      </c>
      <c r="B1144" t="s">
        <v>5</v>
      </c>
      <c r="C1144" t="s">
        <v>8</v>
      </c>
      <c r="D1144">
        <v>0</v>
      </c>
    </row>
    <row r="1145" spans="1:4" x14ac:dyDescent="0.35">
      <c r="A1145" t="s">
        <v>28</v>
      </c>
      <c r="B1145" t="s">
        <v>5</v>
      </c>
      <c r="C1145" t="s">
        <v>8</v>
      </c>
      <c r="D1145">
        <v>0</v>
      </c>
    </row>
    <row r="1146" spans="1:4" x14ac:dyDescent="0.35">
      <c r="A1146" t="s">
        <v>29</v>
      </c>
      <c r="B1146" t="s">
        <v>5</v>
      </c>
      <c r="C1146" t="s">
        <v>8</v>
      </c>
      <c r="D1146">
        <v>0</v>
      </c>
    </row>
    <row r="1147" spans="1:4" x14ac:dyDescent="0.35">
      <c r="A1147" t="s">
        <v>30</v>
      </c>
      <c r="B1147" t="s">
        <v>5</v>
      </c>
      <c r="C1147" t="s">
        <v>8</v>
      </c>
      <c r="D1147">
        <v>0</v>
      </c>
    </row>
    <row r="1148" spans="1:4" x14ac:dyDescent="0.35">
      <c r="A1148" t="s">
        <v>31</v>
      </c>
      <c r="B1148" t="s">
        <v>5</v>
      </c>
      <c r="C1148" t="s">
        <v>8</v>
      </c>
      <c r="D1148">
        <v>0</v>
      </c>
    </row>
    <row r="1149" spans="1:4" x14ac:dyDescent="0.35">
      <c r="A1149" t="s">
        <v>32</v>
      </c>
      <c r="B1149" t="s">
        <v>5</v>
      </c>
      <c r="C1149" t="s">
        <v>8</v>
      </c>
      <c r="D1149">
        <v>0</v>
      </c>
    </row>
    <row r="1150" spans="1:4" x14ac:dyDescent="0.35">
      <c r="A1150" t="s">
        <v>33</v>
      </c>
      <c r="B1150" t="s">
        <v>5</v>
      </c>
      <c r="C1150" t="s">
        <v>8</v>
      </c>
      <c r="D1150">
        <v>0</v>
      </c>
    </row>
    <row r="1151" spans="1:4" x14ac:dyDescent="0.35">
      <c r="A1151" t="s">
        <v>34</v>
      </c>
      <c r="B1151" t="s">
        <v>5</v>
      </c>
      <c r="C1151" t="s">
        <v>8</v>
      </c>
      <c r="D1151">
        <v>0</v>
      </c>
    </row>
    <row r="1152" spans="1:4" x14ac:dyDescent="0.35">
      <c r="A1152" t="s">
        <v>35</v>
      </c>
      <c r="B1152" t="s">
        <v>5</v>
      </c>
      <c r="C1152" t="s">
        <v>8</v>
      </c>
      <c r="D1152">
        <v>0</v>
      </c>
    </row>
    <row r="1153" spans="1:4" x14ac:dyDescent="0.35">
      <c r="A1153" t="s">
        <v>36</v>
      </c>
      <c r="B1153" t="s">
        <v>5</v>
      </c>
      <c r="C1153" t="s">
        <v>8</v>
      </c>
      <c r="D1153">
        <v>0</v>
      </c>
    </row>
    <row r="1154" spans="1:4" x14ac:dyDescent="0.35">
      <c r="A1154" t="s">
        <v>37</v>
      </c>
      <c r="B1154" t="s">
        <v>5</v>
      </c>
      <c r="C1154" t="s">
        <v>8</v>
      </c>
      <c r="D1154">
        <v>0</v>
      </c>
    </row>
    <row r="1155" spans="1:4" x14ac:dyDescent="0.35">
      <c r="A1155" t="s">
        <v>38</v>
      </c>
      <c r="B1155" t="s">
        <v>5</v>
      </c>
      <c r="C1155" t="s">
        <v>8</v>
      </c>
      <c r="D1155">
        <v>0</v>
      </c>
    </row>
    <row r="1156" spans="1:4" x14ac:dyDescent="0.35">
      <c r="A1156" t="s">
        <v>39</v>
      </c>
      <c r="B1156" t="s">
        <v>5</v>
      </c>
      <c r="C1156" t="s">
        <v>8</v>
      </c>
      <c r="D1156">
        <v>0</v>
      </c>
    </row>
    <row r="1157" spans="1:4" x14ac:dyDescent="0.35">
      <c r="A1157" t="s">
        <v>7</v>
      </c>
      <c r="B1157" t="s">
        <v>5</v>
      </c>
      <c r="C1157" t="s">
        <v>9</v>
      </c>
      <c r="D1157">
        <v>0</v>
      </c>
    </row>
    <row r="1158" spans="1:4" x14ac:dyDescent="0.35">
      <c r="A1158" t="s">
        <v>8</v>
      </c>
      <c r="B1158" t="s">
        <v>5</v>
      </c>
      <c r="C1158" t="s">
        <v>9</v>
      </c>
      <c r="D1158">
        <v>0</v>
      </c>
    </row>
    <row r="1159" spans="1:4" x14ac:dyDescent="0.35">
      <c r="A1159" t="s">
        <v>9</v>
      </c>
      <c r="B1159" t="s">
        <v>5</v>
      </c>
      <c r="C1159" t="s">
        <v>9</v>
      </c>
      <c r="D1159">
        <v>0</v>
      </c>
    </row>
    <row r="1160" spans="1:4" x14ac:dyDescent="0.35">
      <c r="A1160" t="s">
        <v>10</v>
      </c>
      <c r="B1160" t="s">
        <v>5</v>
      </c>
      <c r="C1160" t="s">
        <v>9</v>
      </c>
      <c r="D1160">
        <v>0</v>
      </c>
    </row>
    <row r="1161" spans="1:4" x14ac:dyDescent="0.35">
      <c r="A1161" t="s">
        <v>11</v>
      </c>
      <c r="B1161" t="s">
        <v>5</v>
      </c>
      <c r="C1161" t="s">
        <v>9</v>
      </c>
      <c r="D1161">
        <v>0</v>
      </c>
    </row>
    <row r="1162" spans="1:4" x14ac:dyDescent="0.35">
      <c r="A1162" t="s">
        <v>12</v>
      </c>
      <c r="B1162" t="s">
        <v>5</v>
      </c>
      <c r="C1162" t="s">
        <v>9</v>
      </c>
      <c r="D1162">
        <v>0</v>
      </c>
    </row>
    <row r="1163" spans="1:4" x14ac:dyDescent="0.35">
      <c r="A1163" t="s">
        <v>13</v>
      </c>
      <c r="B1163" t="s">
        <v>5</v>
      </c>
      <c r="C1163" t="s">
        <v>9</v>
      </c>
      <c r="D1163">
        <v>0</v>
      </c>
    </row>
    <row r="1164" spans="1:4" x14ac:dyDescent="0.35">
      <c r="A1164" t="s">
        <v>14</v>
      </c>
      <c r="B1164" t="s">
        <v>5</v>
      </c>
      <c r="C1164" t="s">
        <v>9</v>
      </c>
      <c r="D1164">
        <v>0</v>
      </c>
    </row>
    <row r="1165" spans="1:4" x14ac:dyDescent="0.35">
      <c r="A1165" t="s">
        <v>15</v>
      </c>
      <c r="B1165" t="s">
        <v>5</v>
      </c>
      <c r="C1165" t="s">
        <v>9</v>
      </c>
      <c r="D1165">
        <v>0</v>
      </c>
    </row>
    <row r="1166" spans="1:4" x14ac:dyDescent="0.35">
      <c r="A1166" t="s">
        <v>16</v>
      </c>
      <c r="B1166" t="s">
        <v>5</v>
      </c>
      <c r="C1166" t="s">
        <v>9</v>
      </c>
      <c r="D1166">
        <v>0</v>
      </c>
    </row>
    <row r="1167" spans="1:4" x14ac:dyDescent="0.35">
      <c r="A1167" t="s">
        <v>17</v>
      </c>
      <c r="B1167" t="s">
        <v>5</v>
      </c>
      <c r="C1167" t="s">
        <v>9</v>
      </c>
      <c r="D1167">
        <v>0</v>
      </c>
    </row>
    <row r="1168" spans="1:4" x14ac:dyDescent="0.35">
      <c r="A1168" t="s">
        <v>18</v>
      </c>
      <c r="B1168" t="s">
        <v>5</v>
      </c>
      <c r="C1168" t="s">
        <v>9</v>
      </c>
      <c r="D1168">
        <v>0</v>
      </c>
    </row>
    <row r="1169" spans="1:4" x14ac:dyDescent="0.35">
      <c r="A1169" t="s">
        <v>19</v>
      </c>
      <c r="B1169" t="s">
        <v>5</v>
      </c>
      <c r="C1169" t="s">
        <v>9</v>
      </c>
      <c r="D1169">
        <v>0</v>
      </c>
    </row>
    <row r="1170" spans="1:4" x14ac:dyDescent="0.35">
      <c r="A1170" t="s">
        <v>20</v>
      </c>
      <c r="B1170" t="s">
        <v>5</v>
      </c>
      <c r="C1170" t="s">
        <v>9</v>
      </c>
      <c r="D1170">
        <v>0</v>
      </c>
    </row>
    <row r="1171" spans="1:4" x14ac:dyDescent="0.35">
      <c r="A1171" t="s">
        <v>21</v>
      </c>
      <c r="B1171" t="s">
        <v>5</v>
      </c>
      <c r="C1171" t="s">
        <v>9</v>
      </c>
      <c r="D1171">
        <v>0</v>
      </c>
    </row>
    <row r="1172" spans="1:4" x14ac:dyDescent="0.35">
      <c r="A1172" t="s">
        <v>22</v>
      </c>
      <c r="B1172" t="s">
        <v>5</v>
      </c>
      <c r="C1172" t="s">
        <v>9</v>
      </c>
      <c r="D1172">
        <v>0</v>
      </c>
    </row>
    <row r="1173" spans="1:4" x14ac:dyDescent="0.35">
      <c r="A1173" t="s">
        <v>23</v>
      </c>
      <c r="B1173" t="s">
        <v>5</v>
      </c>
      <c r="C1173" t="s">
        <v>9</v>
      </c>
      <c r="D1173">
        <v>0</v>
      </c>
    </row>
    <row r="1174" spans="1:4" x14ac:dyDescent="0.35">
      <c r="A1174" t="s">
        <v>24</v>
      </c>
      <c r="B1174" t="s">
        <v>5</v>
      </c>
      <c r="C1174" t="s">
        <v>9</v>
      </c>
      <c r="D1174">
        <v>0</v>
      </c>
    </row>
    <row r="1175" spans="1:4" x14ac:dyDescent="0.35">
      <c r="A1175" t="s">
        <v>25</v>
      </c>
      <c r="B1175" t="s">
        <v>5</v>
      </c>
      <c r="C1175" t="s">
        <v>9</v>
      </c>
      <c r="D1175">
        <v>0</v>
      </c>
    </row>
    <row r="1176" spans="1:4" x14ac:dyDescent="0.35">
      <c r="A1176" t="s">
        <v>26</v>
      </c>
      <c r="B1176" t="s">
        <v>5</v>
      </c>
      <c r="C1176" t="s">
        <v>9</v>
      </c>
      <c r="D1176">
        <v>0</v>
      </c>
    </row>
    <row r="1177" spans="1:4" x14ac:dyDescent="0.35">
      <c r="A1177" t="s">
        <v>27</v>
      </c>
      <c r="B1177" t="s">
        <v>5</v>
      </c>
      <c r="C1177" t="s">
        <v>9</v>
      </c>
      <c r="D1177">
        <v>0</v>
      </c>
    </row>
    <row r="1178" spans="1:4" x14ac:dyDescent="0.35">
      <c r="A1178" t="s">
        <v>28</v>
      </c>
      <c r="B1178" t="s">
        <v>5</v>
      </c>
      <c r="C1178" t="s">
        <v>9</v>
      </c>
      <c r="D1178">
        <v>0</v>
      </c>
    </row>
    <row r="1179" spans="1:4" x14ac:dyDescent="0.35">
      <c r="A1179" t="s">
        <v>29</v>
      </c>
      <c r="B1179" t="s">
        <v>5</v>
      </c>
      <c r="C1179" t="s">
        <v>9</v>
      </c>
      <c r="D1179">
        <v>0</v>
      </c>
    </row>
    <row r="1180" spans="1:4" x14ac:dyDescent="0.35">
      <c r="A1180" t="s">
        <v>30</v>
      </c>
      <c r="B1180" t="s">
        <v>5</v>
      </c>
      <c r="C1180" t="s">
        <v>9</v>
      </c>
      <c r="D1180">
        <v>0</v>
      </c>
    </row>
    <row r="1181" spans="1:4" x14ac:dyDescent="0.35">
      <c r="A1181" t="s">
        <v>31</v>
      </c>
      <c r="B1181" t="s">
        <v>5</v>
      </c>
      <c r="C1181" t="s">
        <v>9</v>
      </c>
      <c r="D1181">
        <v>0</v>
      </c>
    </row>
    <row r="1182" spans="1:4" x14ac:dyDescent="0.35">
      <c r="A1182" t="s">
        <v>32</v>
      </c>
      <c r="B1182" t="s">
        <v>5</v>
      </c>
      <c r="C1182" t="s">
        <v>9</v>
      </c>
      <c r="D1182">
        <v>0</v>
      </c>
    </row>
    <row r="1183" spans="1:4" x14ac:dyDescent="0.35">
      <c r="A1183" t="s">
        <v>33</v>
      </c>
      <c r="B1183" t="s">
        <v>5</v>
      </c>
      <c r="C1183" t="s">
        <v>9</v>
      </c>
      <c r="D1183">
        <v>0</v>
      </c>
    </row>
    <row r="1184" spans="1:4" x14ac:dyDescent="0.35">
      <c r="A1184" t="s">
        <v>34</v>
      </c>
      <c r="B1184" t="s">
        <v>5</v>
      </c>
      <c r="C1184" t="s">
        <v>9</v>
      </c>
      <c r="D1184">
        <v>0</v>
      </c>
    </row>
    <row r="1185" spans="1:4" x14ac:dyDescent="0.35">
      <c r="A1185" t="s">
        <v>35</v>
      </c>
      <c r="B1185" t="s">
        <v>5</v>
      </c>
      <c r="C1185" t="s">
        <v>9</v>
      </c>
      <c r="D1185">
        <v>0</v>
      </c>
    </row>
    <row r="1186" spans="1:4" x14ac:dyDescent="0.35">
      <c r="A1186" t="s">
        <v>36</v>
      </c>
      <c r="B1186" t="s">
        <v>5</v>
      </c>
      <c r="C1186" t="s">
        <v>9</v>
      </c>
      <c r="D1186">
        <v>0</v>
      </c>
    </row>
    <row r="1187" spans="1:4" x14ac:dyDescent="0.35">
      <c r="A1187" t="s">
        <v>37</v>
      </c>
      <c r="B1187" t="s">
        <v>5</v>
      </c>
      <c r="C1187" t="s">
        <v>9</v>
      </c>
      <c r="D1187">
        <v>0</v>
      </c>
    </row>
    <row r="1188" spans="1:4" x14ac:dyDescent="0.35">
      <c r="A1188" t="s">
        <v>38</v>
      </c>
      <c r="B1188" t="s">
        <v>5</v>
      </c>
      <c r="C1188" t="s">
        <v>9</v>
      </c>
      <c r="D1188">
        <v>0</v>
      </c>
    </row>
    <row r="1189" spans="1:4" x14ac:dyDescent="0.35">
      <c r="A1189" t="s">
        <v>39</v>
      </c>
      <c r="B1189" t="s">
        <v>5</v>
      </c>
      <c r="C1189" t="s">
        <v>9</v>
      </c>
      <c r="D1189">
        <v>0</v>
      </c>
    </row>
    <row r="1190" spans="1:4" x14ac:dyDescent="0.35">
      <c r="A1190" t="s">
        <v>7</v>
      </c>
      <c r="B1190" t="s">
        <v>5</v>
      </c>
      <c r="C1190" t="s">
        <v>10</v>
      </c>
      <c r="D1190">
        <v>0</v>
      </c>
    </row>
    <row r="1191" spans="1:4" x14ac:dyDescent="0.35">
      <c r="A1191" t="s">
        <v>8</v>
      </c>
      <c r="B1191" t="s">
        <v>5</v>
      </c>
      <c r="C1191" t="s">
        <v>10</v>
      </c>
      <c r="D1191">
        <v>0</v>
      </c>
    </row>
    <row r="1192" spans="1:4" x14ac:dyDescent="0.35">
      <c r="A1192" t="s">
        <v>9</v>
      </c>
      <c r="B1192" t="s">
        <v>5</v>
      </c>
      <c r="C1192" t="s">
        <v>10</v>
      </c>
      <c r="D1192">
        <v>0</v>
      </c>
    </row>
    <row r="1193" spans="1:4" x14ac:dyDescent="0.35">
      <c r="A1193" t="s">
        <v>10</v>
      </c>
      <c r="B1193" t="s">
        <v>5</v>
      </c>
      <c r="C1193" t="s">
        <v>10</v>
      </c>
      <c r="D1193">
        <v>0</v>
      </c>
    </row>
    <row r="1194" spans="1:4" x14ac:dyDescent="0.35">
      <c r="A1194" t="s">
        <v>11</v>
      </c>
      <c r="B1194" t="s">
        <v>5</v>
      </c>
      <c r="C1194" t="s">
        <v>10</v>
      </c>
      <c r="D1194">
        <v>0</v>
      </c>
    </row>
    <row r="1195" spans="1:4" x14ac:dyDescent="0.35">
      <c r="A1195" t="s">
        <v>12</v>
      </c>
      <c r="B1195" t="s">
        <v>5</v>
      </c>
      <c r="C1195" t="s">
        <v>10</v>
      </c>
      <c r="D1195">
        <v>0</v>
      </c>
    </row>
    <row r="1196" spans="1:4" x14ac:dyDescent="0.35">
      <c r="A1196" t="s">
        <v>13</v>
      </c>
      <c r="B1196" t="s">
        <v>5</v>
      </c>
      <c r="C1196" t="s">
        <v>10</v>
      </c>
      <c r="D1196">
        <v>0</v>
      </c>
    </row>
    <row r="1197" spans="1:4" x14ac:dyDescent="0.35">
      <c r="A1197" t="s">
        <v>14</v>
      </c>
      <c r="B1197" t="s">
        <v>5</v>
      </c>
      <c r="C1197" t="s">
        <v>10</v>
      </c>
      <c r="D1197">
        <v>0</v>
      </c>
    </row>
    <row r="1198" spans="1:4" x14ac:dyDescent="0.35">
      <c r="A1198" t="s">
        <v>15</v>
      </c>
      <c r="B1198" t="s">
        <v>5</v>
      </c>
      <c r="C1198" t="s">
        <v>10</v>
      </c>
      <c r="D1198">
        <v>0</v>
      </c>
    </row>
    <row r="1199" spans="1:4" x14ac:dyDescent="0.35">
      <c r="A1199" t="s">
        <v>16</v>
      </c>
      <c r="B1199" t="s">
        <v>5</v>
      </c>
      <c r="C1199" t="s">
        <v>10</v>
      </c>
      <c r="D1199">
        <v>0</v>
      </c>
    </row>
    <row r="1200" spans="1:4" x14ac:dyDescent="0.35">
      <c r="A1200" t="s">
        <v>17</v>
      </c>
      <c r="B1200" t="s">
        <v>5</v>
      </c>
      <c r="C1200" t="s">
        <v>10</v>
      </c>
      <c r="D1200">
        <v>0</v>
      </c>
    </row>
    <row r="1201" spans="1:4" x14ac:dyDescent="0.35">
      <c r="A1201" t="s">
        <v>18</v>
      </c>
      <c r="B1201" t="s">
        <v>5</v>
      </c>
      <c r="C1201" t="s">
        <v>10</v>
      </c>
      <c r="D1201">
        <v>0</v>
      </c>
    </row>
    <row r="1202" spans="1:4" x14ac:dyDescent="0.35">
      <c r="A1202" t="s">
        <v>19</v>
      </c>
      <c r="B1202" t="s">
        <v>5</v>
      </c>
      <c r="C1202" t="s">
        <v>10</v>
      </c>
      <c r="D1202">
        <v>0</v>
      </c>
    </row>
    <row r="1203" spans="1:4" x14ac:dyDescent="0.35">
      <c r="A1203" t="s">
        <v>20</v>
      </c>
      <c r="B1203" t="s">
        <v>5</v>
      </c>
      <c r="C1203" t="s">
        <v>10</v>
      </c>
      <c r="D1203">
        <v>0</v>
      </c>
    </row>
    <row r="1204" spans="1:4" x14ac:dyDescent="0.35">
      <c r="A1204" t="s">
        <v>21</v>
      </c>
      <c r="B1204" t="s">
        <v>5</v>
      </c>
      <c r="C1204" t="s">
        <v>10</v>
      </c>
      <c r="D1204">
        <v>0</v>
      </c>
    </row>
    <row r="1205" spans="1:4" x14ac:dyDescent="0.35">
      <c r="A1205" t="s">
        <v>22</v>
      </c>
      <c r="B1205" t="s">
        <v>5</v>
      </c>
      <c r="C1205" t="s">
        <v>10</v>
      </c>
      <c r="D1205">
        <v>0</v>
      </c>
    </row>
    <row r="1206" spans="1:4" x14ac:dyDescent="0.35">
      <c r="A1206" t="s">
        <v>23</v>
      </c>
      <c r="B1206" t="s">
        <v>5</v>
      </c>
      <c r="C1206" t="s">
        <v>10</v>
      </c>
      <c r="D1206">
        <v>0</v>
      </c>
    </row>
    <row r="1207" spans="1:4" x14ac:dyDescent="0.35">
      <c r="A1207" t="s">
        <v>24</v>
      </c>
      <c r="B1207" t="s">
        <v>5</v>
      </c>
      <c r="C1207" t="s">
        <v>10</v>
      </c>
      <c r="D1207">
        <v>0</v>
      </c>
    </row>
    <row r="1208" spans="1:4" x14ac:dyDescent="0.35">
      <c r="A1208" t="s">
        <v>25</v>
      </c>
      <c r="B1208" t="s">
        <v>5</v>
      </c>
      <c r="C1208" t="s">
        <v>10</v>
      </c>
      <c r="D1208">
        <v>0</v>
      </c>
    </row>
    <row r="1209" spans="1:4" x14ac:dyDescent="0.35">
      <c r="A1209" t="s">
        <v>26</v>
      </c>
      <c r="B1209" t="s">
        <v>5</v>
      </c>
      <c r="C1209" t="s">
        <v>10</v>
      </c>
      <c r="D1209">
        <v>0</v>
      </c>
    </row>
    <row r="1210" spans="1:4" x14ac:dyDescent="0.35">
      <c r="A1210" t="s">
        <v>27</v>
      </c>
      <c r="B1210" t="s">
        <v>5</v>
      </c>
      <c r="C1210" t="s">
        <v>10</v>
      </c>
      <c r="D1210">
        <v>0</v>
      </c>
    </row>
    <row r="1211" spans="1:4" x14ac:dyDescent="0.35">
      <c r="A1211" t="s">
        <v>28</v>
      </c>
      <c r="B1211" t="s">
        <v>5</v>
      </c>
      <c r="C1211" t="s">
        <v>10</v>
      </c>
      <c r="D1211">
        <v>0</v>
      </c>
    </row>
    <row r="1212" spans="1:4" x14ac:dyDescent="0.35">
      <c r="A1212" t="s">
        <v>29</v>
      </c>
      <c r="B1212" t="s">
        <v>5</v>
      </c>
      <c r="C1212" t="s">
        <v>10</v>
      </c>
      <c r="D1212">
        <v>0</v>
      </c>
    </row>
    <row r="1213" spans="1:4" x14ac:dyDescent="0.35">
      <c r="A1213" t="s">
        <v>30</v>
      </c>
      <c r="B1213" t="s">
        <v>5</v>
      </c>
      <c r="C1213" t="s">
        <v>10</v>
      </c>
      <c r="D1213">
        <v>0</v>
      </c>
    </row>
    <row r="1214" spans="1:4" x14ac:dyDescent="0.35">
      <c r="A1214" t="s">
        <v>31</v>
      </c>
      <c r="B1214" t="s">
        <v>5</v>
      </c>
      <c r="C1214" t="s">
        <v>10</v>
      </c>
      <c r="D1214">
        <v>0</v>
      </c>
    </row>
    <row r="1215" spans="1:4" x14ac:dyDescent="0.35">
      <c r="A1215" t="s">
        <v>32</v>
      </c>
      <c r="B1215" t="s">
        <v>5</v>
      </c>
      <c r="C1215" t="s">
        <v>10</v>
      </c>
      <c r="D1215">
        <v>0</v>
      </c>
    </row>
    <row r="1216" spans="1:4" x14ac:dyDescent="0.35">
      <c r="A1216" t="s">
        <v>33</v>
      </c>
      <c r="B1216" t="s">
        <v>5</v>
      </c>
      <c r="C1216" t="s">
        <v>10</v>
      </c>
      <c r="D1216">
        <v>0</v>
      </c>
    </row>
    <row r="1217" spans="1:4" x14ac:dyDescent="0.35">
      <c r="A1217" t="s">
        <v>34</v>
      </c>
      <c r="B1217" t="s">
        <v>5</v>
      </c>
      <c r="C1217" t="s">
        <v>10</v>
      </c>
      <c r="D1217">
        <v>0</v>
      </c>
    </row>
    <row r="1218" spans="1:4" x14ac:dyDescent="0.35">
      <c r="A1218" t="s">
        <v>35</v>
      </c>
      <c r="B1218" t="s">
        <v>5</v>
      </c>
      <c r="C1218" t="s">
        <v>10</v>
      </c>
      <c r="D1218">
        <v>0</v>
      </c>
    </row>
    <row r="1219" spans="1:4" x14ac:dyDescent="0.35">
      <c r="A1219" t="s">
        <v>36</v>
      </c>
      <c r="B1219" t="s">
        <v>5</v>
      </c>
      <c r="C1219" t="s">
        <v>10</v>
      </c>
      <c r="D1219">
        <v>0</v>
      </c>
    </row>
    <row r="1220" spans="1:4" x14ac:dyDescent="0.35">
      <c r="A1220" t="s">
        <v>37</v>
      </c>
      <c r="B1220" t="s">
        <v>5</v>
      </c>
      <c r="C1220" t="s">
        <v>10</v>
      </c>
      <c r="D1220">
        <v>0</v>
      </c>
    </row>
    <row r="1221" spans="1:4" x14ac:dyDescent="0.35">
      <c r="A1221" t="s">
        <v>38</v>
      </c>
      <c r="B1221" t="s">
        <v>5</v>
      </c>
      <c r="C1221" t="s">
        <v>10</v>
      </c>
      <c r="D1221">
        <v>0</v>
      </c>
    </row>
    <row r="1222" spans="1:4" x14ac:dyDescent="0.35">
      <c r="A1222" t="s">
        <v>39</v>
      </c>
      <c r="B1222" t="s">
        <v>5</v>
      </c>
      <c r="C1222" t="s">
        <v>10</v>
      </c>
      <c r="D1222">
        <v>0</v>
      </c>
    </row>
    <row r="1223" spans="1:4" x14ac:dyDescent="0.35">
      <c r="A1223" t="s">
        <v>7</v>
      </c>
      <c r="B1223" t="s">
        <v>5</v>
      </c>
      <c r="C1223" t="s">
        <v>11</v>
      </c>
      <c r="D1223">
        <v>0</v>
      </c>
    </row>
    <row r="1224" spans="1:4" x14ac:dyDescent="0.35">
      <c r="A1224" t="s">
        <v>8</v>
      </c>
      <c r="B1224" t="s">
        <v>5</v>
      </c>
      <c r="C1224" t="s">
        <v>11</v>
      </c>
      <c r="D1224">
        <v>0</v>
      </c>
    </row>
    <row r="1225" spans="1:4" x14ac:dyDescent="0.35">
      <c r="A1225" t="s">
        <v>9</v>
      </c>
      <c r="B1225" t="s">
        <v>5</v>
      </c>
      <c r="C1225" t="s">
        <v>11</v>
      </c>
      <c r="D1225">
        <v>0</v>
      </c>
    </row>
    <row r="1226" spans="1:4" x14ac:dyDescent="0.35">
      <c r="A1226" t="s">
        <v>10</v>
      </c>
      <c r="B1226" t="s">
        <v>5</v>
      </c>
      <c r="C1226" t="s">
        <v>11</v>
      </c>
      <c r="D1226">
        <v>0</v>
      </c>
    </row>
    <row r="1227" spans="1:4" x14ac:dyDescent="0.35">
      <c r="A1227" t="s">
        <v>11</v>
      </c>
      <c r="B1227" t="s">
        <v>5</v>
      </c>
      <c r="C1227" t="s">
        <v>11</v>
      </c>
      <c r="D1227">
        <v>0</v>
      </c>
    </row>
    <row r="1228" spans="1:4" x14ac:dyDescent="0.35">
      <c r="A1228" t="s">
        <v>12</v>
      </c>
      <c r="B1228" t="s">
        <v>5</v>
      </c>
      <c r="C1228" t="s">
        <v>11</v>
      </c>
      <c r="D1228">
        <v>0</v>
      </c>
    </row>
    <row r="1229" spans="1:4" x14ac:dyDescent="0.35">
      <c r="A1229" t="s">
        <v>13</v>
      </c>
      <c r="B1229" t="s">
        <v>5</v>
      </c>
      <c r="C1229" t="s">
        <v>11</v>
      </c>
      <c r="D1229">
        <v>0</v>
      </c>
    </row>
    <row r="1230" spans="1:4" x14ac:dyDescent="0.35">
      <c r="A1230" t="s">
        <v>14</v>
      </c>
      <c r="B1230" t="s">
        <v>5</v>
      </c>
      <c r="C1230" t="s">
        <v>11</v>
      </c>
      <c r="D1230">
        <v>0</v>
      </c>
    </row>
    <row r="1231" spans="1:4" x14ac:dyDescent="0.35">
      <c r="A1231" t="s">
        <v>15</v>
      </c>
      <c r="B1231" t="s">
        <v>5</v>
      </c>
      <c r="C1231" t="s">
        <v>11</v>
      </c>
      <c r="D1231">
        <v>0</v>
      </c>
    </row>
    <row r="1232" spans="1:4" x14ac:dyDescent="0.35">
      <c r="A1232" t="s">
        <v>16</v>
      </c>
      <c r="B1232" t="s">
        <v>5</v>
      </c>
      <c r="C1232" t="s">
        <v>11</v>
      </c>
      <c r="D1232">
        <v>0</v>
      </c>
    </row>
    <row r="1233" spans="1:4" x14ac:dyDescent="0.35">
      <c r="A1233" t="s">
        <v>17</v>
      </c>
      <c r="B1233" t="s">
        <v>5</v>
      </c>
      <c r="C1233" t="s">
        <v>11</v>
      </c>
      <c r="D1233">
        <v>0</v>
      </c>
    </row>
    <row r="1234" spans="1:4" x14ac:dyDescent="0.35">
      <c r="A1234" t="s">
        <v>18</v>
      </c>
      <c r="B1234" t="s">
        <v>5</v>
      </c>
      <c r="C1234" t="s">
        <v>11</v>
      </c>
      <c r="D1234">
        <v>0</v>
      </c>
    </row>
    <row r="1235" spans="1:4" x14ac:dyDescent="0.35">
      <c r="A1235" t="s">
        <v>19</v>
      </c>
      <c r="B1235" t="s">
        <v>5</v>
      </c>
      <c r="C1235" t="s">
        <v>11</v>
      </c>
      <c r="D1235">
        <v>0</v>
      </c>
    </row>
    <row r="1236" spans="1:4" x14ac:dyDescent="0.35">
      <c r="A1236" t="s">
        <v>20</v>
      </c>
      <c r="B1236" t="s">
        <v>5</v>
      </c>
      <c r="C1236" t="s">
        <v>11</v>
      </c>
      <c r="D1236">
        <v>0</v>
      </c>
    </row>
    <row r="1237" spans="1:4" x14ac:dyDescent="0.35">
      <c r="A1237" t="s">
        <v>21</v>
      </c>
      <c r="B1237" t="s">
        <v>5</v>
      </c>
      <c r="C1237" t="s">
        <v>11</v>
      </c>
      <c r="D1237">
        <v>0</v>
      </c>
    </row>
    <row r="1238" spans="1:4" x14ac:dyDescent="0.35">
      <c r="A1238" t="s">
        <v>22</v>
      </c>
      <c r="B1238" t="s">
        <v>5</v>
      </c>
      <c r="C1238" t="s">
        <v>11</v>
      </c>
      <c r="D1238">
        <v>0</v>
      </c>
    </row>
    <row r="1239" spans="1:4" x14ac:dyDescent="0.35">
      <c r="A1239" t="s">
        <v>23</v>
      </c>
      <c r="B1239" t="s">
        <v>5</v>
      </c>
      <c r="C1239" t="s">
        <v>11</v>
      </c>
      <c r="D1239">
        <v>0</v>
      </c>
    </row>
    <row r="1240" spans="1:4" x14ac:dyDescent="0.35">
      <c r="A1240" t="s">
        <v>24</v>
      </c>
      <c r="B1240" t="s">
        <v>5</v>
      </c>
      <c r="C1240" t="s">
        <v>11</v>
      </c>
      <c r="D1240">
        <v>0</v>
      </c>
    </row>
    <row r="1241" spans="1:4" x14ac:dyDescent="0.35">
      <c r="A1241" t="s">
        <v>25</v>
      </c>
      <c r="B1241" t="s">
        <v>5</v>
      </c>
      <c r="C1241" t="s">
        <v>11</v>
      </c>
      <c r="D1241">
        <v>0</v>
      </c>
    </row>
    <row r="1242" spans="1:4" x14ac:dyDescent="0.35">
      <c r="A1242" t="s">
        <v>26</v>
      </c>
      <c r="B1242" t="s">
        <v>5</v>
      </c>
      <c r="C1242" t="s">
        <v>11</v>
      </c>
      <c r="D1242">
        <v>0</v>
      </c>
    </row>
    <row r="1243" spans="1:4" x14ac:dyDescent="0.35">
      <c r="A1243" t="s">
        <v>27</v>
      </c>
      <c r="B1243" t="s">
        <v>5</v>
      </c>
      <c r="C1243" t="s">
        <v>11</v>
      </c>
      <c r="D1243">
        <v>0</v>
      </c>
    </row>
    <row r="1244" spans="1:4" x14ac:dyDescent="0.35">
      <c r="A1244" t="s">
        <v>28</v>
      </c>
      <c r="B1244" t="s">
        <v>5</v>
      </c>
      <c r="C1244" t="s">
        <v>11</v>
      </c>
      <c r="D1244">
        <v>0</v>
      </c>
    </row>
    <row r="1245" spans="1:4" x14ac:dyDescent="0.35">
      <c r="A1245" t="s">
        <v>29</v>
      </c>
      <c r="B1245" t="s">
        <v>5</v>
      </c>
      <c r="C1245" t="s">
        <v>11</v>
      </c>
      <c r="D1245">
        <v>0</v>
      </c>
    </row>
    <row r="1246" spans="1:4" x14ac:dyDescent="0.35">
      <c r="A1246" t="s">
        <v>30</v>
      </c>
      <c r="B1246" t="s">
        <v>5</v>
      </c>
      <c r="C1246" t="s">
        <v>11</v>
      </c>
      <c r="D1246">
        <v>0</v>
      </c>
    </row>
    <row r="1247" spans="1:4" x14ac:dyDescent="0.35">
      <c r="A1247" t="s">
        <v>31</v>
      </c>
      <c r="B1247" t="s">
        <v>5</v>
      </c>
      <c r="C1247" t="s">
        <v>11</v>
      </c>
      <c r="D1247">
        <v>0</v>
      </c>
    </row>
    <row r="1248" spans="1:4" x14ac:dyDescent="0.35">
      <c r="A1248" t="s">
        <v>32</v>
      </c>
      <c r="B1248" t="s">
        <v>5</v>
      </c>
      <c r="C1248" t="s">
        <v>11</v>
      </c>
      <c r="D1248">
        <v>0</v>
      </c>
    </row>
    <row r="1249" spans="1:4" x14ac:dyDescent="0.35">
      <c r="A1249" t="s">
        <v>33</v>
      </c>
      <c r="B1249" t="s">
        <v>5</v>
      </c>
      <c r="C1249" t="s">
        <v>11</v>
      </c>
      <c r="D1249">
        <v>0</v>
      </c>
    </row>
    <row r="1250" spans="1:4" x14ac:dyDescent="0.35">
      <c r="A1250" t="s">
        <v>34</v>
      </c>
      <c r="B1250" t="s">
        <v>5</v>
      </c>
      <c r="C1250" t="s">
        <v>11</v>
      </c>
      <c r="D1250">
        <v>0</v>
      </c>
    </row>
    <row r="1251" spans="1:4" x14ac:dyDescent="0.35">
      <c r="A1251" t="s">
        <v>35</v>
      </c>
      <c r="B1251" t="s">
        <v>5</v>
      </c>
      <c r="C1251" t="s">
        <v>11</v>
      </c>
      <c r="D1251">
        <v>0</v>
      </c>
    </row>
    <row r="1252" spans="1:4" x14ac:dyDescent="0.35">
      <c r="A1252" t="s">
        <v>36</v>
      </c>
      <c r="B1252" t="s">
        <v>5</v>
      </c>
      <c r="C1252" t="s">
        <v>11</v>
      </c>
      <c r="D1252">
        <v>0</v>
      </c>
    </row>
    <row r="1253" spans="1:4" x14ac:dyDescent="0.35">
      <c r="A1253" t="s">
        <v>37</v>
      </c>
      <c r="B1253" t="s">
        <v>5</v>
      </c>
      <c r="C1253" t="s">
        <v>11</v>
      </c>
      <c r="D1253">
        <v>0</v>
      </c>
    </row>
    <row r="1254" spans="1:4" x14ac:dyDescent="0.35">
      <c r="A1254" t="s">
        <v>38</v>
      </c>
      <c r="B1254" t="s">
        <v>5</v>
      </c>
      <c r="C1254" t="s">
        <v>11</v>
      </c>
      <c r="D1254">
        <v>0</v>
      </c>
    </row>
    <row r="1255" spans="1:4" x14ac:dyDescent="0.35">
      <c r="A1255" t="s">
        <v>39</v>
      </c>
      <c r="B1255" t="s">
        <v>5</v>
      </c>
      <c r="C1255" t="s">
        <v>11</v>
      </c>
      <c r="D1255">
        <v>0</v>
      </c>
    </row>
    <row r="1256" spans="1:4" x14ac:dyDescent="0.35">
      <c r="A1256" t="s">
        <v>7</v>
      </c>
      <c r="B1256" t="s">
        <v>5</v>
      </c>
      <c r="C1256" t="s">
        <v>12</v>
      </c>
      <c r="D1256">
        <v>0</v>
      </c>
    </row>
    <row r="1257" spans="1:4" x14ac:dyDescent="0.35">
      <c r="A1257" t="s">
        <v>8</v>
      </c>
      <c r="B1257" t="s">
        <v>5</v>
      </c>
      <c r="C1257" t="s">
        <v>12</v>
      </c>
      <c r="D1257">
        <v>0</v>
      </c>
    </row>
    <row r="1258" spans="1:4" x14ac:dyDescent="0.35">
      <c r="A1258" t="s">
        <v>9</v>
      </c>
      <c r="B1258" t="s">
        <v>5</v>
      </c>
      <c r="C1258" t="s">
        <v>12</v>
      </c>
      <c r="D1258">
        <v>0</v>
      </c>
    </row>
    <row r="1259" spans="1:4" x14ac:dyDescent="0.35">
      <c r="A1259" t="s">
        <v>10</v>
      </c>
      <c r="B1259" t="s">
        <v>5</v>
      </c>
      <c r="C1259" t="s">
        <v>12</v>
      </c>
      <c r="D1259">
        <v>0</v>
      </c>
    </row>
    <row r="1260" spans="1:4" x14ac:dyDescent="0.35">
      <c r="A1260" t="s">
        <v>11</v>
      </c>
      <c r="B1260" t="s">
        <v>5</v>
      </c>
      <c r="C1260" t="s">
        <v>12</v>
      </c>
      <c r="D1260">
        <v>0</v>
      </c>
    </row>
    <row r="1261" spans="1:4" x14ac:dyDescent="0.35">
      <c r="A1261" t="s">
        <v>12</v>
      </c>
      <c r="B1261" t="s">
        <v>5</v>
      </c>
      <c r="C1261" t="s">
        <v>12</v>
      </c>
      <c r="D1261">
        <v>0</v>
      </c>
    </row>
    <row r="1262" spans="1:4" x14ac:dyDescent="0.35">
      <c r="A1262" t="s">
        <v>13</v>
      </c>
      <c r="B1262" t="s">
        <v>5</v>
      </c>
      <c r="C1262" t="s">
        <v>12</v>
      </c>
      <c r="D1262">
        <v>0</v>
      </c>
    </row>
    <row r="1263" spans="1:4" x14ac:dyDescent="0.35">
      <c r="A1263" t="s">
        <v>14</v>
      </c>
      <c r="B1263" t="s">
        <v>5</v>
      </c>
      <c r="C1263" t="s">
        <v>12</v>
      </c>
      <c r="D1263">
        <v>0</v>
      </c>
    </row>
    <row r="1264" spans="1:4" x14ac:dyDescent="0.35">
      <c r="A1264" t="s">
        <v>15</v>
      </c>
      <c r="B1264" t="s">
        <v>5</v>
      </c>
      <c r="C1264" t="s">
        <v>12</v>
      </c>
      <c r="D1264">
        <v>0</v>
      </c>
    </row>
    <row r="1265" spans="1:4" x14ac:dyDescent="0.35">
      <c r="A1265" t="s">
        <v>16</v>
      </c>
      <c r="B1265" t="s">
        <v>5</v>
      </c>
      <c r="C1265" t="s">
        <v>12</v>
      </c>
      <c r="D1265">
        <v>0</v>
      </c>
    </row>
    <row r="1266" spans="1:4" x14ac:dyDescent="0.35">
      <c r="A1266" t="s">
        <v>17</v>
      </c>
      <c r="B1266" t="s">
        <v>5</v>
      </c>
      <c r="C1266" t="s">
        <v>12</v>
      </c>
      <c r="D1266">
        <v>0</v>
      </c>
    </row>
    <row r="1267" spans="1:4" x14ac:dyDescent="0.35">
      <c r="A1267" t="s">
        <v>18</v>
      </c>
      <c r="B1267" t="s">
        <v>5</v>
      </c>
      <c r="C1267" t="s">
        <v>12</v>
      </c>
      <c r="D1267">
        <v>0</v>
      </c>
    </row>
    <row r="1268" spans="1:4" x14ac:dyDescent="0.35">
      <c r="A1268" t="s">
        <v>19</v>
      </c>
      <c r="B1268" t="s">
        <v>5</v>
      </c>
      <c r="C1268" t="s">
        <v>12</v>
      </c>
      <c r="D1268">
        <v>0</v>
      </c>
    </row>
    <row r="1269" spans="1:4" x14ac:dyDescent="0.35">
      <c r="A1269" t="s">
        <v>20</v>
      </c>
      <c r="B1269" t="s">
        <v>5</v>
      </c>
      <c r="C1269" t="s">
        <v>12</v>
      </c>
      <c r="D1269">
        <v>0</v>
      </c>
    </row>
    <row r="1270" spans="1:4" x14ac:dyDescent="0.35">
      <c r="A1270" t="s">
        <v>21</v>
      </c>
      <c r="B1270" t="s">
        <v>5</v>
      </c>
      <c r="C1270" t="s">
        <v>12</v>
      </c>
      <c r="D1270">
        <v>0</v>
      </c>
    </row>
    <row r="1271" spans="1:4" x14ac:dyDescent="0.35">
      <c r="A1271" t="s">
        <v>22</v>
      </c>
      <c r="B1271" t="s">
        <v>5</v>
      </c>
      <c r="C1271" t="s">
        <v>12</v>
      </c>
      <c r="D1271">
        <v>0</v>
      </c>
    </row>
    <row r="1272" spans="1:4" x14ac:dyDescent="0.35">
      <c r="A1272" t="s">
        <v>23</v>
      </c>
      <c r="B1272" t="s">
        <v>5</v>
      </c>
      <c r="C1272" t="s">
        <v>12</v>
      </c>
      <c r="D1272">
        <v>0</v>
      </c>
    </row>
    <row r="1273" spans="1:4" x14ac:dyDescent="0.35">
      <c r="A1273" t="s">
        <v>24</v>
      </c>
      <c r="B1273" t="s">
        <v>5</v>
      </c>
      <c r="C1273" t="s">
        <v>12</v>
      </c>
      <c r="D1273">
        <v>0</v>
      </c>
    </row>
    <row r="1274" spans="1:4" x14ac:dyDescent="0.35">
      <c r="A1274" t="s">
        <v>25</v>
      </c>
      <c r="B1274" t="s">
        <v>5</v>
      </c>
      <c r="C1274" t="s">
        <v>12</v>
      </c>
      <c r="D1274">
        <v>0</v>
      </c>
    </row>
    <row r="1275" spans="1:4" x14ac:dyDescent="0.35">
      <c r="A1275" t="s">
        <v>26</v>
      </c>
      <c r="B1275" t="s">
        <v>5</v>
      </c>
      <c r="C1275" t="s">
        <v>12</v>
      </c>
      <c r="D1275">
        <v>0</v>
      </c>
    </row>
    <row r="1276" spans="1:4" x14ac:dyDescent="0.35">
      <c r="A1276" t="s">
        <v>27</v>
      </c>
      <c r="B1276" t="s">
        <v>5</v>
      </c>
      <c r="C1276" t="s">
        <v>12</v>
      </c>
      <c r="D1276">
        <v>0</v>
      </c>
    </row>
    <row r="1277" spans="1:4" x14ac:dyDescent="0.35">
      <c r="A1277" t="s">
        <v>28</v>
      </c>
      <c r="B1277" t="s">
        <v>5</v>
      </c>
      <c r="C1277" t="s">
        <v>12</v>
      </c>
      <c r="D1277">
        <v>0</v>
      </c>
    </row>
    <row r="1278" spans="1:4" x14ac:dyDescent="0.35">
      <c r="A1278" t="s">
        <v>29</v>
      </c>
      <c r="B1278" t="s">
        <v>5</v>
      </c>
      <c r="C1278" t="s">
        <v>12</v>
      </c>
      <c r="D1278">
        <v>0</v>
      </c>
    </row>
    <row r="1279" spans="1:4" x14ac:dyDescent="0.35">
      <c r="A1279" t="s">
        <v>30</v>
      </c>
      <c r="B1279" t="s">
        <v>5</v>
      </c>
      <c r="C1279" t="s">
        <v>12</v>
      </c>
      <c r="D1279">
        <v>0</v>
      </c>
    </row>
    <row r="1280" spans="1:4" x14ac:dyDescent="0.35">
      <c r="A1280" t="s">
        <v>31</v>
      </c>
      <c r="B1280" t="s">
        <v>5</v>
      </c>
      <c r="C1280" t="s">
        <v>12</v>
      </c>
      <c r="D1280">
        <v>0</v>
      </c>
    </row>
    <row r="1281" spans="1:4" x14ac:dyDescent="0.35">
      <c r="A1281" t="s">
        <v>32</v>
      </c>
      <c r="B1281" t="s">
        <v>5</v>
      </c>
      <c r="C1281" t="s">
        <v>12</v>
      </c>
      <c r="D1281">
        <v>0</v>
      </c>
    </row>
    <row r="1282" spans="1:4" x14ac:dyDescent="0.35">
      <c r="A1282" t="s">
        <v>33</v>
      </c>
      <c r="B1282" t="s">
        <v>5</v>
      </c>
      <c r="C1282" t="s">
        <v>12</v>
      </c>
      <c r="D1282">
        <v>0</v>
      </c>
    </row>
    <row r="1283" spans="1:4" x14ac:dyDescent="0.35">
      <c r="A1283" t="s">
        <v>34</v>
      </c>
      <c r="B1283" t="s">
        <v>5</v>
      </c>
      <c r="C1283" t="s">
        <v>12</v>
      </c>
      <c r="D1283">
        <v>0</v>
      </c>
    </row>
    <row r="1284" spans="1:4" x14ac:dyDescent="0.35">
      <c r="A1284" t="s">
        <v>35</v>
      </c>
      <c r="B1284" t="s">
        <v>5</v>
      </c>
      <c r="C1284" t="s">
        <v>12</v>
      </c>
      <c r="D1284">
        <v>0</v>
      </c>
    </row>
    <row r="1285" spans="1:4" x14ac:dyDescent="0.35">
      <c r="A1285" t="s">
        <v>36</v>
      </c>
      <c r="B1285" t="s">
        <v>5</v>
      </c>
      <c r="C1285" t="s">
        <v>12</v>
      </c>
      <c r="D1285">
        <v>0</v>
      </c>
    </row>
    <row r="1286" spans="1:4" x14ac:dyDescent="0.35">
      <c r="A1286" t="s">
        <v>37</v>
      </c>
      <c r="B1286" t="s">
        <v>5</v>
      </c>
      <c r="C1286" t="s">
        <v>12</v>
      </c>
      <c r="D1286">
        <v>0</v>
      </c>
    </row>
    <row r="1287" spans="1:4" x14ac:dyDescent="0.35">
      <c r="A1287" t="s">
        <v>38</v>
      </c>
      <c r="B1287" t="s">
        <v>5</v>
      </c>
      <c r="C1287" t="s">
        <v>12</v>
      </c>
      <c r="D1287">
        <v>0</v>
      </c>
    </row>
    <row r="1288" spans="1:4" x14ac:dyDescent="0.35">
      <c r="A1288" t="s">
        <v>39</v>
      </c>
      <c r="B1288" t="s">
        <v>5</v>
      </c>
      <c r="C1288" t="s">
        <v>12</v>
      </c>
      <c r="D1288">
        <v>0</v>
      </c>
    </row>
    <row r="1289" spans="1:4" x14ac:dyDescent="0.35">
      <c r="A1289" t="s">
        <v>7</v>
      </c>
      <c r="B1289" t="s">
        <v>5</v>
      </c>
      <c r="C1289" t="s">
        <v>13</v>
      </c>
      <c r="D1289">
        <v>0</v>
      </c>
    </row>
    <row r="1290" spans="1:4" x14ac:dyDescent="0.35">
      <c r="A1290" t="s">
        <v>8</v>
      </c>
      <c r="B1290" t="s">
        <v>5</v>
      </c>
      <c r="C1290" t="s">
        <v>13</v>
      </c>
      <c r="D1290">
        <v>0</v>
      </c>
    </row>
    <row r="1291" spans="1:4" x14ac:dyDescent="0.35">
      <c r="A1291" t="s">
        <v>9</v>
      </c>
      <c r="B1291" t="s">
        <v>5</v>
      </c>
      <c r="C1291" t="s">
        <v>13</v>
      </c>
      <c r="D1291">
        <v>0</v>
      </c>
    </row>
    <row r="1292" spans="1:4" x14ac:dyDescent="0.35">
      <c r="A1292" t="s">
        <v>10</v>
      </c>
      <c r="B1292" t="s">
        <v>5</v>
      </c>
      <c r="C1292" t="s">
        <v>13</v>
      </c>
      <c r="D1292">
        <v>0</v>
      </c>
    </row>
    <row r="1293" spans="1:4" x14ac:dyDescent="0.35">
      <c r="A1293" t="s">
        <v>11</v>
      </c>
      <c r="B1293" t="s">
        <v>5</v>
      </c>
      <c r="C1293" t="s">
        <v>13</v>
      </c>
      <c r="D1293">
        <v>0</v>
      </c>
    </row>
    <row r="1294" spans="1:4" x14ac:dyDescent="0.35">
      <c r="A1294" t="s">
        <v>12</v>
      </c>
      <c r="B1294" t="s">
        <v>5</v>
      </c>
      <c r="C1294" t="s">
        <v>13</v>
      </c>
      <c r="D1294">
        <v>0</v>
      </c>
    </row>
    <row r="1295" spans="1:4" x14ac:dyDescent="0.35">
      <c r="A1295" t="s">
        <v>13</v>
      </c>
      <c r="B1295" t="s">
        <v>5</v>
      </c>
      <c r="C1295" t="s">
        <v>13</v>
      </c>
      <c r="D1295">
        <v>0</v>
      </c>
    </row>
    <row r="1296" spans="1:4" x14ac:dyDescent="0.35">
      <c r="A1296" t="s">
        <v>14</v>
      </c>
      <c r="B1296" t="s">
        <v>5</v>
      </c>
      <c r="C1296" t="s">
        <v>13</v>
      </c>
      <c r="D1296">
        <v>0</v>
      </c>
    </row>
    <row r="1297" spans="1:4" x14ac:dyDescent="0.35">
      <c r="A1297" t="s">
        <v>15</v>
      </c>
      <c r="B1297" t="s">
        <v>5</v>
      </c>
      <c r="C1297" t="s">
        <v>13</v>
      </c>
      <c r="D1297">
        <v>0</v>
      </c>
    </row>
    <row r="1298" spans="1:4" x14ac:dyDescent="0.35">
      <c r="A1298" t="s">
        <v>16</v>
      </c>
      <c r="B1298" t="s">
        <v>5</v>
      </c>
      <c r="C1298" t="s">
        <v>13</v>
      </c>
      <c r="D1298">
        <v>0</v>
      </c>
    </row>
    <row r="1299" spans="1:4" x14ac:dyDescent="0.35">
      <c r="A1299" t="s">
        <v>17</v>
      </c>
      <c r="B1299" t="s">
        <v>5</v>
      </c>
      <c r="C1299" t="s">
        <v>13</v>
      </c>
      <c r="D1299">
        <v>0</v>
      </c>
    </row>
    <row r="1300" spans="1:4" x14ac:dyDescent="0.35">
      <c r="A1300" t="s">
        <v>18</v>
      </c>
      <c r="B1300" t="s">
        <v>5</v>
      </c>
      <c r="C1300" t="s">
        <v>13</v>
      </c>
      <c r="D1300">
        <v>0</v>
      </c>
    </row>
    <row r="1301" spans="1:4" x14ac:dyDescent="0.35">
      <c r="A1301" t="s">
        <v>19</v>
      </c>
      <c r="B1301" t="s">
        <v>5</v>
      </c>
      <c r="C1301" t="s">
        <v>13</v>
      </c>
      <c r="D1301">
        <v>0</v>
      </c>
    </row>
    <row r="1302" spans="1:4" x14ac:dyDescent="0.35">
      <c r="A1302" t="s">
        <v>20</v>
      </c>
      <c r="B1302" t="s">
        <v>5</v>
      </c>
      <c r="C1302" t="s">
        <v>13</v>
      </c>
      <c r="D1302">
        <v>0</v>
      </c>
    </row>
    <row r="1303" spans="1:4" x14ac:dyDescent="0.35">
      <c r="A1303" t="s">
        <v>21</v>
      </c>
      <c r="B1303" t="s">
        <v>5</v>
      </c>
      <c r="C1303" t="s">
        <v>13</v>
      </c>
      <c r="D1303">
        <v>0</v>
      </c>
    </row>
    <row r="1304" spans="1:4" x14ac:dyDescent="0.35">
      <c r="A1304" t="s">
        <v>22</v>
      </c>
      <c r="B1304" t="s">
        <v>5</v>
      </c>
      <c r="C1304" t="s">
        <v>13</v>
      </c>
      <c r="D1304">
        <v>0</v>
      </c>
    </row>
    <row r="1305" spans="1:4" x14ac:dyDescent="0.35">
      <c r="A1305" t="s">
        <v>23</v>
      </c>
      <c r="B1305" t="s">
        <v>5</v>
      </c>
      <c r="C1305" t="s">
        <v>13</v>
      </c>
      <c r="D1305">
        <v>0</v>
      </c>
    </row>
    <row r="1306" spans="1:4" x14ac:dyDescent="0.35">
      <c r="A1306" t="s">
        <v>24</v>
      </c>
      <c r="B1306" t="s">
        <v>5</v>
      </c>
      <c r="C1306" t="s">
        <v>13</v>
      </c>
      <c r="D1306">
        <v>0</v>
      </c>
    </row>
    <row r="1307" spans="1:4" x14ac:dyDescent="0.35">
      <c r="A1307" t="s">
        <v>25</v>
      </c>
      <c r="B1307" t="s">
        <v>5</v>
      </c>
      <c r="C1307" t="s">
        <v>13</v>
      </c>
      <c r="D1307">
        <v>0</v>
      </c>
    </row>
    <row r="1308" spans="1:4" x14ac:dyDescent="0.35">
      <c r="A1308" t="s">
        <v>26</v>
      </c>
      <c r="B1308" t="s">
        <v>5</v>
      </c>
      <c r="C1308" t="s">
        <v>13</v>
      </c>
      <c r="D1308">
        <v>0</v>
      </c>
    </row>
    <row r="1309" spans="1:4" x14ac:dyDescent="0.35">
      <c r="A1309" t="s">
        <v>27</v>
      </c>
      <c r="B1309" t="s">
        <v>5</v>
      </c>
      <c r="C1309" t="s">
        <v>13</v>
      </c>
      <c r="D1309">
        <v>0</v>
      </c>
    </row>
    <row r="1310" spans="1:4" x14ac:dyDescent="0.35">
      <c r="A1310" t="s">
        <v>28</v>
      </c>
      <c r="B1310" t="s">
        <v>5</v>
      </c>
      <c r="C1310" t="s">
        <v>13</v>
      </c>
      <c r="D1310">
        <v>0</v>
      </c>
    </row>
    <row r="1311" spans="1:4" x14ac:dyDescent="0.35">
      <c r="A1311" t="s">
        <v>29</v>
      </c>
      <c r="B1311" t="s">
        <v>5</v>
      </c>
      <c r="C1311" t="s">
        <v>13</v>
      </c>
      <c r="D1311">
        <v>0</v>
      </c>
    </row>
    <row r="1312" spans="1:4" x14ac:dyDescent="0.35">
      <c r="A1312" t="s">
        <v>30</v>
      </c>
      <c r="B1312" t="s">
        <v>5</v>
      </c>
      <c r="C1312" t="s">
        <v>13</v>
      </c>
      <c r="D1312">
        <v>0</v>
      </c>
    </row>
    <row r="1313" spans="1:4" x14ac:dyDescent="0.35">
      <c r="A1313" t="s">
        <v>31</v>
      </c>
      <c r="B1313" t="s">
        <v>5</v>
      </c>
      <c r="C1313" t="s">
        <v>13</v>
      </c>
      <c r="D1313">
        <v>0</v>
      </c>
    </row>
    <row r="1314" spans="1:4" x14ac:dyDescent="0.35">
      <c r="A1314" t="s">
        <v>32</v>
      </c>
      <c r="B1314" t="s">
        <v>5</v>
      </c>
      <c r="C1314" t="s">
        <v>13</v>
      </c>
      <c r="D1314">
        <v>0</v>
      </c>
    </row>
    <row r="1315" spans="1:4" x14ac:dyDescent="0.35">
      <c r="A1315" t="s">
        <v>33</v>
      </c>
      <c r="B1315" t="s">
        <v>5</v>
      </c>
      <c r="C1315" t="s">
        <v>13</v>
      </c>
      <c r="D1315">
        <v>0</v>
      </c>
    </row>
    <row r="1316" spans="1:4" x14ac:dyDescent="0.35">
      <c r="A1316" t="s">
        <v>34</v>
      </c>
      <c r="B1316" t="s">
        <v>5</v>
      </c>
      <c r="C1316" t="s">
        <v>13</v>
      </c>
      <c r="D1316">
        <v>0</v>
      </c>
    </row>
    <row r="1317" spans="1:4" x14ac:dyDescent="0.35">
      <c r="A1317" t="s">
        <v>35</v>
      </c>
      <c r="B1317" t="s">
        <v>5</v>
      </c>
      <c r="C1317" t="s">
        <v>13</v>
      </c>
      <c r="D1317">
        <v>0</v>
      </c>
    </row>
    <row r="1318" spans="1:4" x14ac:dyDescent="0.35">
      <c r="A1318" t="s">
        <v>36</v>
      </c>
      <c r="B1318" t="s">
        <v>5</v>
      </c>
      <c r="C1318" t="s">
        <v>13</v>
      </c>
      <c r="D1318">
        <v>0</v>
      </c>
    </row>
    <row r="1319" spans="1:4" x14ac:dyDescent="0.35">
      <c r="A1319" t="s">
        <v>37</v>
      </c>
      <c r="B1319" t="s">
        <v>5</v>
      </c>
      <c r="C1319" t="s">
        <v>13</v>
      </c>
      <c r="D1319">
        <v>0</v>
      </c>
    </row>
    <row r="1320" spans="1:4" x14ac:dyDescent="0.35">
      <c r="A1320" t="s">
        <v>38</v>
      </c>
      <c r="B1320" t="s">
        <v>5</v>
      </c>
      <c r="C1320" t="s">
        <v>13</v>
      </c>
      <c r="D1320">
        <v>0</v>
      </c>
    </row>
    <row r="1321" spans="1:4" x14ac:dyDescent="0.35">
      <c r="A1321" t="s">
        <v>39</v>
      </c>
      <c r="B1321" t="s">
        <v>5</v>
      </c>
      <c r="C1321" t="s">
        <v>13</v>
      </c>
      <c r="D1321">
        <v>0</v>
      </c>
    </row>
    <row r="1322" spans="1:4" x14ac:dyDescent="0.35">
      <c r="A1322" t="s">
        <v>7</v>
      </c>
      <c r="B1322" t="s">
        <v>5</v>
      </c>
      <c r="C1322" t="s">
        <v>14</v>
      </c>
      <c r="D1322">
        <v>0</v>
      </c>
    </row>
    <row r="1323" spans="1:4" x14ac:dyDescent="0.35">
      <c r="A1323" t="s">
        <v>8</v>
      </c>
      <c r="B1323" t="s">
        <v>5</v>
      </c>
      <c r="C1323" t="s">
        <v>14</v>
      </c>
      <c r="D1323">
        <v>0</v>
      </c>
    </row>
    <row r="1324" spans="1:4" x14ac:dyDescent="0.35">
      <c r="A1324" t="s">
        <v>9</v>
      </c>
      <c r="B1324" t="s">
        <v>5</v>
      </c>
      <c r="C1324" t="s">
        <v>14</v>
      </c>
      <c r="D1324">
        <v>0</v>
      </c>
    </row>
    <row r="1325" spans="1:4" x14ac:dyDescent="0.35">
      <c r="A1325" t="s">
        <v>10</v>
      </c>
      <c r="B1325" t="s">
        <v>5</v>
      </c>
      <c r="C1325" t="s">
        <v>14</v>
      </c>
      <c r="D1325">
        <v>0</v>
      </c>
    </row>
    <row r="1326" spans="1:4" x14ac:dyDescent="0.35">
      <c r="A1326" t="s">
        <v>11</v>
      </c>
      <c r="B1326" t="s">
        <v>5</v>
      </c>
      <c r="C1326" t="s">
        <v>14</v>
      </c>
      <c r="D1326">
        <v>0</v>
      </c>
    </row>
    <row r="1327" spans="1:4" x14ac:dyDescent="0.35">
      <c r="A1327" t="s">
        <v>12</v>
      </c>
      <c r="B1327" t="s">
        <v>5</v>
      </c>
      <c r="C1327" t="s">
        <v>14</v>
      </c>
      <c r="D1327">
        <v>0</v>
      </c>
    </row>
    <row r="1328" spans="1:4" x14ac:dyDescent="0.35">
      <c r="A1328" t="s">
        <v>13</v>
      </c>
      <c r="B1328" t="s">
        <v>5</v>
      </c>
      <c r="C1328" t="s">
        <v>14</v>
      </c>
      <c r="D1328">
        <v>0</v>
      </c>
    </row>
    <row r="1329" spans="1:4" x14ac:dyDescent="0.35">
      <c r="A1329" t="s">
        <v>14</v>
      </c>
      <c r="B1329" t="s">
        <v>5</v>
      </c>
      <c r="C1329" t="s">
        <v>14</v>
      </c>
      <c r="D1329">
        <v>0</v>
      </c>
    </row>
    <row r="1330" spans="1:4" x14ac:dyDescent="0.35">
      <c r="A1330" t="s">
        <v>15</v>
      </c>
      <c r="B1330" t="s">
        <v>5</v>
      </c>
      <c r="C1330" t="s">
        <v>14</v>
      </c>
      <c r="D1330">
        <v>0</v>
      </c>
    </row>
    <row r="1331" spans="1:4" x14ac:dyDescent="0.35">
      <c r="A1331" t="s">
        <v>16</v>
      </c>
      <c r="B1331" t="s">
        <v>5</v>
      </c>
      <c r="C1331" t="s">
        <v>14</v>
      </c>
      <c r="D1331">
        <v>0</v>
      </c>
    </row>
    <row r="1332" spans="1:4" x14ac:dyDescent="0.35">
      <c r="A1332" t="s">
        <v>17</v>
      </c>
      <c r="B1332" t="s">
        <v>5</v>
      </c>
      <c r="C1332" t="s">
        <v>14</v>
      </c>
      <c r="D1332">
        <v>0</v>
      </c>
    </row>
    <row r="1333" spans="1:4" x14ac:dyDescent="0.35">
      <c r="A1333" t="s">
        <v>18</v>
      </c>
      <c r="B1333" t="s">
        <v>5</v>
      </c>
      <c r="C1333" t="s">
        <v>14</v>
      </c>
      <c r="D1333">
        <v>0</v>
      </c>
    </row>
    <row r="1334" spans="1:4" x14ac:dyDescent="0.35">
      <c r="A1334" t="s">
        <v>19</v>
      </c>
      <c r="B1334" t="s">
        <v>5</v>
      </c>
      <c r="C1334" t="s">
        <v>14</v>
      </c>
      <c r="D1334">
        <v>0</v>
      </c>
    </row>
    <row r="1335" spans="1:4" x14ac:dyDescent="0.35">
      <c r="A1335" t="s">
        <v>20</v>
      </c>
      <c r="B1335" t="s">
        <v>5</v>
      </c>
      <c r="C1335" t="s">
        <v>14</v>
      </c>
      <c r="D1335">
        <v>0</v>
      </c>
    </row>
    <row r="1336" spans="1:4" x14ac:dyDescent="0.35">
      <c r="A1336" t="s">
        <v>21</v>
      </c>
      <c r="B1336" t="s">
        <v>5</v>
      </c>
      <c r="C1336" t="s">
        <v>14</v>
      </c>
      <c r="D1336">
        <v>0</v>
      </c>
    </row>
    <row r="1337" spans="1:4" x14ac:dyDescent="0.35">
      <c r="A1337" t="s">
        <v>22</v>
      </c>
      <c r="B1337" t="s">
        <v>5</v>
      </c>
      <c r="C1337" t="s">
        <v>14</v>
      </c>
      <c r="D1337">
        <v>0</v>
      </c>
    </row>
    <row r="1338" spans="1:4" x14ac:dyDescent="0.35">
      <c r="A1338" t="s">
        <v>23</v>
      </c>
      <c r="B1338" t="s">
        <v>5</v>
      </c>
      <c r="C1338" t="s">
        <v>14</v>
      </c>
      <c r="D1338">
        <v>0</v>
      </c>
    </row>
    <row r="1339" spans="1:4" x14ac:dyDescent="0.35">
      <c r="A1339" t="s">
        <v>24</v>
      </c>
      <c r="B1339" t="s">
        <v>5</v>
      </c>
      <c r="C1339" t="s">
        <v>14</v>
      </c>
      <c r="D1339">
        <v>0</v>
      </c>
    </row>
    <row r="1340" spans="1:4" x14ac:dyDescent="0.35">
      <c r="A1340" t="s">
        <v>25</v>
      </c>
      <c r="B1340" t="s">
        <v>5</v>
      </c>
      <c r="C1340" t="s">
        <v>14</v>
      </c>
      <c r="D1340">
        <v>0</v>
      </c>
    </row>
    <row r="1341" spans="1:4" x14ac:dyDescent="0.35">
      <c r="A1341" t="s">
        <v>26</v>
      </c>
      <c r="B1341" t="s">
        <v>5</v>
      </c>
      <c r="C1341" t="s">
        <v>14</v>
      </c>
      <c r="D1341">
        <v>0</v>
      </c>
    </row>
    <row r="1342" spans="1:4" x14ac:dyDescent="0.35">
      <c r="A1342" t="s">
        <v>27</v>
      </c>
      <c r="B1342" t="s">
        <v>5</v>
      </c>
      <c r="C1342" t="s">
        <v>14</v>
      </c>
      <c r="D1342">
        <v>0</v>
      </c>
    </row>
    <row r="1343" spans="1:4" x14ac:dyDescent="0.35">
      <c r="A1343" t="s">
        <v>28</v>
      </c>
      <c r="B1343" t="s">
        <v>5</v>
      </c>
      <c r="C1343" t="s">
        <v>14</v>
      </c>
      <c r="D1343">
        <v>0</v>
      </c>
    </row>
    <row r="1344" spans="1:4" x14ac:dyDescent="0.35">
      <c r="A1344" t="s">
        <v>29</v>
      </c>
      <c r="B1344" t="s">
        <v>5</v>
      </c>
      <c r="C1344" t="s">
        <v>14</v>
      </c>
      <c r="D1344">
        <v>0</v>
      </c>
    </row>
    <row r="1345" spans="1:4" x14ac:dyDescent="0.35">
      <c r="A1345" t="s">
        <v>30</v>
      </c>
      <c r="B1345" t="s">
        <v>5</v>
      </c>
      <c r="C1345" t="s">
        <v>14</v>
      </c>
      <c r="D1345">
        <v>0</v>
      </c>
    </row>
    <row r="1346" spans="1:4" x14ac:dyDescent="0.35">
      <c r="A1346" t="s">
        <v>31</v>
      </c>
      <c r="B1346" t="s">
        <v>5</v>
      </c>
      <c r="C1346" t="s">
        <v>14</v>
      </c>
      <c r="D1346">
        <v>0</v>
      </c>
    </row>
    <row r="1347" spans="1:4" x14ac:dyDescent="0.35">
      <c r="A1347" t="s">
        <v>32</v>
      </c>
      <c r="B1347" t="s">
        <v>5</v>
      </c>
      <c r="C1347" t="s">
        <v>14</v>
      </c>
      <c r="D1347">
        <v>0</v>
      </c>
    </row>
    <row r="1348" spans="1:4" x14ac:dyDescent="0.35">
      <c r="A1348" t="s">
        <v>33</v>
      </c>
      <c r="B1348" t="s">
        <v>5</v>
      </c>
      <c r="C1348" t="s">
        <v>14</v>
      </c>
      <c r="D1348">
        <v>0</v>
      </c>
    </row>
    <row r="1349" spans="1:4" x14ac:dyDescent="0.35">
      <c r="A1349" t="s">
        <v>34</v>
      </c>
      <c r="B1349" t="s">
        <v>5</v>
      </c>
      <c r="C1349" t="s">
        <v>14</v>
      </c>
      <c r="D1349">
        <v>0</v>
      </c>
    </row>
    <row r="1350" spans="1:4" x14ac:dyDescent="0.35">
      <c r="A1350" t="s">
        <v>35</v>
      </c>
      <c r="B1350" t="s">
        <v>5</v>
      </c>
      <c r="C1350" t="s">
        <v>14</v>
      </c>
      <c r="D1350">
        <v>0</v>
      </c>
    </row>
    <row r="1351" spans="1:4" x14ac:dyDescent="0.35">
      <c r="A1351" t="s">
        <v>36</v>
      </c>
      <c r="B1351" t="s">
        <v>5</v>
      </c>
      <c r="C1351" t="s">
        <v>14</v>
      </c>
      <c r="D1351">
        <v>0</v>
      </c>
    </row>
    <row r="1352" spans="1:4" x14ac:dyDescent="0.35">
      <c r="A1352" t="s">
        <v>37</v>
      </c>
      <c r="B1352" t="s">
        <v>5</v>
      </c>
      <c r="C1352" t="s">
        <v>14</v>
      </c>
      <c r="D1352">
        <v>0</v>
      </c>
    </row>
    <row r="1353" spans="1:4" x14ac:dyDescent="0.35">
      <c r="A1353" t="s">
        <v>38</v>
      </c>
      <c r="B1353" t="s">
        <v>5</v>
      </c>
      <c r="C1353" t="s">
        <v>14</v>
      </c>
      <c r="D1353">
        <v>0</v>
      </c>
    </row>
    <row r="1354" spans="1:4" x14ac:dyDescent="0.35">
      <c r="A1354" t="s">
        <v>39</v>
      </c>
      <c r="B1354" t="s">
        <v>5</v>
      </c>
      <c r="C1354" t="s">
        <v>14</v>
      </c>
      <c r="D1354">
        <v>0</v>
      </c>
    </row>
    <row r="1355" spans="1:4" x14ac:dyDescent="0.35">
      <c r="A1355" t="s">
        <v>7</v>
      </c>
      <c r="B1355" t="s">
        <v>5</v>
      </c>
      <c r="C1355" t="s">
        <v>15</v>
      </c>
      <c r="D1355">
        <v>0</v>
      </c>
    </row>
    <row r="1356" spans="1:4" x14ac:dyDescent="0.35">
      <c r="A1356" t="s">
        <v>8</v>
      </c>
      <c r="B1356" t="s">
        <v>5</v>
      </c>
      <c r="C1356" t="s">
        <v>15</v>
      </c>
      <c r="D1356">
        <v>0</v>
      </c>
    </row>
    <row r="1357" spans="1:4" x14ac:dyDescent="0.35">
      <c r="A1357" t="s">
        <v>9</v>
      </c>
      <c r="B1357" t="s">
        <v>5</v>
      </c>
      <c r="C1357" t="s">
        <v>15</v>
      </c>
      <c r="D1357">
        <v>0</v>
      </c>
    </row>
    <row r="1358" spans="1:4" x14ac:dyDescent="0.35">
      <c r="A1358" t="s">
        <v>10</v>
      </c>
      <c r="B1358" t="s">
        <v>5</v>
      </c>
      <c r="C1358" t="s">
        <v>15</v>
      </c>
      <c r="D1358">
        <v>0</v>
      </c>
    </row>
    <row r="1359" spans="1:4" x14ac:dyDescent="0.35">
      <c r="A1359" t="s">
        <v>11</v>
      </c>
      <c r="B1359" t="s">
        <v>5</v>
      </c>
      <c r="C1359" t="s">
        <v>15</v>
      </c>
      <c r="D1359">
        <v>0</v>
      </c>
    </row>
    <row r="1360" spans="1:4" x14ac:dyDescent="0.35">
      <c r="A1360" t="s">
        <v>12</v>
      </c>
      <c r="B1360" t="s">
        <v>5</v>
      </c>
      <c r="C1360" t="s">
        <v>15</v>
      </c>
      <c r="D1360">
        <v>0</v>
      </c>
    </row>
    <row r="1361" spans="1:4" x14ac:dyDescent="0.35">
      <c r="A1361" t="s">
        <v>13</v>
      </c>
      <c r="B1361" t="s">
        <v>5</v>
      </c>
      <c r="C1361" t="s">
        <v>15</v>
      </c>
      <c r="D1361">
        <v>0</v>
      </c>
    </row>
    <row r="1362" spans="1:4" x14ac:dyDescent="0.35">
      <c r="A1362" t="s">
        <v>14</v>
      </c>
      <c r="B1362" t="s">
        <v>5</v>
      </c>
      <c r="C1362" t="s">
        <v>15</v>
      </c>
      <c r="D1362">
        <v>0</v>
      </c>
    </row>
    <row r="1363" spans="1:4" x14ac:dyDescent="0.35">
      <c r="A1363" t="s">
        <v>15</v>
      </c>
      <c r="B1363" t="s">
        <v>5</v>
      </c>
      <c r="C1363" t="s">
        <v>15</v>
      </c>
      <c r="D1363">
        <v>0</v>
      </c>
    </row>
    <row r="1364" spans="1:4" x14ac:dyDescent="0.35">
      <c r="A1364" t="s">
        <v>16</v>
      </c>
      <c r="B1364" t="s">
        <v>5</v>
      </c>
      <c r="C1364" t="s">
        <v>15</v>
      </c>
      <c r="D1364">
        <v>0</v>
      </c>
    </row>
    <row r="1365" spans="1:4" x14ac:dyDescent="0.35">
      <c r="A1365" t="s">
        <v>17</v>
      </c>
      <c r="B1365" t="s">
        <v>5</v>
      </c>
      <c r="C1365" t="s">
        <v>15</v>
      </c>
      <c r="D1365">
        <v>0</v>
      </c>
    </row>
    <row r="1366" spans="1:4" x14ac:dyDescent="0.35">
      <c r="A1366" t="s">
        <v>18</v>
      </c>
      <c r="B1366" t="s">
        <v>5</v>
      </c>
      <c r="C1366" t="s">
        <v>15</v>
      </c>
      <c r="D1366">
        <v>0</v>
      </c>
    </row>
    <row r="1367" spans="1:4" x14ac:dyDescent="0.35">
      <c r="A1367" t="s">
        <v>19</v>
      </c>
      <c r="B1367" t="s">
        <v>5</v>
      </c>
      <c r="C1367" t="s">
        <v>15</v>
      </c>
      <c r="D1367">
        <v>0</v>
      </c>
    </row>
    <row r="1368" spans="1:4" x14ac:dyDescent="0.35">
      <c r="A1368" t="s">
        <v>20</v>
      </c>
      <c r="B1368" t="s">
        <v>5</v>
      </c>
      <c r="C1368" t="s">
        <v>15</v>
      </c>
      <c r="D1368">
        <v>0</v>
      </c>
    </row>
    <row r="1369" spans="1:4" x14ac:dyDescent="0.35">
      <c r="A1369" t="s">
        <v>21</v>
      </c>
      <c r="B1369" t="s">
        <v>5</v>
      </c>
      <c r="C1369" t="s">
        <v>15</v>
      </c>
      <c r="D1369">
        <v>0</v>
      </c>
    </row>
    <row r="1370" spans="1:4" x14ac:dyDescent="0.35">
      <c r="A1370" t="s">
        <v>22</v>
      </c>
      <c r="B1370" t="s">
        <v>5</v>
      </c>
      <c r="C1370" t="s">
        <v>15</v>
      </c>
      <c r="D1370">
        <v>0</v>
      </c>
    </row>
    <row r="1371" spans="1:4" x14ac:dyDescent="0.35">
      <c r="A1371" t="s">
        <v>23</v>
      </c>
      <c r="B1371" t="s">
        <v>5</v>
      </c>
      <c r="C1371" t="s">
        <v>15</v>
      </c>
      <c r="D1371">
        <v>0</v>
      </c>
    </row>
    <row r="1372" spans="1:4" x14ac:dyDescent="0.35">
      <c r="A1372" t="s">
        <v>24</v>
      </c>
      <c r="B1372" t="s">
        <v>5</v>
      </c>
      <c r="C1372" t="s">
        <v>15</v>
      </c>
      <c r="D1372">
        <v>0</v>
      </c>
    </row>
    <row r="1373" spans="1:4" x14ac:dyDescent="0.35">
      <c r="A1373" t="s">
        <v>25</v>
      </c>
      <c r="B1373" t="s">
        <v>5</v>
      </c>
      <c r="C1373" t="s">
        <v>15</v>
      </c>
      <c r="D1373">
        <v>0</v>
      </c>
    </row>
    <row r="1374" spans="1:4" x14ac:dyDescent="0.35">
      <c r="A1374" t="s">
        <v>26</v>
      </c>
      <c r="B1374" t="s">
        <v>5</v>
      </c>
      <c r="C1374" t="s">
        <v>15</v>
      </c>
      <c r="D1374">
        <v>0</v>
      </c>
    </row>
    <row r="1375" spans="1:4" x14ac:dyDescent="0.35">
      <c r="A1375" t="s">
        <v>27</v>
      </c>
      <c r="B1375" t="s">
        <v>5</v>
      </c>
      <c r="C1375" t="s">
        <v>15</v>
      </c>
      <c r="D1375">
        <v>0</v>
      </c>
    </row>
    <row r="1376" spans="1:4" x14ac:dyDescent="0.35">
      <c r="A1376" t="s">
        <v>28</v>
      </c>
      <c r="B1376" t="s">
        <v>5</v>
      </c>
      <c r="C1376" t="s">
        <v>15</v>
      </c>
      <c r="D1376">
        <v>0</v>
      </c>
    </row>
    <row r="1377" spans="1:4" x14ac:dyDescent="0.35">
      <c r="A1377" t="s">
        <v>29</v>
      </c>
      <c r="B1377" t="s">
        <v>5</v>
      </c>
      <c r="C1377" t="s">
        <v>15</v>
      </c>
      <c r="D1377">
        <v>0</v>
      </c>
    </row>
    <row r="1378" spans="1:4" x14ac:dyDescent="0.35">
      <c r="A1378" t="s">
        <v>30</v>
      </c>
      <c r="B1378" t="s">
        <v>5</v>
      </c>
      <c r="C1378" t="s">
        <v>15</v>
      </c>
      <c r="D1378">
        <v>0</v>
      </c>
    </row>
    <row r="1379" spans="1:4" x14ac:dyDescent="0.35">
      <c r="A1379" t="s">
        <v>31</v>
      </c>
      <c r="B1379" t="s">
        <v>5</v>
      </c>
      <c r="C1379" t="s">
        <v>15</v>
      </c>
      <c r="D1379">
        <v>0</v>
      </c>
    </row>
    <row r="1380" spans="1:4" x14ac:dyDescent="0.35">
      <c r="A1380" t="s">
        <v>32</v>
      </c>
      <c r="B1380" t="s">
        <v>5</v>
      </c>
      <c r="C1380" t="s">
        <v>15</v>
      </c>
      <c r="D1380">
        <v>0</v>
      </c>
    </row>
    <row r="1381" spans="1:4" x14ac:dyDescent="0.35">
      <c r="A1381" t="s">
        <v>33</v>
      </c>
      <c r="B1381" t="s">
        <v>5</v>
      </c>
      <c r="C1381" t="s">
        <v>15</v>
      </c>
      <c r="D1381">
        <v>0</v>
      </c>
    </row>
    <row r="1382" spans="1:4" x14ac:dyDescent="0.35">
      <c r="A1382" t="s">
        <v>34</v>
      </c>
      <c r="B1382" t="s">
        <v>5</v>
      </c>
      <c r="C1382" t="s">
        <v>15</v>
      </c>
      <c r="D1382">
        <v>0</v>
      </c>
    </row>
    <row r="1383" spans="1:4" x14ac:dyDescent="0.35">
      <c r="A1383" t="s">
        <v>35</v>
      </c>
      <c r="B1383" t="s">
        <v>5</v>
      </c>
      <c r="C1383" t="s">
        <v>15</v>
      </c>
      <c r="D1383">
        <v>0</v>
      </c>
    </row>
    <row r="1384" spans="1:4" x14ac:dyDescent="0.35">
      <c r="A1384" t="s">
        <v>36</v>
      </c>
      <c r="B1384" t="s">
        <v>5</v>
      </c>
      <c r="C1384" t="s">
        <v>15</v>
      </c>
      <c r="D1384">
        <v>0</v>
      </c>
    </row>
    <row r="1385" spans="1:4" x14ac:dyDescent="0.35">
      <c r="A1385" t="s">
        <v>37</v>
      </c>
      <c r="B1385" t="s">
        <v>5</v>
      </c>
      <c r="C1385" t="s">
        <v>15</v>
      </c>
      <c r="D1385">
        <v>0</v>
      </c>
    </row>
    <row r="1386" spans="1:4" x14ac:dyDescent="0.35">
      <c r="A1386" t="s">
        <v>38</v>
      </c>
      <c r="B1386" t="s">
        <v>5</v>
      </c>
      <c r="C1386" t="s">
        <v>15</v>
      </c>
      <c r="D1386">
        <v>0</v>
      </c>
    </row>
    <row r="1387" spans="1:4" x14ac:dyDescent="0.35">
      <c r="A1387" t="s">
        <v>39</v>
      </c>
      <c r="B1387" t="s">
        <v>5</v>
      </c>
      <c r="C1387" t="s">
        <v>15</v>
      </c>
      <c r="D1387">
        <v>0</v>
      </c>
    </row>
    <row r="1388" spans="1:4" x14ac:dyDescent="0.35">
      <c r="A1388" t="s">
        <v>7</v>
      </c>
      <c r="B1388" t="s">
        <v>5</v>
      </c>
      <c r="C1388" t="s">
        <v>16</v>
      </c>
      <c r="D1388">
        <v>0</v>
      </c>
    </row>
    <row r="1389" spans="1:4" x14ac:dyDescent="0.35">
      <c r="A1389" t="s">
        <v>8</v>
      </c>
      <c r="B1389" t="s">
        <v>5</v>
      </c>
      <c r="C1389" t="s">
        <v>16</v>
      </c>
      <c r="D1389">
        <v>0</v>
      </c>
    </row>
    <row r="1390" spans="1:4" x14ac:dyDescent="0.35">
      <c r="A1390" t="s">
        <v>9</v>
      </c>
      <c r="B1390" t="s">
        <v>5</v>
      </c>
      <c r="C1390" t="s">
        <v>16</v>
      </c>
      <c r="D1390">
        <v>0</v>
      </c>
    </row>
    <row r="1391" spans="1:4" x14ac:dyDescent="0.35">
      <c r="A1391" t="s">
        <v>10</v>
      </c>
      <c r="B1391" t="s">
        <v>5</v>
      </c>
      <c r="C1391" t="s">
        <v>16</v>
      </c>
      <c r="D1391">
        <v>0</v>
      </c>
    </row>
    <row r="1392" spans="1:4" x14ac:dyDescent="0.35">
      <c r="A1392" t="s">
        <v>11</v>
      </c>
      <c r="B1392" t="s">
        <v>5</v>
      </c>
      <c r="C1392" t="s">
        <v>16</v>
      </c>
      <c r="D1392">
        <v>0</v>
      </c>
    </row>
    <row r="1393" spans="1:4" x14ac:dyDescent="0.35">
      <c r="A1393" t="s">
        <v>12</v>
      </c>
      <c r="B1393" t="s">
        <v>5</v>
      </c>
      <c r="C1393" t="s">
        <v>16</v>
      </c>
      <c r="D1393">
        <v>0</v>
      </c>
    </row>
    <row r="1394" spans="1:4" x14ac:dyDescent="0.35">
      <c r="A1394" t="s">
        <v>13</v>
      </c>
      <c r="B1394" t="s">
        <v>5</v>
      </c>
      <c r="C1394" t="s">
        <v>16</v>
      </c>
      <c r="D1394">
        <v>0</v>
      </c>
    </row>
    <row r="1395" spans="1:4" x14ac:dyDescent="0.35">
      <c r="A1395" t="s">
        <v>14</v>
      </c>
      <c r="B1395" t="s">
        <v>5</v>
      </c>
      <c r="C1395" t="s">
        <v>16</v>
      </c>
      <c r="D1395">
        <v>0</v>
      </c>
    </row>
    <row r="1396" spans="1:4" x14ac:dyDescent="0.35">
      <c r="A1396" t="s">
        <v>15</v>
      </c>
      <c r="B1396" t="s">
        <v>5</v>
      </c>
      <c r="C1396" t="s">
        <v>16</v>
      </c>
      <c r="D1396">
        <v>0</v>
      </c>
    </row>
    <row r="1397" spans="1:4" x14ac:dyDescent="0.35">
      <c r="A1397" t="s">
        <v>16</v>
      </c>
      <c r="B1397" t="s">
        <v>5</v>
      </c>
      <c r="C1397" t="s">
        <v>16</v>
      </c>
      <c r="D1397">
        <v>0</v>
      </c>
    </row>
    <row r="1398" spans="1:4" x14ac:dyDescent="0.35">
      <c r="A1398" t="s">
        <v>17</v>
      </c>
      <c r="B1398" t="s">
        <v>5</v>
      </c>
      <c r="C1398" t="s">
        <v>16</v>
      </c>
      <c r="D1398">
        <v>0</v>
      </c>
    </row>
    <row r="1399" spans="1:4" x14ac:dyDescent="0.35">
      <c r="A1399" t="s">
        <v>18</v>
      </c>
      <c r="B1399" t="s">
        <v>5</v>
      </c>
      <c r="C1399" t="s">
        <v>16</v>
      </c>
      <c r="D1399">
        <v>0</v>
      </c>
    </row>
    <row r="1400" spans="1:4" x14ac:dyDescent="0.35">
      <c r="A1400" t="s">
        <v>19</v>
      </c>
      <c r="B1400" t="s">
        <v>5</v>
      </c>
      <c r="C1400" t="s">
        <v>16</v>
      </c>
      <c r="D1400">
        <v>0</v>
      </c>
    </row>
    <row r="1401" spans="1:4" x14ac:dyDescent="0.35">
      <c r="A1401" t="s">
        <v>20</v>
      </c>
      <c r="B1401" t="s">
        <v>5</v>
      </c>
      <c r="C1401" t="s">
        <v>16</v>
      </c>
      <c r="D1401">
        <v>0</v>
      </c>
    </row>
    <row r="1402" spans="1:4" x14ac:dyDescent="0.35">
      <c r="A1402" t="s">
        <v>21</v>
      </c>
      <c r="B1402" t="s">
        <v>5</v>
      </c>
      <c r="C1402" t="s">
        <v>16</v>
      </c>
      <c r="D1402">
        <v>0</v>
      </c>
    </row>
    <row r="1403" spans="1:4" x14ac:dyDescent="0.35">
      <c r="A1403" t="s">
        <v>22</v>
      </c>
      <c r="B1403" t="s">
        <v>5</v>
      </c>
      <c r="C1403" t="s">
        <v>16</v>
      </c>
      <c r="D1403">
        <v>0</v>
      </c>
    </row>
    <row r="1404" spans="1:4" x14ac:dyDescent="0.35">
      <c r="A1404" t="s">
        <v>23</v>
      </c>
      <c r="B1404" t="s">
        <v>5</v>
      </c>
      <c r="C1404" t="s">
        <v>16</v>
      </c>
      <c r="D1404">
        <v>0</v>
      </c>
    </row>
    <row r="1405" spans="1:4" x14ac:dyDescent="0.35">
      <c r="A1405" t="s">
        <v>24</v>
      </c>
      <c r="B1405" t="s">
        <v>5</v>
      </c>
      <c r="C1405" t="s">
        <v>16</v>
      </c>
      <c r="D1405">
        <v>0</v>
      </c>
    </row>
    <row r="1406" spans="1:4" x14ac:dyDescent="0.35">
      <c r="A1406" t="s">
        <v>25</v>
      </c>
      <c r="B1406" t="s">
        <v>5</v>
      </c>
      <c r="C1406" t="s">
        <v>16</v>
      </c>
      <c r="D1406">
        <v>0</v>
      </c>
    </row>
    <row r="1407" spans="1:4" x14ac:dyDescent="0.35">
      <c r="A1407" t="s">
        <v>26</v>
      </c>
      <c r="B1407" t="s">
        <v>5</v>
      </c>
      <c r="C1407" t="s">
        <v>16</v>
      </c>
      <c r="D1407">
        <v>0</v>
      </c>
    </row>
    <row r="1408" spans="1:4" x14ac:dyDescent="0.35">
      <c r="A1408" t="s">
        <v>27</v>
      </c>
      <c r="B1408" t="s">
        <v>5</v>
      </c>
      <c r="C1408" t="s">
        <v>16</v>
      </c>
      <c r="D1408">
        <v>0</v>
      </c>
    </row>
    <row r="1409" spans="1:4" x14ac:dyDescent="0.35">
      <c r="A1409" t="s">
        <v>28</v>
      </c>
      <c r="B1409" t="s">
        <v>5</v>
      </c>
      <c r="C1409" t="s">
        <v>16</v>
      </c>
      <c r="D1409">
        <v>0</v>
      </c>
    </row>
    <row r="1410" spans="1:4" x14ac:dyDescent="0.35">
      <c r="A1410" t="s">
        <v>29</v>
      </c>
      <c r="B1410" t="s">
        <v>5</v>
      </c>
      <c r="C1410" t="s">
        <v>16</v>
      </c>
      <c r="D1410">
        <v>0</v>
      </c>
    </row>
    <row r="1411" spans="1:4" x14ac:dyDescent="0.35">
      <c r="A1411" t="s">
        <v>30</v>
      </c>
      <c r="B1411" t="s">
        <v>5</v>
      </c>
      <c r="C1411" t="s">
        <v>16</v>
      </c>
      <c r="D1411">
        <v>0</v>
      </c>
    </row>
    <row r="1412" spans="1:4" x14ac:dyDescent="0.35">
      <c r="A1412" t="s">
        <v>31</v>
      </c>
      <c r="B1412" t="s">
        <v>5</v>
      </c>
      <c r="C1412" t="s">
        <v>16</v>
      </c>
      <c r="D1412">
        <v>0</v>
      </c>
    </row>
    <row r="1413" spans="1:4" x14ac:dyDescent="0.35">
      <c r="A1413" t="s">
        <v>32</v>
      </c>
      <c r="B1413" t="s">
        <v>5</v>
      </c>
      <c r="C1413" t="s">
        <v>16</v>
      </c>
      <c r="D1413">
        <v>0</v>
      </c>
    </row>
    <row r="1414" spans="1:4" x14ac:dyDescent="0.35">
      <c r="A1414" t="s">
        <v>33</v>
      </c>
      <c r="B1414" t="s">
        <v>5</v>
      </c>
      <c r="C1414" t="s">
        <v>16</v>
      </c>
      <c r="D1414">
        <v>0</v>
      </c>
    </row>
    <row r="1415" spans="1:4" x14ac:dyDescent="0.35">
      <c r="A1415" t="s">
        <v>34</v>
      </c>
      <c r="B1415" t="s">
        <v>5</v>
      </c>
      <c r="C1415" t="s">
        <v>16</v>
      </c>
      <c r="D1415">
        <v>0</v>
      </c>
    </row>
    <row r="1416" spans="1:4" x14ac:dyDescent="0.35">
      <c r="A1416" t="s">
        <v>35</v>
      </c>
      <c r="B1416" t="s">
        <v>5</v>
      </c>
      <c r="C1416" t="s">
        <v>16</v>
      </c>
      <c r="D1416">
        <v>0</v>
      </c>
    </row>
    <row r="1417" spans="1:4" x14ac:dyDescent="0.35">
      <c r="A1417" t="s">
        <v>36</v>
      </c>
      <c r="B1417" t="s">
        <v>5</v>
      </c>
      <c r="C1417" t="s">
        <v>16</v>
      </c>
      <c r="D1417">
        <v>0</v>
      </c>
    </row>
    <row r="1418" spans="1:4" x14ac:dyDescent="0.35">
      <c r="A1418" t="s">
        <v>37</v>
      </c>
      <c r="B1418" t="s">
        <v>5</v>
      </c>
      <c r="C1418" t="s">
        <v>16</v>
      </c>
      <c r="D1418">
        <v>0</v>
      </c>
    </row>
    <row r="1419" spans="1:4" x14ac:dyDescent="0.35">
      <c r="A1419" t="s">
        <v>38</v>
      </c>
      <c r="B1419" t="s">
        <v>5</v>
      </c>
      <c r="C1419" t="s">
        <v>16</v>
      </c>
      <c r="D1419">
        <v>0</v>
      </c>
    </row>
    <row r="1420" spans="1:4" x14ac:dyDescent="0.35">
      <c r="A1420" t="s">
        <v>39</v>
      </c>
      <c r="B1420" t="s">
        <v>5</v>
      </c>
      <c r="C1420" t="s">
        <v>16</v>
      </c>
      <c r="D1420">
        <v>0</v>
      </c>
    </row>
    <row r="1421" spans="1:4" x14ac:dyDescent="0.35">
      <c r="A1421" t="s">
        <v>7</v>
      </c>
      <c r="B1421" t="s">
        <v>5</v>
      </c>
      <c r="C1421" t="s">
        <v>17</v>
      </c>
      <c r="D1421">
        <v>0</v>
      </c>
    </row>
    <row r="1422" spans="1:4" x14ac:dyDescent="0.35">
      <c r="A1422" t="s">
        <v>8</v>
      </c>
      <c r="B1422" t="s">
        <v>5</v>
      </c>
      <c r="C1422" t="s">
        <v>17</v>
      </c>
      <c r="D1422">
        <v>0</v>
      </c>
    </row>
    <row r="1423" spans="1:4" x14ac:dyDescent="0.35">
      <c r="A1423" t="s">
        <v>9</v>
      </c>
      <c r="B1423" t="s">
        <v>5</v>
      </c>
      <c r="C1423" t="s">
        <v>17</v>
      </c>
      <c r="D1423">
        <v>0</v>
      </c>
    </row>
    <row r="1424" spans="1:4" x14ac:dyDescent="0.35">
      <c r="A1424" t="s">
        <v>10</v>
      </c>
      <c r="B1424" t="s">
        <v>5</v>
      </c>
      <c r="C1424" t="s">
        <v>17</v>
      </c>
      <c r="D1424">
        <v>0</v>
      </c>
    </row>
    <row r="1425" spans="1:4" x14ac:dyDescent="0.35">
      <c r="A1425" t="s">
        <v>11</v>
      </c>
      <c r="B1425" t="s">
        <v>5</v>
      </c>
      <c r="C1425" t="s">
        <v>17</v>
      </c>
      <c r="D1425">
        <v>0</v>
      </c>
    </row>
    <row r="1426" spans="1:4" x14ac:dyDescent="0.35">
      <c r="A1426" t="s">
        <v>12</v>
      </c>
      <c r="B1426" t="s">
        <v>5</v>
      </c>
      <c r="C1426" t="s">
        <v>17</v>
      </c>
      <c r="D1426">
        <v>0</v>
      </c>
    </row>
    <row r="1427" spans="1:4" x14ac:dyDescent="0.35">
      <c r="A1427" t="s">
        <v>13</v>
      </c>
      <c r="B1427" t="s">
        <v>5</v>
      </c>
      <c r="C1427" t="s">
        <v>17</v>
      </c>
      <c r="D1427">
        <v>0</v>
      </c>
    </row>
    <row r="1428" spans="1:4" x14ac:dyDescent="0.35">
      <c r="A1428" t="s">
        <v>14</v>
      </c>
      <c r="B1428" t="s">
        <v>5</v>
      </c>
      <c r="C1428" t="s">
        <v>17</v>
      </c>
      <c r="D1428">
        <v>0</v>
      </c>
    </row>
    <row r="1429" spans="1:4" x14ac:dyDescent="0.35">
      <c r="A1429" t="s">
        <v>15</v>
      </c>
      <c r="B1429" t="s">
        <v>5</v>
      </c>
      <c r="C1429" t="s">
        <v>17</v>
      </c>
      <c r="D1429">
        <v>0</v>
      </c>
    </row>
    <row r="1430" spans="1:4" x14ac:dyDescent="0.35">
      <c r="A1430" t="s">
        <v>16</v>
      </c>
      <c r="B1430" t="s">
        <v>5</v>
      </c>
      <c r="C1430" t="s">
        <v>17</v>
      </c>
      <c r="D1430">
        <v>0</v>
      </c>
    </row>
    <row r="1431" spans="1:4" x14ac:dyDescent="0.35">
      <c r="A1431" t="s">
        <v>17</v>
      </c>
      <c r="B1431" t="s">
        <v>5</v>
      </c>
      <c r="C1431" t="s">
        <v>17</v>
      </c>
      <c r="D1431">
        <v>0</v>
      </c>
    </row>
    <row r="1432" spans="1:4" x14ac:dyDescent="0.35">
      <c r="A1432" t="s">
        <v>18</v>
      </c>
      <c r="B1432" t="s">
        <v>5</v>
      </c>
      <c r="C1432" t="s">
        <v>17</v>
      </c>
      <c r="D1432">
        <v>0</v>
      </c>
    </row>
    <row r="1433" spans="1:4" x14ac:dyDescent="0.35">
      <c r="A1433" t="s">
        <v>19</v>
      </c>
      <c r="B1433" t="s">
        <v>5</v>
      </c>
      <c r="C1433" t="s">
        <v>17</v>
      </c>
      <c r="D1433">
        <v>0</v>
      </c>
    </row>
    <row r="1434" spans="1:4" x14ac:dyDescent="0.35">
      <c r="A1434" t="s">
        <v>20</v>
      </c>
      <c r="B1434" t="s">
        <v>5</v>
      </c>
      <c r="C1434" t="s">
        <v>17</v>
      </c>
      <c r="D1434">
        <v>0</v>
      </c>
    </row>
    <row r="1435" spans="1:4" x14ac:dyDescent="0.35">
      <c r="A1435" t="s">
        <v>21</v>
      </c>
      <c r="B1435" t="s">
        <v>5</v>
      </c>
      <c r="C1435" t="s">
        <v>17</v>
      </c>
      <c r="D1435">
        <v>0</v>
      </c>
    </row>
    <row r="1436" spans="1:4" x14ac:dyDescent="0.35">
      <c r="A1436" t="s">
        <v>22</v>
      </c>
      <c r="B1436" t="s">
        <v>5</v>
      </c>
      <c r="C1436" t="s">
        <v>17</v>
      </c>
      <c r="D1436">
        <v>0</v>
      </c>
    </row>
    <row r="1437" spans="1:4" x14ac:dyDescent="0.35">
      <c r="A1437" t="s">
        <v>23</v>
      </c>
      <c r="B1437" t="s">
        <v>5</v>
      </c>
      <c r="C1437" t="s">
        <v>17</v>
      </c>
      <c r="D1437">
        <v>0</v>
      </c>
    </row>
    <row r="1438" spans="1:4" x14ac:dyDescent="0.35">
      <c r="A1438" t="s">
        <v>24</v>
      </c>
      <c r="B1438" t="s">
        <v>5</v>
      </c>
      <c r="C1438" t="s">
        <v>17</v>
      </c>
      <c r="D1438">
        <v>0</v>
      </c>
    </row>
    <row r="1439" spans="1:4" x14ac:dyDescent="0.35">
      <c r="A1439" t="s">
        <v>25</v>
      </c>
      <c r="B1439" t="s">
        <v>5</v>
      </c>
      <c r="C1439" t="s">
        <v>17</v>
      </c>
      <c r="D1439">
        <v>0</v>
      </c>
    </row>
    <row r="1440" spans="1:4" x14ac:dyDescent="0.35">
      <c r="A1440" t="s">
        <v>26</v>
      </c>
      <c r="B1440" t="s">
        <v>5</v>
      </c>
      <c r="C1440" t="s">
        <v>17</v>
      </c>
      <c r="D1440">
        <v>0</v>
      </c>
    </row>
    <row r="1441" spans="1:4" x14ac:dyDescent="0.35">
      <c r="A1441" t="s">
        <v>27</v>
      </c>
      <c r="B1441" t="s">
        <v>5</v>
      </c>
      <c r="C1441" t="s">
        <v>17</v>
      </c>
      <c r="D1441">
        <v>0</v>
      </c>
    </row>
    <row r="1442" spans="1:4" x14ac:dyDescent="0.35">
      <c r="A1442" t="s">
        <v>28</v>
      </c>
      <c r="B1442" t="s">
        <v>5</v>
      </c>
      <c r="C1442" t="s">
        <v>17</v>
      </c>
      <c r="D1442">
        <v>0</v>
      </c>
    </row>
    <row r="1443" spans="1:4" x14ac:dyDescent="0.35">
      <c r="A1443" t="s">
        <v>29</v>
      </c>
      <c r="B1443" t="s">
        <v>5</v>
      </c>
      <c r="C1443" t="s">
        <v>17</v>
      </c>
      <c r="D1443">
        <v>0</v>
      </c>
    </row>
    <row r="1444" spans="1:4" x14ac:dyDescent="0.35">
      <c r="A1444" t="s">
        <v>30</v>
      </c>
      <c r="B1444" t="s">
        <v>5</v>
      </c>
      <c r="C1444" t="s">
        <v>17</v>
      </c>
      <c r="D1444">
        <v>0</v>
      </c>
    </row>
    <row r="1445" spans="1:4" x14ac:dyDescent="0.35">
      <c r="A1445" t="s">
        <v>31</v>
      </c>
      <c r="B1445" t="s">
        <v>5</v>
      </c>
      <c r="C1445" t="s">
        <v>17</v>
      </c>
      <c r="D1445">
        <v>0</v>
      </c>
    </row>
    <row r="1446" spans="1:4" x14ac:dyDescent="0.35">
      <c r="A1446" t="s">
        <v>32</v>
      </c>
      <c r="B1446" t="s">
        <v>5</v>
      </c>
      <c r="C1446" t="s">
        <v>17</v>
      </c>
      <c r="D1446">
        <v>0</v>
      </c>
    </row>
    <row r="1447" spans="1:4" x14ac:dyDescent="0.35">
      <c r="A1447" t="s">
        <v>33</v>
      </c>
      <c r="B1447" t="s">
        <v>5</v>
      </c>
      <c r="C1447" t="s">
        <v>17</v>
      </c>
      <c r="D1447">
        <v>0</v>
      </c>
    </row>
    <row r="1448" spans="1:4" x14ac:dyDescent="0.35">
      <c r="A1448" t="s">
        <v>34</v>
      </c>
      <c r="B1448" t="s">
        <v>5</v>
      </c>
      <c r="C1448" t="s">
        <v>17</v>
      </c>
      <c r="D1448">
        <v>0</v>
      </c>
    </row>
    <row r="1449" spans="1:4" x14ac:dyDescent="0.35">
      <c r="A1449" t="s">
        <v>35</v>
      </c>
      <c r="B1449" t="s">
        <v>5</v>
      </c>
      <c r="C1449" t="s">
        <v>17</v>
      </c>
      <c r="D1449">
        <v>0</v>
      </c>
    </row>
    <row r="1450" spans="1:4" x14ac:dyDescent="0.35">
      <c r="A1450" t="s">
        <v>36</v>
      </c>
      <c r="B1450" t="s">
        <v>5</v>
      </c>
      <c r="C1450" t="s">
        <v>17</v>
      </c>
      <c r="D1450">
        <v>0</v>
      </c>
    </row>
    <row r="1451" spans="1:4" x14ac:dyDescent="0.35">
      <c r="A1451" t="s">
        <v>37</v>
      </c>
      <c r="B1451" t="s">
        <v>5</v>
      </c>
      <c r="C1451" t="s">
        <v>17</v>
      </c>
      <c r="D1451">
        <v>0</v>
      </c>
    </row>
    <row r="1452" spans="1:4" x14ac:dyDescent="0.35">
      <c r="A1452" t="s">
        <v>38</v>
      </c>
      <c r="B1452" t="s">
        <v>5</v>
      </c>
      <c r="C1452" t="s">
        <v>17</v>
      </c>
      <c r="D1452">
        <v>0</v>
      </c>
    </row>
    <row r="1453" spans="1:4" x14ac:dyDescent="0.35">
      <c r="A1453" t="s">
        <v>39</v>
      </c>
      <c r="B1453" t="s">
        <v>5</v>
      </c>
      <c r="C1453" t="s">
        <v>17</v>
      </c>
      <c r="D1453">
        <v>0</v>
      </c>
    </row>
    <row r="1454" spans="1:4" x14ac:dyDescent="0.35">
      <c r="A1454" t="s">
        <v>7</v>
      </c>
      <c r="B1454" t="s">
        <v>5</v>
      </c>
      <c r="C1454" t="s">
        <v>18</v>
      </c>
      <c r="D1454">
        <v>0</v>
      </c>
    </row>
    <row r="1455" spans="1:4" x14ac:dyDescent="0.35">
      <c r="A1455" t="s">
        <v>8</v>
      </c>
      <c r="B1455" t="s">
        <v>5</v>
      </c>
      <c r="C1455" t="s">
        <v>18</v>
      </c>
      <c r="D1455">
        <v>0</v>
      </c>
    </row>
    <row r="1456" spans="1:4" x14ac:dyDescent="0.35">
      <c r="A1456" t="s">
        <v>9</v>
      </c>
      <c r="B1456" t="s">
        <v>5</v>
      </c>
      <c r="C1456" t="s">
        <v>18</v>
      </c>
      <c r="D1456">
        <v>0</v>
      </c>
    </row>
    <row r="1457" spans="1:4" x14ac:dyDescent="0.35">
      <c r="A1457" t="s">
        <v>10</v>
      </c>
      <c r="B1457" t="s">
        <v>5</v>
      </c>
      <c r="C1457" t="s">
        <v>18</v>
      </c>
      <c r="D1457">
        <v>0</v>
      </c>
    </row>
    <row r="1458" spans="1:4" x14ac:dyDescent="0.35">
      <c r="A1458" t="s">
        <v>11</v>
      </c>
      <c r="B1458" t="s">
        <v>5</v>
      </c>
      <c r="C1458" t="s">
        <v>18</v>
      </c>
      <c r="D1458">
        <v>0</v>
      </c>
    </row>
    <row r="1459" spans="1:4" x14ac:dyDescent="0.35">
      <c r="A1459" t="s">
        <v>12</v>
      </c>
      <c r="B1459" t="s">
        <v>5</v>
      </c>
      <c r="C1459" t="s">
        <v>18</v>
      </c>
      <c r="D1459">
        <v>0</v>
      </c>
    </row>
    <row r="1460" spans="1:4" x14ac:dyDescent="0.35">
      <c r="A1460" t="s">
        <v>13</v>
      </c>
      <c r="B1460" t="s">
        <v>5</v>
      </c>
      <c r="C1460" t="s">
        <v>18</v>
      </c>
      <c r="D1460">
        <v>0</v>
      </c>
    </row>
    <row r="1461" spans="1:4" x14ac:dyDescent="0.35">
      <c r="A1461" t="s">
        <v>14</v>
      </c>
      <c r="B1461" t="s">
        <v>5</v>
      </c>
      <c r="C1461" t="s">
        <v>18</v>
      </c>
      <c r="D1461">
        <v>0</v>
      </c>
    </row>
    <row r="1462" spans="1:4" x14ac:dyDescent="0.35">
      <c r="A1462" t="s">
        <v>15</v>
      </c>
      <c r="B1462" t="s">
        <v>5</v>
      </c>
      <c r="C1462" t="s">
        <v>18</v>
      </c>
      <c r="D1462">
        <v>0</v>
      </c>
    </row>
    <row r="1463" spans="1:4" x14ac:dyDescent="0.35">
      <c r="A1463" t="s">
        <v>16</v>
      </c>
      <c r="B1463" t="s">
        <v>5</v>
      </c>
      <c r="C1463" t="s">
        <v>18</v>
      </c>
      <c r="D1463">
        <v>0</v>
      </c>
    </row>
    <row r="1464" spans="1:4" x14ac:dyDescent="0.35">
      <c r="A1464" t="s">
        <v>17</v>
      </c>
      <c r="B1464" t="s">
        <v>5</v>
      </c>
      <c r="C1464" t="s">
        <v>18</v>
      </c>
      <c r="D1464">
        <v>0</v>
      </c>
    </row>
    <row r="1465" spans="1:4" x14ac:dyDescent="0.35">
      <c r="A1465" t="s">
        <v>18</v>
      </c>
      <c r="B1465" t="s">
        <v>5</v>
      </c>
      <c r="C1465" t="s">
        <v>18</v>
      </c>
      <c r="D1465">
        <v>0</v>
      </c>
    </row>
    <row r="1466" spans="1:4" x14ac:dyDescent="0.35">
      <c r="A1466" t="s">
        <v>19</v>
      </c>
      <c r="B1466" t="s">
        <v>5</v>
      </c>
      <c r="C1466" t="s">
        <v>18</v>
      </c>
      <c r="D1466">
        <v>0</v>
      </c>
    </row>
    <row r="1467" spans="1:4" x14ac:dyDescent="0.35">
      <c r="A1467" t="s">
        <v>20</v>
      </c>
      <c r="B1467" t="s">
        <v>5</v>
      </c>
      <c r="C1467" t="s">
        <v>18</v>
      </c>
      <c r="D1467">
        <v>0</v>
      </c>
    </row>
    <row r="1468" spans="1:4" x14ac:dyDescent="0.35">
      <c r="A1468" t="s">
        <v>21</v>
      </c>
      <c r="B1468" t="s">
        <v>5</v>
      </c>
      <c r="C1468" t="s">
        <v>18</v>
      </c>
      <c r="D1468">
        <v>0</v>
      </c>
    </row>
    <row r="1469" spans="1:4" x14ac:dyDescent="0.35">
      <c r="A1469" t="s">
        <v>22</v>
      </c>
      <c r="B1469" t="s">
        <v>5</v>
      </c>
      <c r="C1469" t="s">
        <v>18</v>
      </c>
      <c r="D1469">
        <v>0</v>
      </c>
    </row>
    <row r="1470" spans="1:4" x14ac:dyDescent="0.35">
      <c r="A1470" t="s">
        <v>23</v>
      </c>
      <c r="B1470" t="s">
        <v>5</v>
      </c>
      <c r="C1470" t="s">
        <v>18</v>
      </c>
      <c r="D1470">
        <v>0</v>
      </c>
    </row>
    <row r="1471" spans="1:4" x14ac:dyDescent="0.35">
      <c r="A1471" t="s">
        <v>24</v>
      </c>
      <c r="B1471" t="s">
        <v>5</v>
      </c>
      <c r="C1471" t="s">
        <v>18</v>
      </c>
      <c r="D1471">
        <v>0</v>
      </c>
    </row>
    <row r="1472" spans="1:4" x14ac:dyDescent="0.35">
      <c r="A1472" t="s">
        <v>25</v>
      </c>
      <c r="B1472" t="s">
        <v>5</v>
      </c>
      <c r="C1472" t="s">
        <v>18</v>
      </c>
      <c r="D1472">
        <v>0</v>
      </c>
    </row>
    <row r="1473" spans="1:4" x14ac:dyDescent="0.35">
      <c r="A1473" t="s">
        <v>26</v>
      </c>
      <c r="B1473" t="s">
        <v>5</v>
      </c>
      <c r="C1473" t="s">
        <v>18</v>
      </c>
      <c r="D1473">
        <v>0</v>
      </c>
    </row>
    <row r="1474" spans="1:4" x14ac:dyDescent="0.35">
      <c r="A1474" t="s">
        <v>27</v>
      </c>
      <c r="B1474" t="s">
        <v>5</v>
      </c>
      <c r="C1474" t="s">
        <v>18</v>
      </c>
      <c r="D1474">
        <v>0</v>
      </c>
    </row>
    <row r="1475" spans="1:4" x14ac:dyDescent="0.35">
      <c r="A1475" t="s">
        <v>28</v>
      </c>
      <c r="B1475" t="s">
        <v>5</v>
      </c>
      <c r="C1475" t="s">
        <v>18</v>
      </c>
      <c r="D1475">
        <v>0</v>
      </c>
    </row>
    <row r="1476" spans="1:4" x14ac:dyDescent="0.35">
      <c r="A1476" t="s">
        <v>29</v>
      </c>
      <c r="B1476" t="s">
        <v>5</v>
      </c>
      <c r="C1476" t="s">
        <v>18</v>
      </c>
      <c r="D1476">
        <v>0</v>
      </c>
    </row>
    <row r="1477" spans="1:4" x14ac:dyDescent="0.35">
      <c r="A1477" t="s">
        <v>30</v>
      </c>
      <c r="B1477" t="s">
        <v>5</v>
      </c>
      <c r="C1477" t="s">
        <v>18</v>
      </c>
      <c r="D1477">
        <v>0</v>
      </c>
    </row>
    <row r="1478" spans="1:4" x14ac:dyDescent="0.35">
      <c r="A1478" t="s">
        <v>31</v>
      </c>
      <c r="B1478" t="s">
        <v>5</v>
      </c>
      <c r="C1478" t="s">
        <v>18</v>
      </c>
      <c r="D1478">
        <v>0</v>
      </c>
    </row>
    <row r="1479" spans="1:4" x14ac:dyDescent="0.35">
      <c r="A1479" t="s">
        <v>32</v>
      </c>
      <c r="B1479" t="s">
        <v>5</v>
      </c>
      <c r="C1479" t="s">
        <v>18</v>
      </c>
      <c r="D1479">
        <v>0</v>
      </c>
    </row>
    <row r="1480" spans="1:4" x14ac:dyDescent="0.35">
      <c r="A1480" t="s">
        <v>33</v>
      </c>
      <c r="B1480" t="s">
        <v>5</v>
      </c>
      <c r="C1480" t="s">
        <v>18</v>
      </c>
      <c r="D1480">
        <v>0</v>
      </c>
    </row>
    <row r="1481" spans="1:4" x14ac:dyDescent="0.35">
      <c r="A1481" t="s">
        <v>34</v>
      </c>
      <c r="B1481" t="s">
        <v>5</v>
      </c>
      <c r="C1481" t="s">
        <v>18</v>
      </c>
      <c r="D1481">
        <v>0</v>
      </c>
    </row>
    <row r="1482" spans="1:4" x14ac:dyDescent="0.35">
      <c r="A1482" t="s">
        <v>35</v>
      </c>
      <c r="B1482" t="s">
        <v>5</v>
      </c>
      <c r="C1482" t="s">
        <v>18</v>
      </c>
      <c r="D1482">
        <v>0</v>
      </c>
    </row>
    <row r="1483" spans="1:4" x14ac:dyDescent="0.35">
      <c r="A1483" t="s">
        <v>36</v>
      </c>
      <c r="B1483" t="s">
        <v>5</v>
      </c>
      <c r="C1483" t="s">
        <v>18</v>
      </c>
      <c r="D1483">
        <v>0</v>
      </c>
    </row>
    <row r="1484" spans="1:4" x14ac:dyDescent="0.35">
      <c r="A1484" t="s">
        <v>37</v>
      </c>
      <c r="B1484" t="s">
        <v>5</v>
      </c>
      <c r="C1484" t="s">
        <v>18</v>
      </c>
      <c r="D1484">
        <v>0</v>
      </c>
    </row>
    <row r="1485" spans="1:4" x14ac:dyDescent="0.35">
      <c r="A1485" t="s">
        <v>38</v>
      </c>
      <c r="B1485" t="s">
        <v>5</v>
      </c>
      <c r="C1485" t="s">
        <v>18</v>
      </c>
      <c r="D1485">
        <v>0</v>
      </c>
    </row>
    <row r="1486" spans="1:4" x14ac:dyDescent="0.35">
      <c r="A1486" t="s">
        <v>39</v>
      </c>
      <c r="B1486" t="s">
        <v>5</v>
      </c>
      <c r="C1486" t="s">
        <v>18</v>
      </c>
      <c r="D1486">
        <v>0</v>
      </c>
    </row>
    <row r="1487" spans="1:4" x14ac:dyDescent="0.35">
      <c r="A1487" t="s">
        <v>7</v>
      </c>
      <c r="B1487" t="s">
        <v>5</v>
      </c>
      <c r="C1487" t="s">
        <v>19</v>
      </c>
      <c r="D1487">
        <v>0</v>
      </c>
    </row>
    <row r="1488" spans="1:4" x14ac:dyDescent="0.35">
      <c r="A1488" t="s">
        <v>8</v>
      </c>
      <c r="B1488" t="s">
        <v>5</v>
      </c>
      <c r="C1488" t="s">
        <v>19</v>
      </c>
      <c r="D1488">
        <v>0</v>
      </c>
    </row>
    <row r="1489" spans="1:4" x14ac:dyDescent="0.35">
      <c r="A1489" t="s">
        <v>9</v>
      </c>
      <c r="B1489" t="s">
        <v>5</v>
      </c>
      <c r="C1489" t="s">
        <v>19</v>
      </c>
      <c r="D1489">
        <v>0</v>
      </c>
    </row>
    <row r="1490" spans="1:4" x14ac:dyDescent="0.35">
      <c r="A1490" t="s">
        <v>10</v>
      </c>
      <c r="B1490" t="s">
        <v>5</v>
      </c>
      <c r="C1490" t="s">
        <v>19</v>
      </c>
      <c r="D1490">
        <v>0</v>
      </c>
    </row>
    <row r="1491" spans="1:4" x14ac:dyDescent="0.35">
      <c r="A1491" t="s">
        <v>11</v>
      </c>
      <c r="B1491" t="s">
        <v>5</v>
      </c>
      <c r="C1491" t="s">
        <v>19</v>
      </c>
      <c r="D1491">
        <v>0</v>
      </c>
    </row>
    <row r="1492" spans="1:4" x14ac:dyDescent="0.35">
      <c r="A1492" t="s">
        <v>12</v>
      </c>
      <c r="B1492" t="s">
        <v>5</v>
      </c>
      <c r="C1492" t="s">
        <v>19</v>
      </c>
      <c r="D1492">
        <v>0</v>
      </c>
    </row>
    <row r="1493" spans="1:4" x14ac:dyDescent="0.35">
      <c r="A1493" t="s">
        <v>13</v>
      </c>
      <c r="B1493" t="s">
        <v>5</v>
      </c>
      <c r="C1493" t="s">
        <v>19</v>
      </c>
      <c r="D1493">
        <v>0</v>
      </c>
    </row>
    <row r="1494" spans="1:4" x14ac:dyDescent="0.35">
      <c r="A1494" t="s">
        <v>14</v>
      </c>
      <c r="B1494" t="s">
        <v>5</v>
      </c>
      <c r="C1494" t="s">
        <v>19</v>
      </c>
      <c r="D1494">
        <v>0</v>
      </c>
    </row>
    <row r="1495" spans="1:4" x14ac:dyDescent="0.35">
      <c r="A1495" t="s">
        <v>15</v>
      </c>
      <c r="B1495" t="s">
        <v>5</v>
      </c>
      <c r="C1495" t="s">
        <v>19</v>
      </c>
      <c r="D1495">
        <v>0</v>
      </c>
    </row>
    <row r="1496" spans="1:4" x14ac:dyDescent="0.35">
      <c r="A1496" t="s">
        <v>16</v>
      </c>
      <c r="B1496" t="s">
        <v>5</v>
      </c>
      <c r="C1496" t="s">
        <v>19</v>
      </c>
      <c r="D1496">
        <v>0</v>
      </c>
    </row>
    <row r="1497" spans="1:4" x14ac:dyDescent="0.35">
      <c r="A1497" t="s">
        <v>17</v>
      </c>
      <c r="B1497" t="s">
        <v>5</v>
      </c>
      <c r="C1497" t="s">
        <v>19</v>
      </c>
      <c r="D1497">
        <v>0</v>
      </c>
    </row>
    <row r="1498" spans="1:4" x14ac:dyDescent="0.35">
      <c r="A1498" t="s">
        <v>18</v>
      </c>
      <c r="B1498" t="s">
        <v>5</v>
      </c>
      <c r="C1498" t="s">
        <v>19</v>
      </c>
      <c r="D1498">
        <v>0</v>
      </c>
    </row>
    <row r="1499" spans="1:4" x14ac:dyDescent="0.35">
      <c r="A1499" t="s">
        <v>19</v>
      </c>
      <c r="B1499" t="s">
        <v>5</v>
      </c>
      <c r="C1499" t="s">
        <v>19</v>
      </c>
      <c r="D1499">
        <v>0</v>
      </c>
    </row>
    <row r="1500" spans="1:4" x14ac:dyDescent="0.35">
      <c r="A1500" t="s">
        <v>20</v>
      </c>
      <c r="B1500" t="s">
        <v>5</v>
      </c>
      <c r="C1500" t="s">
        <v>19</v>
      </c>
      <c r="D1500">
        <v>0</v>
      </c>
    </row>
    <row r="1501" spans="1:4" x14ac:dyDescent="0.35">
      <c r="A1501" t="s">
        <v>21</v>
      </c>
      <c r="B1501" t="s">
        <v>5</v>
      </c>
      <c r="C1501" t="s">
        <v>19</v>
      </c>
      <c r="D1501">
        <v>0</v>
      </c>
    </row>
    <row r="1502" spans="1:4" x14ac:dyDescent="0.35">
      <c r="A1502" t="s">
        <v>22</v>
      </c>
      <c r="B1502" t="s">
        <v>5</v>
      </c>
      <c r="C1502" t="s">
        <v>19</v>
      </c>
      <c r="D1502">
        <v>0</v>
      </c>
    </row>
    <row r="1503" spans="1:4" x14ac:dyDescent="0.35">
      <c r="A1503" t="s">
        <v>23</v>
      </c>
      <c r="B1503" t="s">
        <v>5</v>
      </c>
      <c r="C1503" t="s">
        <v>19</v>
      </c>
      <c r="D1503">
        <v>0</v>
      </c>
    </row>
    <row r="1504" spans="1:4" x14ac:dyDescent="0.35">
      <c r="A1504" t="s">
        <v>24</v>
      </c>
      <c r="B1504" t="s">
        <v>5</v>
      </c>
      <c r="C1504" t="s">
        <v>19</v>
      </c>
      <c r="D1504">
        <v>0</v>
      </c>
    </row>
    <row r="1505" spans="1:4" x14ac:dyDescent="0.35">
      <c r="A1505" t="s">
        <v>25</v>
      </c>
      <c r="B1505" t="s">
        <v>5</v>
      </c>
      <c r="C1505" t="s">
        <v>19</v>
      </c>
      <c r="D1505">
        <v>0</v>
      </c>
    </row>
    <row r="1506" spans="1:4" x14ac:dyDescent="0.35">
      <c r="A1506" t="s">
        <v>26</v>
      </c>
      <c r="B1506" t="s">
        <v>5</v>
      </c>
      <c r="C1506" t="s">
        <v>19</v>
      </c>
      <c r="D1506">
        <v>0</v>
      </c>
    </row>
    <row r="1507" spans="1:4" x14ac:dyDescent="0.35">
      <c r="A1507" t="s">
        <v>27</v>
      </c>
      <c r="B1507" t="s">
        <v>5</v>
      </c>
      <c r="C1507" t="s">
        <v>19</v>
      </c>
      <c r="D1507">
        <v>0</v>
      </c>
    </row>
    <row r="1508" spans="1:4" x14ac:dyDescent="0.35">
      <c r="A1508" t="s">
        <v>28</v>
      </c>
      <c r="B1508" t="s">
        <v>5</v>
      </c>
      <c r="C1508" t="s">
        <v>19</v>
      </c>
      <c r="D1508">
        <v>0</v>
      </c>
    </row>
    <row r="1509" spans="1:4" x14ac:dyDescent="0.35">
      <c r="A1509" t="s">
        <v>29</v>
      </c>
      <c r="B1509" t="s">
        <v>5</v>
      </c>
      <c r="C1509" t="s">
        <v>19</v>
      </c>
      <c r="D1509">
        <v>0</v>
      </c>
    </row>
    <row r="1510" spans="1:4" x14ac:dyDescent="0.35">
      <c r="A1510" t="s">
        <v>30</v>
      </c>
      <c r="B1510" t="s">
        <v>5</v>
      </c>
      <c r="C1510" t="s">
        <v>19</v>
      </c>
      <c r="D1510">
        <v>0</v>
      </c>
    </row>
    <row r="1511" spans="1:4" x14ac:dyDescent="0.35">
      <c r="A1511" t="s">
        <v>31</v>
      </c>
      <c r="B1511" t="s">
        <v>5</v>
      </c>
      <c r="C1511" t="s">
        <v>19</v>
      </c>
      <c r="D1511">
        <v>0</v>
      </c>
    </row>
    <row r="1512" spans="1:4" x14ac:dyDescent="0.35">
      <c r="A1512" t="s">
        <v>32</v>
      </c>
      <c r="B1512" t="s">
        <v>5</v>
      </c>
      <c r="C1512" t="s">
        <v>19</v>
      </c>
      <c r="D1512">
        <v>0</v>
      </c>
    </row>
    <row r="1513" spans="1:4" x14ac:dyDescent="0.35">
      <c r="A1513" t="s">
        <v>33</v>
      </c>
      <c r="B1513" t="s">
        <v>5</v>
      </c>
      <c r="C1513" t="s">
        <v>19</v>
      </c>
      <c r="D1513">
        <v>0</v>
      </c>
    </row>
    <row r="1514" spans="1:4" x14ac:dyDescent="0.35">
      <c r="A1514" t="s">
        <v>34</v>
      </c>
      <c r="B1514" t="s">
        <v>5</v>
      </c>
      <c r="C1514" t="s">
        <v>19</v>
      </c>
      <c r="D1514">
        <v>0</v>
      </c>
    </row>
    <row r="1515" spans="1:4" x14ac:dyDescent="0.35">
      <c r="A1515" t="s">
        <v>35</v>
      </c>
      <c r="B1515" t="s">
        <v>5</v>
      </c>
      <c r="C1515" t="s">
        <v>19</v>
      </c>
      <c r="D1515">
        <v>0</v>
      </c>
    </row>
    <row r="1516" spans="1:4" x14ac:dyDescent="0.35">
      <c r="A1516" t="s">
        <v>36</v>
      </c>
      <c r="B1516" t="s">
        <v>5</v>
      </c>
      <c r="C1516" t="s">
        <v>19</v>
      </c>
      <c r="D1516">
        <v>0</v>
      </c>
    </row>
    <row r="1517" spans="1:4" x14ac:dyDescent="0.35">
      <c r="A1517" t="s">
        <v>37</v>
      </c>
      <c r="B1517" t="s">
        <v>5</v>
      </c>
      <c r="C1517" t="s">
        <v>19</v>
      </c>
      <c r="D1517">
        <v>0</v>
      </c>
    </row>
    <row r="1518" spans="1:4" x14ac:dyDescent="0.35">
      <c r="A1518" t="s">
        <v>38</v>
      </c>
      <c r="B1518" t="s">
        <v>5</v>
      </c>
      <c r="C1518" t="s">
        <v>19</v>
      </c>
      <c r="D1518">
        <v>0</v>
      </c>
    </row>
    <row r="1519" spans="1:4" x14ac:dyDescent="0.35">
      <c r="A1519" t="s">
        <v>39</v>
      </c>
      <c r="B1519" t="s">
        <v>5</v>
      </c>
      <c r="C1519" t="s">
        <v>19</v>
      </c>
      <c r="D1519">
        <v>0</v>
      </c>
    </row>
    <row r="1520" spans="1:4" x14ac:dyDescent="0.35">
      <c r="A1520" t="s">
        <v>7</v>
      </c>
      <c r="B1520" t="s">
        <v>5</v>
      </c>
      <c r="C1520" t="s">
        <v>20</v>
      </c>
      <c r="D1520">
        <v>0</v>
      </c>
    </row>
    <row r="1521" spans="1:4" x14ac:dyDescent="0.35">
      <c r="A1521" t="s">
        <v>8</v>
      </c>
      <c r="B1521" t="s">
        <v>5</v>
      </c>
      <c r="C1521" t="s">
        <v>20</v>
      </c>
      <c r="D1521">
        <v>0</v>
      </c>
    </row>
    <row r="1522" spans="1:4" x14ac:dyDescent="0.35">
      <c r="A1522" t="s">
        <v>9</v>
      </c>
      <c r="B1522" t="s">
        <v>5</v>
      </c>
      <c r="C1522" t="s">
        <v>20</v>
      </c>
      <c r="D1522">
        <v>0</v>
      </c>
    </row>
    <row r="1523" spans="1:4" x14ac:dyDescent="0.35">
      <c r="A1523" t="s">
        <v>10</v>
      </c>
      <c r="B1523" t="s">
        <v>5</v>
      </c>
      <c r="C1523" t="s">
        <v>20</v>
      </c>
      <c r="D1523">
        <v>0</v>
      </c>
    </row>
    <row r="1524" spans="1:4" x14ac:dyDescent="0.35">
      <c r="A1524" t="s">
        <v>11</v>
      </c>
      <c r="B1524" t="s">
        <v>5</v>
      </c>
      <c r="C1524" t="s">
        <v>20</v>
      </c>
      <c r="D1524">
        <v>0</v>
      </c>
    </row>
    <row r="1525" spans="1:4" x14ac:dyDescent="0.35">
      <c r="A1525" t="s">
        <v>12</v>
      </c>
      <c r="B1525" t="s">
        <v>5</v>
      </c>
      <c r="C1525" t="s">
        <v>20</v>
      </c>
      <c r="D1525">
        <v>0</v>
      </c>
    </row>
    <row r="1526" spans="1:4" x14ac:dyDescent="0.35">
      <c r="A1526" t="s">
        <v>13</v>
      </c>
      <c r="B1526" t="s">
        <v>5</v>
      </c>
      <c r="C1526" t="s">
        <v>20</v>
      </c>
      <c r="D1526">
        <v>0</v>
      </c>
    </row>
    <row r="1527" spans="1:4" x14ac:dyDescent="0.35">
      <c r="A1527" t="s">
        <v>14</v>
      </c>
      <c r="B1527" t="s">
        <v>5</v>
      </c>
      <c r="C1527" t="s">
        <v>20</v>
      </c>
      <c r="D1527">
        <v>0</v>
      </c>
    </row>
    <row r="1528" spans="1:4" x14ac:dyDescent="0.35">
      <c r="A1528" t="s">
        <v>15</v>
      </c>
      <c r="B1528" t="s">
        <v>5</v>
      </c>
      <c r="C1528" t="s">
        <v>20</v>
      </c>
      <c r="D1528">
        <v>0</v>
      </c>
    </row>
    <row r="1529" spans="1:4" x14ac:dyDescent="0.35">
      <c r="A1529" t="s">
        <v>16</v>
      </c>
      <c r="B1529" t="s">
        <v>5</v>
      </c>
      <c r="C1529" t="s">
        <v>20</v>
      </c>
      <c r="D1529">
        <v>0</v>
      </c>
    </row>
    <row r="1530" spans="1:4" x14ac:dyDescent="0.35">
      <c r="A1530" t="s">
        <v>17</v>
      </c>
      <c r="B1530" t="s">
        <v>5</v>
      </c>
      <c r="C1530" t="s">
        <v>20</v>
      </c>
      <c r="D1530">
        <v>0</v>
      </c>
    </row>
    <row r="1531" spans="1:4" x14ac:dyDescent="0.35">
      <c r="A1531" t="s">
        <v>18</v>
      </c>
      <c r="B1531" t="s">
        <v>5</v>
      </c>
      <c r="C1531" t="s">
        <v>20</v>
      </c>
      <c r="D1531">
        <v>0</v>
      </c>
    </row>
    <row r="1532" spans="1:4" x14ac:dyDescent="0.35">
      <c r="A1532" t="s">
        <v>19</v>
      </c>
      <c r="B1532" t="s">
        <v>5</v>
      </c>
      <c r="C1532" t="s">
        <v>20</v>
      </c>
      <c r="D1532">
        <v>0</v>
      </c>
    </row>
    <row r="1533" spans="1:4" x14ac:dyDescent="0.35">
      <c r="A1533" t="s">
        <v>20</v>
      </c>
      <c r="B1533" t="s">
        <v>5</v>
      </c>
      <c r="C1533" t="s">
        <v>20</v>
      </c>
      <c r="D1533">
        <v>0</v>
      </c>
    </row>
    <row r="1534" spans="1:4" x14ac:dyDescent="0.35">
      <c r="A1534" t="s">
        <v>21</v>
      </c>
      <c r="B1534" t="s">
        <v>5</v>
      </c>
      <c r="C1534" t="s">
        <v>20</v>
      </c>
      <c r="D1534">
        <v>0</v>
      </c>
    </row>
    <row r="1535" spans="1:4" x14ac:dyDescent="0.35">
      <c r="A1535" t="s">
        <v>22</v>
      </c>
      <c r="B1535" t="s">
        <v>5</v>
      </c>
      <c r="C1535" t="s">
        <v>20</v>
      </c>
      <c r="D1535">
        <v>0</v>
      </c>
    </row>
    <row r="1536" spans="1:4" x14ac:dyDescent="0.35">
      <c r="A1536" t="s">
        <v>23</v>
      </c>
      <c r="B1536" t="s">
        <v>5</v>
      </c>
      <c r="C1536" t="s">
        <v>20</v>
      </c>
      <c r="D1536">
        <v>0</v>
      </c>
    </row>
    <row r="1537" spans="1:4" x14ac:dyDescent="0.35">
      <c r="A1537" t="s">
        <v>24</v>
      </c>
      <c r="B1537" t="s">
        <v>5</v>
      </c>
      <c r="C1537" t="s">
        <v>20</v>
      </c>
      <c r="D1537">
        <v>0</v>
      </c>
    </row>
    <row r="1538" spans="1:4" x14ac:dyDescent="0.35">
      <c r="A1538" t="s">
        <v>25</v>
      </c>
      <c r="B1538" t="s">
        <v>5</v>
      </c>
      <c r="C1538" t="s">
        <v>20</v>
      </c>
      <c r="D1538">
        <v>0</v>
      </c>
    </row>
    <row r="1539" spans="1:4" x14ac:dyDescent="0.35">
      <c r="A1539" t="s">
        <v>26</v>
      </c>
      <c r="B1539" t="s">
        <v>5</v>
      </c>
      <c r="C1539" t="s">
        <v>20</v>
      </c>
      <c r="D1539">
        <v>0</v>
      </c>
    </row>
    <row r="1540" spans="1:4" x14ac:dyDescent="0.35">
      <c r="A1540" t="s">
        <v>27</v>
      </c>
      <c r="B1540" t="s">
        <v>5</v>
      </c>
      <c r="C1540" t="s">
        <v>20</v>
      </c>
      <c r="D1540">
        <v>0</v>
      </c>
    </row>
    <row r="1541" spans="1:4" x14ac:dyDescent="0.35">
      <c r="A1541" t="s">
        <v>28</v>
      </c>
      <c r="B1541" t="s">
        <v>5</v>
      </c>
      <c r="C1541" t="s">
        <v>20</v>
      </c>
      <c r="D1541">
        <v>0</v>
      </c>
    </row>
    <row r="1542" spans="1:4" x14ac:dyDescent="0.35">
      <c r="A1542" t="s">
        <v>29</v>
      </c>
      <c r="B1542" t="s">
        <v>5</v>
      </c>
      <c r="C1542" t="s">
        <v>20</v>
      </c>
      <c r="D1542">
        <v>0</v>
      </c>
    </row>
    <row r="1543" spans="1:4" x14ac:dyDescent="0.35">
      <c r="A1543" t="s">
        <v>30</v>
      </c>
      <c r="B1543" t="s">
        <v>5</v>
      </c>
      <c r="C1543" t="s">
        <v>20</v>
      </c>
      <c r="D1543">
        <v>0</v>
      </c>
    </row>
    <row r="1544" spans="1:4" x14ac:dyDescent="0.35">
      <c r="A1544" t="s">
        <v>31</v>
      </c>
      <c r="B1544" t="s">
        <v>5</v>
      </c>
      <c r="C1544" t="s">
        <v>20</v>
      </c>
      <c r="D1544">
        <v>0</v>
      </c>
    </row>
    <row r="1545" spans="1:4" x14ac:dyDescent="0.35">
      <c r="A1545" t="s">
        <v>32</v>
      </c>
      <c r="B1545" t="s">
        <v>5</v>
      </c>
      <c r="C1545" t="s">
        <v>20</v>
      </c>
      <c r="D1545">
        <v>0</v>
      </c>
    </row>
    <row r="1546" spans="1:4" x14ac:dyDescent="0.35">
      <c r="A1546" t="s">
        <v>33</v>
      </c>
      <c r="B1546" t="s">
        <v>5</v>
      </c>
      <c r="C1546" t="s">
        <v>20</v>
      </c>
      <c r="D1546">
        <v>0</v>
      </c>
    </row>
    <row r="1547" spans="1:4" x14ac:dyDescent="0.35">
      <c r="A1547" t="s">
        <v>34</v>
      </c>
      <c r="B1547" t="s">
        <v>5</v>
      </c>
      <c r="C1547" t="s">
        <v>20</v>
      </c>
      <c r="D1547">
        <v>0</v>
      </c>
    </row>
    <row r="1548" spans="1:4" x14ac:dyDescent="0.35">
      <c r="A1548" t="s">
        <v>35</v>
      </c>
      <c r="B1548" t="s">
        <v>5</v>
      </c>
      <c r="C1548" t="s">
        <v>20</v>
      </c>
      <c r="D1548">
        <v>0</v>
      </c>
    </row>
    <row r="1549" spans="1:4" x14ac:dyDescent="0.35">
      <c r="A1549" t="s">
        <v>36</v>
      </c>
      <c r="B1549" t="s">
        <v>5</v>
      </c>
      <c r="C1549" t="s">
        <v>20</v>
      </c>
      <c r="D1549">
        <v>0</v>
      </c>
    </row>
    <row r="1550" spans="1:4" x14ac:dyDescent="0.35">
      <c r="A1550" t="s">
        <v>37</v>
      </c>
      <c r="B1550" t="s">
        <v>5</v>
      </c>
      <c r="C1550" t="s">
        <v>20</v>
      </c>
      <c r="D1550">
        <v>0</v>
      </c>
    </row>
    <row r="1551" spans="1:4" x14ac:dyDescent="0.35">
      <c r="A1551" t="s">
        <v>38</v>
      </c>
      <c r="B1551" t="s">
        <v>5</v>
      </c>
      <c r="C1551" t="s">
        <v>20</v>
      </c>
      <c r="D1551">
        <v>0</v>
      </c>
    </row>
    <row r="1552" spans="1:4" x14ac:dyDescent="0.35">
      <c r="A1552" t="s">
        <v>39</v>
      </c>
      <c r="B1552" t="s">
        <v>5</v>
      </c>
      <c r="C1552" t="s">
        <v>20</v>
      </c>
      <c r="D1552">
        <v>0</v>
      </c>
    </row>
    <row r="1553" spans="1:4" x14ac:dyDescent="0.35">
      <c r="A1553" t="s">
        <v>7</v>
      </c>
      <c r="B1553" t="s">
        <v>5</v>
      </c>
      <c r="C1553" t="s">
        <v>21</v>
      </c>
      <c r="D1553">
        <v>0</v>
      </c>
    </row>
    <row r="1554" spans="1:4" x14ac:dyDescent="0.35">
      <c r="A1554" t="s">
        <v>8</v>
      </c>
      <c r="B1554" t="s">
        <v>5</v>
      </c>
      <c r="C1554" t="s">
        <v>21</v>
      </c>
      <c r="D1554">
        <v>0</v>
      </c>
    </row>
    <row r="1555" spans="1:4" x14ac:dyDescent="0.35">
      <c r="A1555" t="s">
        <v>9</v>
      </c>
      <c r="B1555" t="s">
        <v>5</v>
      </c>
      <c r="C1555" t="s">
        <v>21</v>
      </c>
      <c r="D1555">
        <v>0</v>
      </c>
    </row>
    <row r="1556" spans="1:4" x14ac:dyDescent="0.35">
      <c r="A1556" t="s">
        <v>10</v>
      </c>
      <c r="B1556" t="s">
        <v>5</v>
      </c>
      <c r="C1556" t="s">
        <v>21</v>
      </c>
      <c r="D1556">
        <v>0</v>
      </c>
    </row>
    <row r="1557" spans="1:4" x14ac:dyDescent="0.35">
      <c r="A1557" t="s">
        <v>11</v>
      </c>
      <c r="B1557" t="s">
        <v>5</v>
      </c>
      <c r="C1557" t="s">
        <v>21</v>
      </c>
      <c r="D1557">
        <v>0</v>
      </c>
    </row>
    <row r="1558" spans="1:4" x14ac:dyDescent="0.35">
      <c r="A1558" t="s">
        <v>12</v>
      </c>
      <c r="B1558" t="s">
        <v>5</v>
      </c>
      <c r="C1558" t="s">
        <v>21</v>
      </c>
      <c r="D1558">
        <v>0</v>
      </c>
    </row>
    <row r="1559" spans="1:4" x14ac:dyDescent="0.35">
      <c r="A1559" t="s">
        <v>13</v>
      </c>
      <c r="B1559" t="s">
        <v>5</v>
      </c>
      <c r="C1559" t="s">
        <v>21</v>
      </c>
      <c r="D1559">
        <v>0</v>
      </c>
    </row>
    <row r="1560" spans="1:4" x14ac:dyDescent="0.35">
      <c r="A1560" t="s">
        <v>14</v>
      </c>
      <c r="B1560" t="s">
        <v>5</v>
      </c>
      <c r="C1560" t="s">
        <v>21</v>
      </c>
      <c r="D1560">
        <v>0</v>
      </c>
    </row>
    <row r="1561" spans="1:4" x14ac:dyDescent="0.35">
      <c r="A1561" t="s">
        <v>15</v>
      </c>
      <c r="B1561" t="s">
        <v>5</v>
      </c>
      <c r="C1561" t="s">
        <v>21</v>
      </c>
      <c r="D1561">
        <v>0</v>
      </c>
    </row>
    <row r="1562" spans="1:4" x14ac:dyDescent="0.35">
      <c r="A1562" t="s">
        <v>16</v>
      </c>
      <c r="B1562" t="s">
        <v>5</v>
      </c>
      <c r="C1562" t="s">
        <v>21</v>
      </c>
      <c r="D1562">
        <v>0</v>
      </c>
    </row>
    <row r="1563" spans="1:4" x14ac:dyDescent="0.35">
      <c r="A1563" t="s">
        <v>17</v>
      </c>
      <c r="B1563" t="s">
        <v>5</v>
      </c>
      <c r="C1563" t="s">
        <v>21</v>
      </c>
      <c r="D1563">
        <v>0</v>
      </c>
    </row>
    <row r="1564" spans="1:4" x14ac:dyDescent="0.35">
      <c r="A1564" t="s">
        <v>18</v>
      </c>
      <c r="B1564" t="s">
        <v>5</v>
      </c>
      <c r="C1564" t="s">
        <v>21</v>
      </c>
      <c r="D1564">
        <v>0</v>
      </c>
    </row>
    <row r="1565" spans="1:4" x14ac:dyDescent="0.35">
      <c r="A1565" t="s">
        <v>19</v>
      </c>
      <c r="B1565" t="s">
        <v>5</v>
      </c>
      <c r="C1565" t="s">
        <v>21</v>
      </c>
      <c r="D1565">
        <v>0</v>
      </c>
    </row>
    <row r="1566" spans="1:4" x14ac:dyDescent="0.35">
      <c r="A1566" t="s">
        <v>20</v>
      </c>
      <c r="B1566" t="s">
        <v>5</v>
      </c>
      <c r="C1566" t="s">
        <v>21</v>
      </c>
      <c r="D1566">
        <v>0</v>
      </c>
    </row>
    <row r="1567" spans="1:4" x14ac:dyDescent="0.35">
      <c r="A1567" t="s">
        <v>21</v>
      </c>
      <c r="B1567" t="s">
        <v>5</v>
      </c>
      <c r="C1567" t="s">
        <v>21</v>
      </c>
      <c r="D1567">
        <v>0</v>
      </c>
    </row>
    <row r="1568" spans="1:4" x14ac:dyDescent="0.35">
      <c r="A1568" t="s">
        <v>22</v>
      </c>
      <c r="B1568" t="s">
        <v>5</v>
      </c>
      <c r="C1568" t="s">
        <v>21</v>
      </c>
      <c r="D1568">
        <v>0</v>
      </c>
    </row>
    <row r="1569" spans="1:4" x14ac:dyDescent="0.35">
      <c r="A1569" t="s">
        <v>23</v>
      </c>
      <c r="B1569" t="s">
        <v>5</v>
      </c>
      <c r="C1569" t="s">
        <v>21</v>
      </c>
      <c r="D1569">
        <v>0</v>
      </c>
    </row>
    <row r="1570" spans="1:4" x14ac:dyDescent="0.35">
      <c r="A1570" t="s">
        <v>24</v>
      </c>
      <c r="B1570" t="s">
        <v>5</v>
      </c>
      <c r="C1570" t="s">
        <v>21</v>
      </c>
      <c r="D1570">
        <v>0</v>
      </c>
    </row>
    <row r="1571" spans="1:4" x14ac:dyDescent="0.35">
      <c r="A1571" t="s">
        <v>25</v>
      </c>
      <c r="B1571" t="s">
        <v>5</v>
      </c>
      <c r="C1571" t="s">
        <v>21</v>
      </c>
      <c r="D1571">
        <v>0</v>
      </c>
    </row>
    <row r="1572" spans="1:4" x14ac:dyDescent="0.35">
      <c r="A1572" t="s">
        <v>26</v>
      </c>
      <c r="B1572" t="s">
        <v>5</v>
      </c>
      <c r="C1572" t="s">
        <v>21</v>
      </c>
      <c r="D1572">
        <v>0</v>
      </c>
    </row>
    <row r="1573" spans="1:4" x14ac:dyDescent="0.35">
      <c r="A1573" t="s">
        <v>27</v>
      </c>
      <c r="B1573" t="s">
        <v>5</v>
      </c>
      <c r="C1573" t="s">
        <v>21</v>
      </c>
      <c r="D1573">
        <v>0</v>
      </c>
    </row>
    <row r="1574" spans="1:4" x14ac:dyDescent="0.35">
      <c r="A1574" t="s">
        <v>28</v>
      </c>
      <c r="B1574" t="s">
        <v>5</v>
      </c>
      <c r="C1574" t="s">
        <v>21</v>
      </c>
      <c r="D1574">
        <v>0</v>
      </c>
    </row>
    <row r="1575" spans="1:4" x14ac:dyDescent="0.35">
      <c r="A1575" t="s">
        <v>29</v>
      </c>
      <c r="B1575" t="s">
        <v>5</v>
      </c>
      <c r="C1575" t="s">
        <v>21</v>
      </c>
      <c r="D1575">
        <v>0</v>
      </c>
    </row>
    <row r="1576" spans="1:4" x14ac:dyDescent="0.35">
      <c r="A1576" t="s">
        <v>30</v>
      </c>
      <c r="B1576" t="s">
        <v>5</v>
      </c>
      <c r="C1576" t="s">
        <v>21</v>
      </c>
      <c r="D1576">
        <v>0</v>
      </c>
    </row>
    <row r="1577" spans="1:4" x14ac:dyDescent="0.35">
      <c r="A1577" t="s">
        <v>31</v>
      </c>
      <c r="B1577" t="s">
        <v>5</v>
      </c>
      <c r="C1577" t="s">
        <v>21</v>
      </c>
      <c r="D1577">
        <v>0</v>
      </c>
    </row>
    <row r="1578" spans="1:4" x14ac:dyDescent="0.35">
      <c r="A1578" t="s">
        <v>32</v>
      </c>
      <c r="B1578" t="s">
        <v>5</v>
      </c>
      <c r="C1578" t="s">
        <v>21</v>
      </c>
      <c r="D1578">
        <v>0</v>
      </c>
    </row>
    <row r="1579" spans="1:4" x14ac:dyDescent="0.35">
      <c r="A1579" t="s">
        <v>33</v>
      </c>
      <c r="B1579" t="s">
        <v>5</v>
      </c>
      <c r="C1579" t="s">
        <v>21</v>
      </c>
      <c r="D1579">
        <v>0</v>
      </c>
    </row>
    <row r="1580" spans="1:4" x14ac:dyDescent="0.35">
      <c r="A1580" t="s">
        <v>34</v>
      </c>
      <c r="B1580" t="s">
        <v>5</v>
      </c>
      <c r="C1580" t="s">
        <v>21</v>
      </c>
      <c r="D1580">
        <v>0</v>
      </c>
    </row>
    <row r="1581" spans="1:4" x14ac:dyDescent="0.35">
      <c r="A1581" t="s">
        <v>35</v>
      </c>
      <c r="B1581" t="s">
        <v>5</v>
      </c>
      <c r="C1581" t="s">
        <v>21</v>
      </c>
      <c r="D1581">
        <v>0</v>
      </c>
    </row>
    <row r="1582" spans="1:4" x14ac:dyDescent="0.35">
      <c r="A1582" t="s">
        <v>36</v>
      </c>
      <c r="B1582" t="s">
        <v>5</v>
      </c>
      <c r="C1582" t="s">
        <v>21</v>
      </c>
      <c r="D1582">
        <v>0</v>
      </c>
    </row>
    <row r="1583" spans="1:4" x14ac:dyDescent="0.35">
      <c r="A1583" t="s">
        <v>37</v>
      </c>
      <c r="B1583" t="s">
        <v>5</v>
      </c>
      <c r="C1583" t="s">
        <v>21</v>
      </c>
      <c r="D1583">
        <v>0</v>
      </c>
    </row>
    <row r="1584" spans="1:4" x14ac:dyDescent="0.35">
      <c r="A1584" t="s">
        <v>38</v>
      </c>
      <c r="B1584" t="s">
        <v>5</v>
      </c>
      <c r="C1584" t="s">
        <v>21</v>
      </c>
      <c r="D1584">
        <v>0</v>
      </c>
    </row>
    <row r="1585" spans="1:4" x14ac:dyDescent="0.35">
      <c r="A1585" t="s">
        <v>39</v>
      </c>
      <c r="B1585" t="s">
        <v>5</v>
      </c>
      <c r="C1585" t="s">
        <v>21</v>
      </c>
      <c r="D1585">
        <v>0</v>
      </c>
    </row>
    <row r="1586" spans="1:4" x14ac:dyDescent="0.35">
      <c r="A1586" t="s">
        <v>7</v>
      </c>
      <c r="B1586" t="s">
        <v>5</v>
      </c>
      <c r="C1586" t="s">
        <v>22</v>
      </c>
      <c r="D1586">
        <v>0</v>
      </c>
    </row>
    <row r="1587" spans="1:4" x14ac:dyDescent="0.35">
      <c r="A1587" t="s">
        <v>8</v>
      </c>
      <c r="B1587" t="s">
        <v>5</v>
      </c>
      <c r="C1587" t="s">
        <v>22</v>
      </c>
      <c r="D1587">
        <v>0</v>
      </c>
    </row>
    <row r="1588" spans="1:4" x14ac:dyDescent="0.35">
      <c r="A1588" t="s">
        <v>9</v>
      </c>
      <c r="B1588" t="s">
        <v>5</v>
      </c>
      <c r="C1588" t="s">
        <v>22</v>
      </c>
      <c r="D1588">
        <v>0</v>
      </c>
    </row>
    <row r="1589" spans="1:4" x14ac:dyDescent="0.35">
      <c r="A1589" t="s">
        <v>10</v>
      </c>
      <c r="B1589" t="s">
        <v>5</v>
      </c>
      <c r="C1589" t="s">
        <v>22</v>
      </c>
      <c r="D1589">
        <v>0</v>
      </c>
    </row>
    <row r="1590" spans="1:4" x14ac:dyDescent="0.35">
      <c r="A1590" t="s">
        <v>11</v>
      </c>
      <c r="B1590" t="s">
        <v>5</v>
      </c>
      <c r="C1590" t="s">
        <v>22</v>
      </c>
      <c r="D1590">
        <v>0</v>
      </c>
    </row>
    <row r="1591" spans="1:4" x14ac:dyDescent="0.35">
      <c r="A1591" t="s">
        <v>12</v>
      </c>
      <c r="B1591" t="s">
        <v>5</v>
      </c>
      <c r="C1591" t="s">
        <v>22</v>
      </c>
      <c r="D1591">
        <v>0</v>
      </c>
    </row>
    <row r="1592" spans="1:4" x14ac:dyDescent="0.35">
      <c r="A1592" t="s">
        <v>13</v>
      </c>
      <c r="B1592" t="s">
        <v>5</v>
      </c>
      <c r="C1592" t="s">
        <v>22</v>
      </c>
      <c r="D1592">
        <v>0</v>
      </c>
    </row>
    <row r="1593" spans="1:4" x14ac:dyDescent="0.35">
      <c r="A1593" t="s">
        <v>14</v>
      </c>
      <c r="B1593" t="s">
        <v>5</v>
      </c>
      <c r="C1593" t="s">
        <v>22</v>
      </c>
      <c r="D1593">
        <v>0</v>
      </c>
    </row>
    <row r="1594" spans="1:4" x14ac:dyDescent="0.35">
      <c r="A1594" t="s">
        <v>15</v>
      </c>
      <c r="B1594" t="s">
        <v>5</v>
      </c>
      <c r="C1594" t="s">
        <v>22</v>
      </c>
      <c r="D1594">
        <v>0</v>
      </c>
    </row>
    <row r="1595" spans="1:4" x14ac:dyDescent="0.35">
      <c r="A1595" t="s">
        <v>16</v>
      </c>
      <c r="B1595" t="s">
        <v>5</v>
      </c>
      <c r="C1595" t="s">
        <v>22</v>
      </c>
      <c r="D1595">
        <v>0</v>
      </c>
    </row>
    <row r="1596" spans="1:4" x14ac:dyDescent="0.35">
      <c r="A1596" t="s">
        <v>17</v>
      </c>
      <c r="B1596" t="s">
        <v>5</v>
      </c>
      <c r="C1596" t="s">
        <v>22</v>
      </c>
      <c r="D1596">
        <v>0</v>
      </c>
    </row>
    <row r="1597" spans="1:4" x14ac:dyDescent="0.35">
      <c r="A1597" t="s">
        <v>18</v>
      </c>
      <c r="B1597" t="s">
        <v>5</v>
      </c>
      <c r="C1597" t="s">
        <v>22</v>
      </c>
      <c r="D1597">
        <v>0</v>
      </c>
    </row>
    <row r="1598" spans="1:4" x14ac:dyDescent="0.35">
      <c r="A1598" t="s">
        <v>19</v>
      </c>
      <c r="B1598" t="s">
        <v>5</v>
      </c>
      <c r="C1598" t="s">
        <v>22</v>
      </c>
      <c r="D1598">
        <v>0</v>
      </c>
    </row>
    <row r="1599" spans="1:4" x14ac:dyDescent="0.35">
      <c r="A1599" t="s">
        <v>20</v>
      </c>
      <c r="B1599" t="s">
        <v>5</v>
      </c>
      <c r="C1599" t="s">
        <v>22</v>
      </c>
      <c r="D1599">
        <v>0</v>
      </c>
    </row>
    <row r="1600" spans="1:4" x14ac:dyDescent="0.35">
      <c r="A1600" t="s">
        <v>21</v>
      </c>
      <c r="B1600" t="s">
        <v>5</v>
      </c>
      <c r="C1600" t="s">
        <v>22</v>
      </c>
      <c r="D1600">
        <v>0</v>
      </c>
    </row>
    <row r="1601" spans="1:4" x14ac:dyDescent="0.35">
      <c r="A1601" t="s">
        <v>22</v>
      </c>
      <c r="B1601" t="s">
        <v>5</v>
      </c>
      <c r="C1601" t="s">
        <v>22</v>
      </c>
      <c r="D1601">
        <v>0</v>
      </c>
    </row>
    <row r="1602" spans="1:4" x14ac:dyDescent="0.35">
      <c r="A1602" t="s">
        <v>23</v>
      </c>
      <c r="B1602" t="s">
        <v>5</v>
      </c>
      <c r="C1602" t="s">
        <v>22</v>
      </c>
      <c r="D1602">
        <v>0</v>
      </c>
    </row>
    <row r="1603" spans="1:4" x14ac:dyDescent="0.35">
      <c r="A1603" t="s">
        <v>24</v>
      </c>
      <c r="B1603" t="s">
        <v>5</v>
      </c>
      <c r="C1603" t="s">
        <v>22</v>
      </c>
      <c r="D1603">
        <v>0</v>
      </c>
    </row>
    <row r="1604" spans="1:4" x14ac:dyDescent="0.35">
      <c r="A1604" t="s">
        <v>25</v>
      </c>
      <c r="B1604" t="s">
        <v>5</v>
      </c>
      <c r="C1604" t="s">
        <v>22</v>
      </c>
      <c r="D1604">
        <v>0</v>
      </c>
    </row>
    <row r="1605" spans="1:4" x14ac:dyDescent="0.35">
      <c r="A1605" t="s">
        <v>26</v>
      </c>
      <c r="B1605" t="s">
        <v>5</v>
      </c>
      <c r="C1605" t="s">
        <v>22</v>
      </c>
      <c r="D1605">
        <v>0</v>
      </c>
    </row>
    <row r="1606" spans="1:4" x14ac:dyDescent="0.35">
      <c r="A1606" t="s">
        <v>27</v>
      </c>
      <c r="B1606" t="s">
        <v>5</v>
      </c>
      <c r="C1606" t="s">
        <v>22</v>
      </c>
      <c r="D1606">
        <v>0</v>
      </c>
    </row>
    <row r="1607" spans="1:4" x14ac:dyDescent="0.35">
      <c r="A1607" t="s">
        <v>28</v>
      </c>
      <c r="B1607" t="s">
        <v>5</v>
      </c>
      <c r="C1607" t="s">
        <v>22</v>
      </c>
      <c r="D1607">
        <v>0</v>
      </c>
    </row>
    <row r="1608" spans="1:4" x14ac:dyDescent="0.35">
      <c r="A1608" t="s">
        <v>29</v>
      </c>
      <c r="B1608" t="s">
        <v>5</v>
      </c>
      <c r="C1608" t="s">
        <v>22</v>
      </c>
      <c r="D1608">
        <v>0</v>
      </c>
    </row>
    <row r="1609" spans="1:4" x14ac:dyDescent="0.35">
      <c r="A1609" t="s">
        <v>30</v>
      </c>
      <c r="B1609" t="s">
        <v>5</v>
      </c>
      <c r="C1609" t="s">
        <v>22</v>
      </c>
      <c r="D1609">
        <v>0</v>
      </c>
    </row>
    <row r="1610" spans="1:4" x14ac:dyDescent="0.35">
      <c r="A1610" t="s">
        <v>31</v>
      </c>
      <c r="B1610" t="s">
        <v>5</v>
      </c>
      <c r="C1610" t="s">
        <v>22</v>
      </c>
      <c r="D1610">
        <v>0</v>
      </c>
    </row>
    <row r="1611" spans="1:4" x14ac:dyDescent="0.35">
      <c r="A1611" t="s">
        <v>32</v>
      </c>
      <c r="B1611" t="s">
        <v>5</v>
      </c>
      <c r="C1611" t="s">
        <v>22</v>
      </c>
      <c r="D1611">
        <v>0</v>
      </c>
    </row>
    <row r="1612" spans="1:4" x14ac:dyDescent="0.35">
      <c r="A1612" t="s">
        <v>33</v>
      </c>
      <c r="B1612" t="s">
        <v>5</v>
      </c>
      <c r="C1612" t="s">
        <v>22</v>
      </c>
      <c r="D1612">
        <v>0</v>
      </c>
    </row>
    <row r="1613" spans="1:4" x14ac:dyDescent="0.35">
      <c r="A1613" t="s">
        <v>34</v>
      </c>
      <c r="B1613" t="s">
        <v>5</v>
      </c>
      <c r="C1613" t="s">
        <v>22</v>
      </c>
      <c r="D1613">
        <v>0</v>
      </c>
    </row>
    <row r="1614" spans="1:4" x14ac:dyDescent="0.35">
      <c r="A1614" t="s">
        <v>35</v>
      </c>
      <c r="B1614" t="s">
        <v>5</v>
      </c>
      <c r="C1614" t="s">
        <v>22</v>
      </c>
      <c r="D1614">
        <v>0</v>
      </c>
    </row>
    <row r="1615" spans="1:4" x14ac:dyDescent="0.35">
      <c r="A1615" t="s">
        <v>36</v>
      </c>
      <c r="B1615" t="s">
        <v>5</v>
      </c>
      <c r="C1615" t="s">
        <v>22</v>
      </c>
      <c r="D1615">
        <v>0</v>
      </c>
    </row>
    <row r="1616" spans="1:4" x14ac:dyDescent="0.35">
      <c r="A1616" t="s">
        <v>37</v>
      </c>
      <c r="B1616" t="s">
        <v>5</v>
      </c>
      <c r="C1616" t="s">
        <v>22</v>
      </c>
      <c r="D1616">
        <v>0</v>
      </c>
    </row>
    <row r="1617" spans="1:4" x14ac:dyDescent="0.35">
      <c r="A1617" t="s">
        <v>38</v>
      </c>
      <c r="B1617" t="s">
        <v>5</v>
      </c>
      <c r="C1617" t="s">
        <v>22</v>
      </c>
      <c r="D1617">
        <v>0</v>
      </c>
    </row>
    <row r="1618" spans="1:4" x14ac:dyDescent="0.35">
      <c r="A1618" t="s">
        <v>39</v>
      </c>
      <c r="B1618" t="s">
        <v>5</v>
      </c>
      <c r="C1618" t="s">
        <v>22</v>
      </c>
      <c r="D1618">
        <v>0</v>
      </c>
    </row>
    <row r="1619" spans="1:4" x14ac:dyDescent="0.35">
      <c r="A1619" t="s">
        <v>7</v>
      </c>
      <c r="B1619" t="s">
        <v>5</v>
      </c>
      <c r="C1619" t="s">
        <v>23</v>
      </c>
      <c r="D1619">
        <v>0</v>
      </c>
    </row>
    <row r="1620" spans="1:4" x14ac:dyDescent="0.35">
      <c r="A1620" t="s">
        <v>8</v>
      </c>
      <c r="B1620" t="s">
        <v>5</v>
      </c>
      <c r="C1620" t="s">
        <v>23</v>
      </c>
      <c r="D1620">
        <v>0</v>
      </c>
    </row>
    <row r="1621" spans="1:4" x14ac:dyDescent="0.35">
      <c r="A1621" t="s">
        <v>9</v>
      </c>
      <c r="B1621" t="s">
        <v>5</v>
      </c>
      <c r="C1621" t="s">
        <v>23</v>
      </c>
      <c r="D1621">
        <v>0</v>
      </c>
    </row>
    <row r="1622" spans="1:4" x14ac:dyDescent="0.35">
      <c r="A1622" t="s">
        <v>10</v>
      </c>
      <c r="B1622" t="s">
        <v>5</v>
      </c>
      <c r="C1622" t="s">
        <v>23</v>
      </c>
      <c r="D1622">
        <v>0</v>
      </c>
    </row>
    <row r="1623" spans="1:4" x14ac:dyDescent="0.35">
      <c r="A1623" t="s">
        <v>11</v>
      </c>
      <c r="B1623" t="s">
        <v>5</v>
      </c>
      <c r="C1623" t="s">
        <v>23</v>
      </c>
      <c r="D1623">
        <v>0</v>
      </c>
    </row>
    <row r="1624" spans="1:4" x14ac:dyDescent="0.35">
      <c r="A1624" t="s">
        <v>12</v>
      </c>
      <c r="B1624" t="s">
        <v>5</v>
      </c>
      <c r="C1624" t="s">
        <v>23</v>
      </c>
      <c r="D1624">
        <v>0</v>
      </c>
    </row>
    <row r="1625" spans="1:4" x14ac:dyDescent="0.35">
      <c r="A1625" t="s">
        <v>13</v>
      </c>
      <c r="B1625" t="s">
        <v>5</v>
      </c>
      <c r="C1625" t="s">
        <v>23</v>
      </c>
      <c r="D1625">
        <v>0</v>
      </c>
    </row>
    <row r="1626" spans="1:4" x14ac:dyDescent="0.35">
      <c r="A1626" t="s">
        <v>14</v>
      </c>
      <c r="B1626" t="s">
        <v>5</v>
      </c>
      <c r="C1626" t="s">
        <v>23</v>
      </c>
      <c r="D1626">
        <v>0</v>
      </c>
    </row>
    <row r="1627" spans="1:4" x14ac:dyDescent="0.35">
      <c r="A1627" t="s">
        <v>15</v>
      </c>
      <c r="B1627" t="s">
        <v>5</v>
      </c>
      <c r="C1627" t="s">
        <v>23</v>
      </c>
      <c r="D1627">
        <v>0</v>
      </c>
    </row>
    <row r="1628" spans="1:4" x14ac:dyDescent="0.35">
      <c r="A1628" t="s">
        <v>16</v>
      </c>
      <c r="B1628" t="s">
        <v>5</v>
      </c>
      <c r="C1628" t="s">
        <v>23</v>
      </c>
      <c r="D1628">
        <v>0</v>
      </c>
    </row>
    <row r="1629" spans="1:4" x14ac:dyDescent="0.35">
      <c r="A1629" t="s">
        <v>17</v>
      </c>
      <c r="B1629" t="s">
        <v>5</v>
      </c>
      <c r="C1629" t="s">
        <v>23</v>
      </c>
      <c r="D1629">
        <v>0</v>
      </c>
    </row>
    <row r="1630" spans="1:4" x14ac:dyDescent="0.35">
      <c r="A1630" t="s">
        <v>18</v>
      </c>
      <c r="B1630" t="s">
        <v>5</v>
      </c>
      <c r="C1630" t="s">
        <v>23</v>
      </c>
      <c r="D1630">
        <v>0</v>
      </c>
    </row>
    <row r="1631" spans="1:4" x14ac:dyDescent="0.35">
      <c r="A1631" t="s">
        <v>19</v>
      </c>
      <c r="B1631" t="s">
        <v>5</v>
      </c>
      <c r="C1631" t="s">
        <v>23</v>
      </c>
      <c r="D1631">
        <v>0</v>
      </c>
    </row>
    <row r="1632" spans="1:4" x14ac:dyDescent="0.35">
      <c r="A1632" t="s">
        <v>20</v>
      </c>
      <c r="B1632" t="s">
        <v>5</v>
      </c>
      <c r="C1632" t="s">
        <v>23</v>
      </c>
      <c r="D1632">
        <v>0</v>
      </c>
    </row>
    <row r="1633" spans="1:4" x14ac:dyDescent="0.35">
      <c r="A1633" t="s">
        <v>21</v>
      </c>
      <c r="B1633" t="s">
        <v>5</v>
      </c>
      <c r="C1633" t="s">
        <v>23</v>
      </c>
      <c r="D1633">
        <v>0</v>
      </c>
    </row>
    <row r="1634" spans="1:4" x14ac:dyDescent="0.35">
      <c r="A1634" t="s">
        <v>22</v>
      </c>
      <c r="B1634" t="s">
        <v>5</v>
      </c>
      <c r="C1634" t="s">
        <v>23</v>
      </c>
      <c r="D1634">
        <v>0</v>
      </c>
    </row>
    <row r="1635" spans="1:4" x14ac:dyDescent="0.35">
      <c r="A1635" t="s">
        <v>23</v>
      </c>
      <c r="B1635" t="s">
        <v>5</v>
      </c>
      <c r="C1635" t="s">
        <v>23</v>
      </c>
      <c r="D1635">
        <v>0</v>
      </c>
    </row>
    <row r="1636" spans="1:4" x14ac:dyDescent="0.35">
      <c r="A1636" t="s">
        <v>24</v>
      </c>
      <c r="B1636" t="s">
        <v>5</v>
      </c>
      <c r="C1636" t="s">
        <v>23</v>
      </c>
      <c r="D1636">
        <v>0</v>
      </c>
    </row>
    <row r="1637" spans="1:4" x14ac:dyDescent="0.35">
      <c r="A1637" t="s">
        <v>25</v>
      </c>
      <c r="B1637" t="s">
        <v>5</v>
      </c>
      <c r="C1637" t="s">
        <v>23</v>
      </c>
      <c r="D1637">
        <v>0</v>
      </c>
    </row>
    <row r="1638" spans="1:4" x14ac:dyDescent="0.35">
      <c r="A1638" t="s">
        <v>26</v>
      </c>
      <c r="B1638" t="s">
        <v>5</v>
      </c>
      <c r="C1638" t="s">
        <v>23</v>
      </c>
      <c r="D1638">
        <v>0</v>
      </c>
    </row>
    <row r="1639" spans="1:4" x14ac:dyDescent="0.35">
      <c r="A1639" t="s">
        <v>27</v>
      </c>
      <c r="B1639" t="s">
        <v>5</v>
      </c>
      <c r="C1639" t="s">
        <v>23</v>
      </c>
      <c r="D1639">
        <v>0</v>
      </c>
    </row>
    <row r="1640" spans="1:4" x14ac:dyDescent="0.35">
      <c r="A1640" t="s">
        <v>28</v>
      </c>
      <c r="B1640" t="s">
        <v>5</v>
      </c>
      <c r="C1640" t="s">
        <v>23</v>
      </c>
      <c r="D1640">
        <v>0</v>
      </c>
    </row>
    <row r="1641" spans="1:4" x14ac:dyDescent="0.35">
      <c r="A1641" t="s">
        <v>29</v>
      </c>
      <c r="B1641" t="s">
        <v>5</v>
      </c>
      <c r="C1641" t="s">
        <v>23</v>
      </c>
      <c r="D1641">
        <v>0</v>
      </c>
    </row>
    <row r="1642" spans="1:4" x14ac:dyDescent="0.35">
      <c r="A1642" t="s">
        <v>30</v>
      </c>
      <c r="B1642" t="s">
        <v>5</v>
      </c>
      <c r="C1642" t="s">
        <v>23</v>
      </c>
      <c r="D1642">
        <v>0</v>
      </c>
    </row>
    <row r="1643" spans="1:4" x14ac:dyDescent="0.35">
      <c r="A1643" t="s">
        <v>31</v>
      </c>
      <c r="B1643" t="s">
        <v>5</v>
      </c>
      <c r="C1643" t="s">
        <v>23</v>
      </c>
      <c r="D1643">
        <v>0</v>
      </c>
    </row>
    <row r="1644" spans="1:4" x14ac:dyDescent="0.35">
      <c r="A1644" t="s">
        <v>32</v>
      </c>
      <c r="B1644" t="s">
        <v>5</v>
      </c>
      <c r="C1644" t="s">
        <v>23</v>
      </c>
      <c r="D1644">
        <v>0</v>
      </c>
    </row>
    <row r="1645" spans="1:4" x14ac:dyDescent="0.35">
      <c r="A1645" t="s">
        <v>33</v>
      </c>
      <c r="B1645" t="s">
        <v>5</v>
      </c>
      <c r="C1645" t="s">
        <v>23</v>
      </c>
      <c r="D1645">
        <v>0</v>
      </c>
    </row>
    <row r="1646" spans="1:4" x14ac:dyDescent="0.35">
      <c r="A1646" t="s">
        <v>34</v>
      </c>
      <c r="B1646" t="s">
        <v>5</v>
      </c>
      <c r="C1646" t="s">
        <v>23</v>
      </c>
      <c r="D1646">
        <v>0</v>
      </c>
    </row>
    <row r="1647" spans="1:4" x14ac:dyDescent="0.35">
      <c r="A1647" t="s">
        <v>35</v>
      </c>
      <c r="B1647" t="s">
        <v>5</v>
      </c>
      <c r="C1647" t="s">
        <v>23</v>
      </c>
      <c r="D1647">
        <v>0</v>
      </c>
    </row>
    <row r="1648" spans="1:4" x14ac:dyDescent="0.35">
      <c r="A1648" t="s">
        <v>36</v>
      </c>
      <c r="B1648" t="s">
        <v>5</v>
      </c>
      <c r="C1648" t="s">
        <v>23</v>
      </c>
      <c r="D1648">
        <v>0</v>
      </c>
    </row>
    <row r="1649" spans="1:4" x14ac:dyDescent="0.35">
      <c r="A1649" t="s">
        <v>37</v>
      </c>
      <c r="B1649" t="s">
        <v>5</v>
      </c>
      <c r="C1649" t="s">
        <v>23</v>
      </c>
      <c r="D1649">
        <v>0</v>
      </c>
    </row>
    <row r="1650" spans="1:4" x14ac:dyDescent="0.35">
      <c r="A1650" t="s">
        <v>38</v>
      </c>
      <c r="B1650" t="s">
        <v>5</v>
      </c>
      <c r="C1650" t="s">
        <v>23</v>
      </c>
      <c r="D1650">
        <v>0</v>
      </c>
    </row>
    <row r="1651" spans="1:4" x14ac:dyDescent="0.35">
      <c r="A1651" t="s">
        <v>39</v>
      </c>
      <c r="B1651" t="s">
        <v>5</v>
      </c>
      <c r="C1651" t="s">
        <v>23</v>
      </c>
      <c r="D1651">
        <v>0</v>
      </c>
    </row>
    <row r="1652" spans="1:4" x14ac:dyDescent="0.35">
      <c r="A1652" t="s">
        <v>7</v>
      </c>
      <c r="B1652" t="s">
        <v>5</v>
      </c>
      <c r="C1652" t="s">
        <v>24</v>
      </c>
      <c r="D1652">
        <v>0</v>
      </c>
    </row>
    <row r="1653" spans="1:4" x14ac:dyDescent="0.35">
      <c r="A1653" t="s">
        <v>8</v>
      </c>
      <c r="B1653" t="s">
        <v>5</v>
      </c>
      <c r="C1653" t="s">
        <v>24</v>
      </c>
      <c r="D1653">
        <v>0</v>
      </c>
    </row>
    <row r="1654" spans="1:4" x14ac:dyDescent="0.35">
      <c r="A1654" t="s">
        <v>9</v>
      </c>
      <c r="B1654" t="s">
        <v>5</v>
      </c>
      <c r="C1654" t="s">
        <v>24</v>
      </c>
      <c r="D1654">
        <v>0</v>
      </c>
    </row>
    <row r="1655" spans="1:4" x14ac:dyDescent="0.35">
      <c r="A1655" t="s">
        <v>10</v>
      </c>
      <c r="B1655" t="s">
        <v>5</v>
      </c>
      <c r="C1655" t="s">
        <v>24</v>
      </c>
      <c r="D1655">
        <v>0</v>
      </c>
    </row>
    <row r="1656" spans="1:4" x14ac:dyDescent="0.35">
      <c r="A1656" t="s">
        <v>11</v>
      </c>
      <c r="B1656" t="s">
        <v>5</v>
      </c>
      <c r="C1656" t="s">
        <v>24</v>
      </c>
      <c r="D1656">
        <v>0</v>
      </c>
    </row>
    <row r="1657" spans="1:4" x14ac:dyDescent="0.35">
      <c r="A1657" t="s">
        <v>12</v>
      </c>
      <c r="B1657" t="s">
        <v>5</v>
      </c>
      <c r="C1657" t="s">
        <v>24</v>
      </c>
      <c r="D1657">
        <v>0</v>
      </c>
    </row>
    <row r="1658" spans="1:4" x14ac:dyDescent="0.35">
      <c r="A1658" t="s">
        <v>13</v>
      </c>
      <c r="B1658" t="s">
        <v>5</v>
      </c>
      <c r="C1658" t="s">
        <v>24</v>
      </c>
      <c r="D1658">
        <v>0</v>
      </c>
    </row>
    <row r="1659" spans="1:4" x14ac:dyDescent="0.35">
      <c r="A1659" t="s">
        <v>14</v>
      </c>
      <c r="B1659" t="s">
        <v>5</v>
      </c>
      <c r="C1659" t="s">
        <v>24</v>
      </c>
      <c r="D1659">
        <v>0</v>
      </c>
    </row>
    <row r="1660" spans="1:4" x14ac:dyDescent="0.35">
      <c r="A1660" t="s">
        <v>15</v>
      </c>
      <c r="B1660" t="s">
        <v>5</v>
      </c>
      <c r="C1660" t="s">
        <v>24</v>
      </c>
      <c r="D1660">
        <v>0</v>
      </c>
    </row>
    <row r="1661" spans="1:4" x14ac:dyDescent="0.35">
      <c r="A1661" t="s">
        <v>16</v>
      </c>
      <c r="B1661" t="s">
        <v>5</v>
      </c>
      <c r="C1661" t="s">
        <v>24</v>
      </c>
      <c r="D1661">
        <v>0</v>
      </c>
    </row>
    <row r="1662" spans="1:4" x14ac:dyDescent="0.35">
      <c r="A1662" t="s">
        <v>17</v>
      </c>
      <c r="B1662" t="s">
        <v>5</v>
      </c>
      <c r="C1662" t="s">
        <v>24</v>
      </c>
      <c r="D1662">
        <v>0</v>
      </c>
    </row>
    <row r="1663" spans="1:4" x14ac:dyDescent="0.35">
      <c r="A1663" t="s">
        <v>18</v>
      </c>
      <c r="B1663" t="s">
        <v>5</v>
      </c>
      <c r="C1663" t="s">
        <v>24</v>
      </c>
      <c r="D1663">
        <v>0</v>
      </c>
    </row>
    <row r="1664" spans="1:4" x14ac:dyDescent="0.35">
      <c r="A1664" t="s">
        <v>19</v>
      </c>
      <c r="B1664" t="s">
        <v>5</v>
      </c>
      <c r="C1664" t="s">
        <v>24</v>
      </c>
      <c r="D1664">
        <v>0</v>
      </c>
    </row>
    <row r="1665" spans="1:4" x14ac:dyDescent="0.35">
      <c r="A1665" t="s">
        <v>20</v>
      </c>
      <c r="B1665" t="s">
        <v>5</v>
      </c>
      <c r="C1665" t="s">
        <v>24</v>
      </c>
      <c r="D1665">
        <v>0</v>
      </c>
    </row>
    <row r="1666" spans="1:4" x14ac:dyDescent="0.35">
      <c r="A1666" t="s">
        <v>21</v>
      </c>
      <c r="B1666" t="s">
        <v>5</v>
      </c>
      <c r="C1666" t="s">
        <v>24</v>
      </c>
      <c r="D1666">
        <v>0</v>
      </c>
    </row>
    <row r="1667" spans="1:4" x14ac:dyDescent="0.35">
      <c r="A1667" t="s">
        <v>22</v>
      </c>
      <c r="B1667" t="s">
        <v>5</v>
      </c>
      <c r="C1667" t="s">
        <v>24</v>
      </c>
      <c r="D1667">
        <v>0</v>
      </c>
    </row>
    <row r="1668" spans="1:4" x14ac:dyDescent="0.35">
      <c r="A1668" t="s">
        <v>23</v>
      </c>
      <c r="B1668" t="s">
        <v>5</v>
      </c>
      <c r="C1668" t="s">
        <v>24</v>
      </c>
      <c r="D1668">
        <v>0</v>
      </c>
    </row>
    <row r="1669" spans="1:4" x14ac:dyDescent="0.35">
      <c r="A1669" t="s">
        <v>24</v>
      </c>
      <c r="B1669" t="s">
        <v>5</v>
      </c>
      <c r="C1669" t="s">
        <v>24</v>
      </c>
      <c r="D1669">
        <v>0</v>
      </c>
    </row>
    <row r="1670" spans="1:4" x14ac:dyDescent="0.35">
      <c r="A1670" t="s">
        <v>25</v>
      </c>
      <c r="B1670" t="s">
        <v>5</v>
      </c>
      <c r="C1670" t="s">
        <v>24</v>
      </c>
      <c r="D1670">
        <v>0</v>
      </c>
    </row>
    <row r="1671" spans="1:4" x14ac:dyDescent="0.35">
      <c r="A1671" t="s">
        <v>26</v>
      </c>
      <c r="B1671" t="s">
        <v>5</v>
      </c>
      <c r="C1671" t="s">
        <v>24</v>
      </c>
      <c r="D1671">
        <v>0</v>
      </c>
    </row>
    <row r="1672" spans="1:4" x14ac:dyDescent="0.35">
      <c r="A1672" t="s">
        <v>27</v>
      </c>
      <c r="B1672" t="s">
        <v>5</v>
      </c>
      <c r="C1672" t="s">
        <v>24</v>
      </c>
      <c r="D1672">
        <v>0</v>
      </c>
    </row>
    <row r="1673" spans="1:4" x14ac:dyDescent="0.35">
      <c r="A1673" t="s">
        <v>28</v>
      </c>
      <c r="B1673" t="s">
        <v>5</v>
      </c>
      <c r="C1673" t="s">
        <v>24</v>
      </c>
      <c r="D1673">
        <v>0</v>
      </c>
    </row>
    <row r="1674" spans="1:4" x14ac:dyDescent="0.35">
      <c r="A1674" t="s">
        <v>29</v>
      </c>
      <c r="B1674" t="s">
        <v>5</v>
      </c>
      <c r="C1674" t="s">
        <v>24</v>
      </c>
      <c r="D1674">
        <v>0</v>
      </c>
    </row>
    <row r="1675" spans="1:4" x14ac:dyDescent="0.35">
      <c r="A1675" t="s">
        <v>30</v>
      </c>
      <c r="B1675" t="s">
        <v>5</v>
      </c>
      <c r="C1675" t="s">
        <v>24</v>
      </c>
      <c r="D1675">
        <v>0</v>
      </c>
    </row>
    <row r="1676" spans="1:4" x14ac:dyDescent="0.35">
      <c r="A1676" t="s">
        <v>31</v>
      </c>
      <c r="B1676" t="s">
        <v>5</v>
      </c>
      <c r="C1676" t="s">
        <v>24</v>
      </c>
      <c r="D1676">
        <v>0</v>
      </c>
    </row>
    <row r="1677" spans="1:4" x14ac:dyDescent="0.35">
      <c r="A1677" t="s">
        <v>32</v>
      </c>
      <c r="B1677" t="s">
        <v>5</v>
      </c>
      <c r="C1677" t="s">
        <v>24</v>
      </c>
      <c r="D1677">
        <v>0</v>
      </c>
    </row>
    <row r="1678" spans="1:4" x14ac:dyDescent="0.35">
      <c r="A1678" t="s">
        <v>33</v>
      </c>
      <c r="B1678" t="s">
        <v>5</v>
      </c>
      <c r="C1678" t="s">
        <v>24</v>
      </c>
      <c r="D1678">
        <v>0</v>
      </c>
    </row>
    <row r="1679" spans="1:4" x14ac:dyDescent="0.35">
      <c r="A1679" t="s">
        <v>34</v>
      </c>
      <c r="B1679" t="s">
        <v>5</v>
      </c>
      <c r="C1679" t="s">
        <v>24</v>
      </c>
      <c r="D1679">
        <v>0</v>
      </c>
    </row>
    <row r="1680" spans="1:4" x14ac:dyDescent="0.35">
      <c r="A1680" t="s">
        <v>35</v>
      </c>
      <c r="B1680" t="s">
        <v>5</v>
      </c>
      <c r="C1680" t="s">
        <v>24</v>
      </c>
      <c r="D1680">
        <v>0</v>
      </c>
    </row>
    <row r="1681" spans="1:4" x14ac:dyDescent="0.35">
      <c r="A1681" t="s">
        <v>36</v>
      </c>
      <c r="B1681" t="s">
        <v>5</v>
      </c>
      <c r="C1681" t="s">
        <v>24</v>
      </c>
      <c r="D1681">
        <v>0</v>
      </c>
    </row>
    <row r="1682" spans="1:4" x14ac:dyDescent="0.35">
      <c r="A1682" t="s">
        <v>37</v>
      </c>
      <c r="B1682" t="s">
        <v>5</v>
      </c>
      <c r="C1682" t="s">
        <v>24</v>
      </c>
      <c r="D1682">
        <v>0</v>
      </c>
    </row>
    <row r="1683" spans="1:4" x14ac:dyDescent="0.35">
      <c r="A1683" t="s">
        <v>38</v>
      </c>
      <c r="B1683" t="s">
        <v>5</v>
      </c>
      <c r="C1683" t="s">
        <v>24</v>
      </c>
      <c r="D1683">
        <v>0</v>
      </c>
    </row>
    <row r="1684" spans="1:4" x14ac:dyDescent="0.35">
      <c r="A1684" t="s">
        <v>39</v>
      </c>
      <c r="B1684" t="s">
        <v>5</v>
      </c>
      <c r="C1684" t="s">
        <v>24</v>
      </c>
      <c r="D1684">
        <v>0</v>
      </c>
    </row>
    <row r="1685" spans="1:4" x14ac:dyDescent="0.35">
      <c r="A1685" t="s">
        <v>7</v>
      </c>
      <c r="B1685" t="s">
        <v>5</v>
      </c>
      <c r="C1685" t="s">
        <v>25</v>
      </c>
      <c r="D1685">
        <v>0</v>
      </c>
    </row>
    <row r="1686" spans="1:4" x14ac:dyDescent="0.35">
      <c r="A1686" t="s">
        <v>8</v>
      </c>
      <c r="B1686" t="s">
        <v>5</v>
      </c>
      <c r="C1686" t="s">
        <v>25</v>
      </c>
      <c r="D1686">
        <v>0</v>
      </c>
    </row>
    <row r="1687" spans="1:4" x14ac:dyDescent="0.35">
      <c r="A1687" t="s">
        <v>9</v>
      </c>
      <c r="B1687" t="s">
        <v>5</v>
      </c>
      <c r="C1687" t="s">
        <v>25</v>
      </c>
      <c r="D1687">
        <v>0</v>
      </c>
    </row>
    <row r="1688" spans="1:4" x14ac:dyDescent="0.35">
      <c r="A1688" t="s">
        <v>10</v>
      </c>
      <c r="B1688" t="s">
        <v>5</v>
      </c>
      <c r="C1688" t="s">
        <v>25</v>
      </c>
      <c r="D1688">
        <v>0</v>
      </c>
    </row>
    <row r="1689" spans="1:4" x14ac:dyDescent="0.35">
      <c r="A1689" t="s">
        <v>11</v>
      </c>
      <c r="B1689" t="s">
        <v>5</v>
      </c>
      <c r="C1689" t="s">
        <v>25</v>
      </c>
      <c r="D1689">
        <v>0</v>
      </c>
    </row>
    <row r="1690" spans="1:4" x14ac:dyDescent="0.35">
      <c r="A1690" t="s">
        <v>12</v>
      </c>
      <c r="B1690" t="s">
        <v>5</v>
      </c>
      <c r="C1690" t="s">
        <v>25</v>
      </c>
      <c r="D1690">
        <v>0</v>
      </c>
    </row>
    <row r="1691" spans="1:4" x14ac:dyDescent="0.35">
      <c r="A1691" t="s">
        <v>13</v>
      </c>
      <c r="B1691" t="s">
        <v>5</v>
      </c>
      <c r="C1691" t="s">
        <v>25</v>
      </c>
      <c r="D1691">
        <v>0</v>
      </c>
    </row>
    <row r="1692" spans="1:4" x14ac:dyDescent="0.35">
      <c r="A1692" t="s">
        <v>14</v>
      </c>
      <c r="B1692" t="s">
        <v>5</v>
      </c>
      <c r="C1692" t="s">
        <v>25</v>
      </c>
      <c r="D1692">
        <v>0</v>
      </c>
    </row>
    <row r="1693" spans="1:4" x14ac:dyDescent="0.35">
      <c r="A1693" t="s">
        <v>15</v>
      </c>
      <c r="B1693" t="s">
        <v>5</v>
      </c>
      <c r="C1693" t="s">
        <v>25</v>
      </c>
      <c r="D1693">
        <v>0</v>
      </c>
    </row>
    <row r="1694" spans="1:4" x14ac:dyDescent="0.35">
      <c r="A1694" t="s">
        <v>16</v>
      </c>
      <c r="B1694" t="s">
        <v>5</v>
      </c>
      <c r="C1694" t="s">
        <v>25</v>
      </c>
      <c r="D1694">
        <v>0</v>
      </c>
    </row>
    <row r="1695" spans="1:4" x14ac:dyDescent="0.35">
      <c r="A1695" t="s">
        <v>17</v>
      </c>
      <c r="B1695" t="s">
        <v>5</v>
      </c>
      <c r="C1695" t="s">
        <v>25</v>
      </c>
      <c r="D1695">
        <v>0</v>
      </c>
    </row>
    <row r="1696" spans="1:4" x14ac:dyDescent="0.35">
      <c r="A1696" t="s">
        <v>18</v>
      </c>
      <c r="B1696" t="s">
        <v>5</v>
      </c>
      <c r="C1696" t="s">
        <v>25</v>
      </c>
      <c r="D1696">
        <v>0</v>
      </c>
    </row>
    <row r="1697" spans="1:4" x14ac:dyDescent="0.35">
      <c r="A1697" t="s">
        <v>19</v>
      </c>
      <c r="B1697" t="s">
        <v>5</v>
      </c>
      <c r="C1697" t="s">
        <v>25</v>
      </c>
      <c r="D1697">
        <v>0</v>
      </c>
    </row>
    <row r="1698" spans="1:4" x14ac:dyDescent="0.35">
      <c r="A1698" t="s">
        <v>20</v>
      </c>
      <c r="B1698" t="s">
        <v>5</v>
      </c>
      <c r="C1698" t="s">
        <v>25</v>
      </c>
      <c r="D1698">
        <v>0</v>
      </c>
    </row>
    <row r="1699" spans="1:4" x14ac:dyDescent="0.35">
      <c r="A1699" t="s">
        <v>21</v>
      </c>
      <c r="B1699" t="s">
        <v>5</v>
      </c>
      <c r="C1699" t="s">
        <v>25</v>
      </c>
      <c r="D1699">
        <v>0</v>
      </c>
    </row>
    <row r="1700" spans="1:4" x14ac:dyDescent="0.35">
      <c r="A1700" t="s">
        <v>22</v>
      </c>
      <c r="B1700" t="s">
        <v>5</v>
      </c>
      <c r="C1700" t="s">
        <v>25</v>
      </c>
      <c r="D1700">
        <v>0</v>
      </c>
    </row>
    <row r="1701" spans="1:4" x14ac:dyDescent="0.35">
      <c r="A1701" t="s">
        <v>23</v>
      </c>
      <c r="B1701" t="s">
        <v>5</v>
      </c>
      <c r="C1701" t="s">
        <v>25</v>
      </c>
      <c r="D1701">
        <v>0</v>
      </c>
    </row>
    <row r="1702" spans="1:4" x14ac:dyDescent="0.35">
      <c r="A1702" t="s">
        <v>24</v>
      </c>
      <c r="B1702" t="s">
        <v>5</v>
      </c>
      <c r="C1702" t="s">
        <v>25</v>
      </c>
      <c r="D1702">
        <v>0</v>
      </c>
    </row>
    <row r="1703" spans="1:4" x14ac:dyDescent="0.35">
      <c r="A1703" t="s">
        <v>25</v>
      </c>
      <c r="B1703" t="s">
        <v>5</v>
      </c>
      <c r="C1703" t="s">
        <v>25</v>
      </c>
      <c r="D1703">
        <v>0</v>
      </c>
    </row>
    <row r="1704" spans="1:4" x14ac:dyDescent="0.35">
      <c r="A1704" t="s">
        <v>26</v>
      </c>
      <c r="B1704" t="s">
        <v>5</v>
      </c>
      <c r="C1704" t="s">
        <v>25</v>
      </c>
      <c r="D1704">
        <v>0</v>
      </c>
    </row>
    <row r="1705" spans="1:4" x14ac:dyDescent="0.35">
      <c r="A1705" t="s">
        <v>27</v>
      </c>
      <c r="B1705" t="s">
        <v>5</v>
      </c>
      <c r="C1705" t="s">
        <v>25</v>
      </c>
      <c r="D1705">
        <v>0</v>
      </c>
    </row>
    <row r="1706" spans="1:4" x14ac:dyDescent="0.35">
      <c r="A1706" t="s">
        <v>28</v>
      </c>
      <c r="B1706" t="s">
        <v>5</v>
      </c>
      <c r="C1706" t="s">
        <v>25</v>
      </c>
      <c r="D1706">
        <v>0</v>
      </c>
    </row>
    <row r="1707" spans="1:4" x14ac:dyDescent="0.35">
      <c r="A1707" t="s">
        <v>29</v>
      </c>
      <c r="B1707" t="s">
        <v>5</v>
      </c>
      <c r="C1707" t="s">
        <v>25</v>
      </c>
      <c r="D1707">
        <v>0</v>
      </c>
    </row>
    <row r="1708" spans="1:4" x14ac:dyDescent="0.35">
      <c r="A1708" t="s">
        <v>30</v>
      </c>
      <c r="B1708" t="s">
        <v>5</v>
      </c>
      <c r="C1708" t="s">
        <v>25</v>
      </c>
      <c r="D1708">
        <v>0</v>
      </c>
    </row>
    <row r="1709" spans="1:4" x14ac:dyDescent="0.35">
      <c r="A1709" t="s">
        <v>31</v>
      </c>
      <c r="B1709" t="s">
        <v>5</v>
      </c>
      <c r="C1709" t="s">
        <v>25</v>
      </c>
      <c r="D1709">
        <v>0</v>
      </c>
    </row>
    <row r="1710" spans="1:4" x14ac:dyDescent="0.35">
      <c r="A1710" t="s">
        <v>32</v>
      </c>
      <c r="B1710" t="s">
        <v>5</v>
      </c>
      <c r="C1710" t="s">
        <v>25</v>
      </c>
      <c r="D1710">
        <v>0</v>
      </c>
    </row>
    <row r="1711" spans="1:4" x14ac:dyDescent="0.35">
      <c r="A1711" t="s">
        <v>33</v>
      </c>
      <c r="B1711" t="s">
        <v>5</v>
      </c>
      <c r="C1711" t="s">
        <v>25</v>
      </c>
      <c r="D1711">
        <v>0</v>
      </c>
    </row>
    <row r="1712" spans="1:4" x14ac:dyDescent="0.35">
      <c r="A1712" t="s">
        <v>34</v>
      </c>
      <c r="B1712" t="s">
        <v>5</v>
      </c>
      <c r="C1712" t="s">
        <v>25</v>
      </c>
      <c r="D1712">
        <v>0</v>
      </c>
    </row>
    <row r="1713" spans="1:4" x14ac:dyDescent="0.35">
      <c r="A1713" t="s">
        <v>35</v>
      </c>
      <c r="B1713" t="s">
        <v>5</v>
      </c>
      <c r="C1713" t="s">
        <v>25</v>
      </c>
      <c r="D1713">
        <v>0</v>
      </c>
    </row>
    <row r="1714" spans="1:4" x14ac:dyDescent="0.35">
      <c r="A1714" t="s">
        <v>36</v>
      </c>
      <c r="B1714" t="s">
        <v>5</v>
      </c>
      <c r="C1714" t="s">
        <v>25</v>
      </c>
      <c r="D1714">
        <v>0</v>
      </c>
    </row>
    <row r="1715" spans="1:4" x14ac:dyDescent="0.35">
      <c r="A1715" t="s">
        <v>37</v>
      </c>
      <c r="B1715" t="s">
        <v>5</v>
      </c>
      <c r="C1715" t="s">
        <v>25</v>
      </c>
      <c r="D1715">
        <v>0</v>
      </c>
    </row>
    <row r="1716" spans="1:4" x14ac:dyDescent="0.35">
      <c r="A1716" t="s">
        <v>38</v>
      </c>
      <c r="B1716" t="s">
        <v>5</v>
      </c>
      <c r="C1716" t="s">
        <v>25</v>
      </c>
      <c r="D1716">
        <v>0</v>
      </c>
    </row>
    <row r="1717" spans="1:4" x14ac:dyDescent="0.35">
      <c r="A1717" t="s">
        <v>39</v>
      </c>
      <c r="B1717" t="s">
        <v>5</v>
      </c>
      <c r="C1717" t="s">
        <v>25</v>
      </c>
      <c r="D1717">
        <v>0</v>
      </c>
    </row>
    <row r="1718" spans="1:4" x14ac:dyDescent="0.35">
      <c r="A1718" t="s">
        <v>7</v>
      </c>
      <c r="B1718" t="s">
        <v>5</v>
      </c>
      <c r="C1718" t="s">
        <v>26</v>
      </c>
      <c r="D1718">
        <v>0</v>
      </c>
    </row>
    <row r="1719" spans="1:4" x14ac:dyDescent="0.35">
      <c r="A1719" t="s">
        <v>8</v>
      </c>
      <c r="B1719" t="s">
        <v>5</v>
      </c>
      <c r="C1719" t="s">
        <v>26</v>
      </c>
      <c r="D1719">
        <v>0</v>
      </c>
    </row>
    <row r="1720" spans="1:4" x14ac:dyDescent="0.35">
      <c r="A1720" t="s">
        <v>9</v>
      </c>
      <c r="B1720" t="s">
        <v>5</v>
      </c>
      <c r="C1720" t="s">
        <v>26</v>
      </c>
      <c r="D1720">
        <v>0</v>
      </c>
    </row>
    <row r="1721" spans="1:4" x14ac:dyDescent="0.35">
      <c r="A1721" t="s">
        <v>10</v>
      </c>
      <c r="B1721" t="s">
        <v>5</v>
      </c>
      <c r="C1721" t="s">
        <v>26</v>
      </c>
      <c r="D1721">
        <v>0</v>
      </c>
    </row>
    <row r="1722" spans="1:4" x14ac:dyDescent="0.35">
      <c r="A1722" t="s">
        <v>11</v>
      </c>
      <c r="B1722" t="s">
        <v>5</v>
      </c>
      <c r="C1722" t="s">
        <v>26</v>
      </c>
      <c r="D1722">
        <v>0</v>
      </c>
    </row>
    <row r="1723" spans="1:4" x14ac:dyDescent="0.35">
      <c r="A1723" t="s">
        <v>12</v>
      </c>
      <c r="B1723" t="s">
        <v>5</v>
      </c>
      <c r="C1723" t="s">
        <v>26</v>
      </c>
      <c r="D1723">
        <v>0</v>
      </c>
    </row>
    <row r="1724" spans="1:4" x14ac:dyDescent="0.35">
      <c r="A1724" t="s">
        <v>13</v>
      </c>
      <c r="B1724" t="s">
        <v>5</v>
      </c>
      <c r="C1724" t="s">
        <v>26</v>
      </c>
      <c r="D1724">
        <v>0</v>
      </c>
    </row>
    <row r="1725" spans="1:4" x14ac:dyDescent="0.35">
      <c r="A1725" t="s">
        <v>14</v>
      </c>
      <c r="B1725" t="s">
        <v>5</v>
      </c>
      <c r="C1725" t="s">
        <v>26</v>
      </c>
      <c r="D1725">
        <v>0</v>
      </c>
    </row>
    <row r="1726" spans="1:4" x14ac:dyDescent="0.35">
      <c r="A1726" t="s">
        <v>15</v>
      </c>
      <c r="B1726" t="s">
        <v>5</v>
      </c>
      <c r="C1726" t="s">
        <v>26</v>
      </c>
      <c r="D1726">
        <v>0</v>
      </c>
    </row>
    <row r="1727" spans="1:4" x14ac:dyDescent="0.35">
      <c r="A1727" t="s">
        <v>16</v>
      </c>
      <c r="B1727" t="s">
        <v>5</v>
      </c>
      <c r="C1727" t="s">
        <v>26</v>
      </c>
      <c r="D1727">
        <v>0</v>
      </c>
    </row>
    <row r="1728" spans="1:4" x14ac:dyDescent="0.35">
      <c r="A1728" t="s">
        <v>17</v>
      </c>
      <c r="B1728" t="s">
        <v>5</v>
      </c>
      <c r="C1728" t="s">
        <v>26</v>
      </c>
      <c r="D1728">
        <v>0</v>
      </c>
    </row>
    <row r="1729" spans="1:4" x14ac:dyDescent="0.35">
      <c r="A1729" t="s">
        <v>18</v>
      </c>
      <c r="B1729" t="s">
        <v>5</v>
      </c>
      <c r="C1729" t="s">
        <v>26</v>
      </c>
      <c r="D1729">
        <v>0</v>
      </c>
    </row>
    <row r="1730" spans="1:4" x14ac:dyDescent="0.35">
      <c r="A1730" t="s">
        <v>19</v>
      </c>
      <c r="B1730" t="s">
        <v>5</v>
      </c>
      <c r="C1730" t="s">
        <v>26</v>
      </c>
      <c r="D1730">
        <v>0</v>
      </c>
    </row>
    <row r="1731" spans="1:4" x14ac:dyDescent="0.35">
      <c r="A1731" t="s">
        <v>20</v>
      </c>
      <c r="B1731" t="s">
        <v>5</v>
      </c>
      <c r="C1731" t="s">
        <v>26</v>
      </c>
      <c r="D1731">
        <v>0</v>
      </c>
    </row>
    <row r="1732" spans="1:4" x14ac:dyDescent="0.35">
      <c r="A1732" t="s">
        <v>21</v>
      </c>
      <c r="B1732" t="s">
        <v>5</v>
      </c>
      <c r="C1732" t="s">
        <v>26</v>
      </c>
      <c r="D1732">
        <v>0</v>
      </c>
    </row>
    <row r="1733" spans="1:4" x14ac:dyDescent="0.35">
      <c r="A1733" t="s">
        <v>22</v>
      </c>
      <c r="B1733" t="s">
        <v>5</v>
      </c>
      <c r="C1733" t="s">
        <v>26</v>
      </c>
      <c r="D1733">
        <v>0</v>
      </c>
    </row>
    <row r="1734" spans="1:4" x14ac:dyDescent="0.35">
      <c r="A1734" t="s">
        <v>23</v>
      </c>
      <c r="B1734" t="s">
        <v>5</v>
      </c>
      <c r="C1734" t="s">
        <v>26</v>
      </c>
      <c r="D1734">
        <v>0</v>
      </c>
    </row>
    <row r="1735" spans="1:4" x14ac:dyDescent="0.35">
      <c r="A1735" t="s">
        <v>24</v>
      </c>
      <c r="B1735" t="s">
        <v>5</v>
      </c>
      <c r="C1735" t="s">
        <v>26</v>
      </c>
      <c r="D1735">
        <v>0</v>
      </c>
    </row>
    <row r="1736" spans="1:4" x14ac:dyDescent="0.35">
      <c r="A1736" t="s">
        <v>25</v>
      </c>
      <c r="B1736" t="s">
        <v>5</v>
      </c>
      <c r="C1736" t="s">
        <v>26</v>
      </c>
      <c r="D1736">
        <v>0</v>
      </c>
    </row>
    <row r="1737" spans="1:4" x14ac:dyDescent="0.35">
      <c r="A1737" t="s">
        <v>26</v>
      </c>
      <c r="B1737" t="s">
        <v>5</v>
      </c>
      <c r="C1737" t="s">
        <v>26</v>
      </c>
      <c r="D1737">
        <v>0</v>
      </c>
    </row>
    <row r="1738" spans="1:4" x14ac:dyDescent="0.35">
      <c r="A1738" t="s">
        <v>27</v>
      </c>
      <c r="B1738" t="s">
        <v>5</v>
      </c>
      <c r="C1738" t="s">
        <v>26</v>
      </c>
      <c r="D1738">
        <v>0</v>
      </c>
    </row>
    <row r="1739" spans="1:4" x14ac:dyDescent="0.35">
      <c r="A1739" t="s">
        <v>28</v>
      </c>
      <c r="B1739" t="s">
        <v>5</v>
      </c>
      <c r="C1739" t="s">
        <v>26</v>
      </c>
      <c r="D1739">
        <v>0</v>
      </c>
    </row>
    <row r="1740" spans="1:4" x14ac:dyDescent="0.35">
      <c r="A1740" t="s">
        <v>29</v>
      </c>
      <c r="B1740" t="s">
        <v>5</v>
      </c>
      <c r="C1740" t="s">
        <v>26</v>
      </c>
      <c r="D1740">
        <v>0</v>
      </c>
    </row>
    <row r="1741" spans="1:4" x14ac:dyDescent="0.35">
      <c r="A1741" t="s">
        <v>30</v>
      </c>
      <c r="B1741" t="s">
        <v>5</v>
      </c>
      <c r="C1741" t="s">
        <v>26</v>
      </c>
      <c r="D1741">
        <v>0</v>
      </c>
    </row>
    <row r="1742" spans="1:4" x14ac:dyDescent="0.35">
      <c r="A1742" t="s">
        <v>31</v>
      </c>
      <c r="B1742" t="s">
        <v>5</v>
      </c>
      <c r="C1742" t="s">
        <v>26</v>
      </c>
      <c r="D1742">
        <v>0</v>
      </c>
    </row>
    <row r="1743" spans="1:4" x14ac:dyDescent="0.35">
      <c r="A1743" t="s">
        <v>32</v>
      </c>
      <c r="B1743" t="s">
        <v>5</v>
      </c>
      <c r="C1743" t="s">
        <v>26</v>
      </c>
      <c r="D1743">
        <v>0</v>
      </c>
    </row>
    <row r="1744" spans="1:4" x14ac:dyDescent="0.35">
      <c r="A1744" t="s">
        <v>33</v>
      </c>
      <c r="B1744" t="s">
        <v>5</v>
      </c>
      <c r="C1744" t="s">
        <v>26</v>
      </c>
      <c r="D1744">
        <v>0</v>
      </c>
    </row>
    <row r="1745" spans="1:4" x14ac:dyDescent="0.35">
      <c r="A1745" t="s">
        <v>34</v>
      </c>
      <c r="B1745" t="s">
        <v>5</v>
      </c>
      <c r="C1745" t="s">
        <v>26</v>
      </c>
      <c r="D1745">
        <v>0</v>
      </c>
    </row>
    <row r="1746" spans="1:4" x14ac:dyDescent="0.35">
      <c r="A1746" t="s">
        <v>35</v>
      </c>
      <c r="B1746" t="s">
        <v>5</v>
      </c>
      <c r="C1746" t="s">
        <v>26</v>
      </c>
      <c r="D1746">
        <v>0</v>
      </c>
    </row>
    <row r="1747" spans="1:4" x14ac:dyDescent="0.35">
      <c r="A1747" t="s">
        <v>36</v>
      </c>
      <c r="B1747" t="s">
        <v>5</v>
      </c>
      <c r="C1747" t="s">
        <v>26</v>
      </c>
      <c r="D1747">
        <v>0</v>
      </c>
    </row>
    <row r="1748" spans="1:4" x14ac:dyDescent="0.35">
      <c r="A1748" t="s">
        <v>37</v>
      </c>
      <c r="B1748" t="s">
        <v>5</v>
      </c>
      <c r="C1748" t="s">
        <v>26</v>
      </c>
      <c r="D1748">
        <v>0</v>
      </c>
    </row>
    <row r="1749" spans="1:4" x14ac:dyDescent="0.35">
      <c r="A1749" t="s">
        <v>38</v>
      </c>
      <c r="B1749" t="s">
        <v>5</v>
      </c>
      <c r="C1749" t="s">
        <v>26</v>
      </c>
      <c r="D1749">
        <v>0</v>
      </c>
    </row>
    <row r="1750" spans="1:4" x14ac:dyDescent="0.35">
      <c r="A1750" t="s">
        <v>39</v>
      </c>
      <c r="B1750" t="s">
        <v>5</v>
      </c>
      <c r="C1750" t="s">
        <v>26</v>
      </c>
      <c r="D1750">
        <v>0</v>
      </c>
    </row>
    <row r="1751" spans="1:4" x14ac:dyDescent="0.35">
      <c r="A1751" t="s">
        <v>7</v>
      </c>
      <c r="B1751" t="s">
        <v>5</v>
      </c>
      <c r="C1751" t="s">
        <v>27</v>
      </c>
      <c r="D1751">
        <v>0</v>
      </c>
    </row>
    <row r="1752" spans="1:4" x14ac:dyDescent="0.35">
      <c r="A1752" t="s">
        <v>8</v>
      </c>
      <c r="B1752" t="s">
        <v>5</v>
      </c>
      <c r="C1752" t="s">
        <v>27</v>
      </c>
      <c r="D1752">
        <v>0</v>
      </c>
    </row>
    <row r="1753" spans="1:4" x14ac:dyDescent="0.35">
      <c r="A1753" t="s">
        <v>9</v>
      </c>
      <c r="B1753" t="s">
        <v>5</v>
      </c>
      <c r="C1753" t="s">
        <v>27</v>
      </c>
      <c r="D1753">
        <v>0</v>
      </c>
    </row>
    <row r="1754" spans="1:4" x14ac:dyDescent="0.35">
      <c r="A1754" t="s">
        <v>10</v>
      </c>
      <c r="B1754" t="s">
        <v>5</v>
      </c>
      <c r="C1754" t="s">
        <v>27</v>
      </c>
      <c r="D1754">
        <v>0</v>
      </c>
    </row>
    <row r="1755" spans="1:4" x14ac:dyDescent="0.35">
      <c r="A1755" t="s">
        <v>11</v>
      </c>
      <c r="B1755" t="s">
        <v>5</v>
      </c>
      <c r="C1755" t="s">
        <v>27</v>
      </c>
      <c r="D1755">
        <v>0</v>
      </c>
    </row>
    <row r="1756" spans="1:4" x14ac:dyDescent="0.35">
      <c r="A1756" t="s">
        <v>12</v>
      </c>
      <c r="B1756" t="s">
        <v>5</v>
      </c>
      <c r="C1756" t="s">
        <v>27</v>
      </c>
      <c r="D1756">
        <v>0</v>
      </c>
    </row>
    <row r="1757" spans="1:4" x14ac:dyDescent="0.35">
      <c r="A1757" t="s">
        <v>13</v>
      </c>
      <c r="B1757" t="s">
        <v>5</v>
      </c>
      <c r="C1757" t="s">
        <v>27</v>
      </c>
      <c r="D1757">
        <v>0</v>
      </c>
    </row>
    <row r="1758" spans="1:4" x14ac:dyDescent="0.35">
      <c r="A1758" t="s">
        <v>14</v>
      </c>
      <c r="B1758" t="s">
        <v>5</v>
      </c>
      <c r="C1758" t="s">
        <v>27</v>
      </c>
      <c r="D1758">
        <v>0</v>
      </c>
    </row>
    <row r="1759" spans="1:4" x14ac:dyDescent="0.35">
      <c r="A1759" t="s">
        <v>15</v>
      </c>
      <c r="B1759" t="s">
        <v>5</v>
      </c>
      <c r="C1759" t="s">
        <v>27</v>
      </c>
      <c r="D1759">
        <v>0</v>
      </c>
    </row>
    <row r="1760" spans="1:4" x14ac:dyDescent="0.35">
      <c r="A1760" t="s">
        <v>16</v>
      </c>
      <c r="B1760" t="s">
        <v>5</v>
      </c>
      <c r="C1760" t="s">
        <v>27</v>
      </c>
      <c r="D1760">
        <v>0</v>
      </c>
    </row>
    <row r="1761" spans="1:4" x14ac:dyDescent="0.35">
      <c r="A1761" t="s">
        <v>17</v>
      </c>
      <c r="B1761" t="s">
        <v>5</v>
      </c>
      <c r="C1761" t="s">
        <v>27</v>
      </c>
      <c r="D1761">
        <v>0</v>
      </c>
    </row>
    <row r="1762" spans="1:4" x14ac:dyDescent="0.35">
      <c r="A1762" t="s">
        <v>18</v>
      </c>
      <c r="B1762" t="s">
        <v>5</v>
      </c>
      <c r="C1762" t="s">
        <v>27</v>
      </c>
      <c r="D1762">
        <v>0</v>
      </c>
    </row>
    <row r="1763" spans="1:4" x14ac:dyDescent="0.35">
      <c r="A1763" t="s">
        <v>19</v>
      </c>
      <c r="B1763" t="s">
        <v>5</v>
      </c>
      <c r="C1763" t="s">
        <v>27</v>
      </c>
      <c r="D1763">
        <v>0</v>
      </c>
    </row>
    <row r="1764" spans="1:4" x14ac:dyDescent="0.35">
      <c r="A1764" t="s">
        <v>20</v>
      </c>
      <c r="B1764" t="s">
        <v>5</v>
      </c>
      <c r="C1764" t="s">
        <v>27</v>
      </c>
      <c r="D1764">
        <v>0</v>
      </c>
    </row>
    <row r="1765" spans="1:4" x14ac:dyDescent="0.35">
      <c r="A1765" t="s">
        <v>21</v>
      </c>
      <c r="B1765" t="s">
        <v>5</v>
      </c>
      <c r="C1765" t="s">
        <v>27</v>
      </c>
      <c r="D1765">
        <v>0</v>
      </c>
    </row>
    <row r="1766" spans="1:4" x14ac:dyDescent="0.35">
      <c r="A1766" t="s">
        <v>22</v>
      </c>
      <c r="B1766" t="s">
        <v>5</v>
      </c>
      <c r="C1766" t="s">
        <v>27</v>
      </c>
      <c r="D1766">
        <v>0</v>
      </c>
    </row>
    <row r="1767" spans="1:4" x14ac:dyDescent="0.35">
      <c r="A1767" t="s">
        <v>23</v>
      </c>
      <c r="B1767" t="s">
        <v>5</v>
      </c>
      <c r="C1767" t="s">
        <v>27</v>
      </c>
      <c r="D1767">
        <v>0</v>
      </c>
    </row>
    <row r="1768" spans="1:4" x14ac:dyDescent="0.35">
      <c r="A1768" t="s">
        <v>24</v>
      </c>
      <c r="B1768" t="s">
        <v>5</v>
      </c>
      <c r="C1768" t="s">
        <v>27</v>
      </c>
      <c r="D1768">
        <v>0</v>
      </c>
    </row>
    <row r="1769" spans="1:4" x14ac:dyDescent="0.35">
      <c r="A1769" t="s">
        <v>25</v>
      </c>
      <c r="B1769" t="s">
        <v>5</v>
      </c>
      <c r="C1769" t="s">
        <v>27</v>
      </c>
      <c r="D1769">
        <v>0</v>
      </c>
    </row>
    <row r="1770" spans="1:4" x14ac:dyDescent="0.35">
      <c r="A1770" t="s">
        <v>26</v>
      </c>
      <c r="B1770" t="s">
        <v>5</v>
      </c>
      <c r="C1770" t="s">
        <v>27</v>
      </c>
      <c r="D1770">
        <v>0</v>
      </c>
    </row>
    <row r="1771" spans="1:4" x14ac:dyDescent="0.35">
      <c r="A1771" t="s">
        <v>27</v>
      </c>
      <c r="B1771" t="s">
        <v>5</v>
      </c>
      <c r="C1771" t="s">
        <v>27</v>
      </c>
      <c r="D1771">
        <v>0</v>
      </c>
    </row>
    <row r="1772" spans="1:4" x14ac:dyDescent="0.35">
      <c r="A1772" t="s">
        <v>28</v>
      </c>
      <c r="B1772" t="s">
        <v>5</v>
      </c>
      <c r="C1772" t="s">
        <v>27</v>
      </c>
      <c r="D1772">
        <v>0</v>
      </c>
    </row>
    <row r="1773" spans="1:4" x14ac:dyDescent="0.35">
      <c r="A1773" t="s">
        <v>29</v>
      </c>
      <c r="B1773" t="s">
        <v>5</v>
      </c>
      <c r="C1773" t="s">
        <v>27</v>
      </c>
      <c r="D1773">
        <v>0</v>
      </c>
    </row>
    <row r="1774" spans="1:4" x14ac:dyDescent="0.35">
      <c r="A1774" t="s">
        <v>30</v>
      </c>
      <c r="B1774" t="s">
        <v>5</v>
      </c>
      <c r="C1774" t="s">
        <v>27</v>
      </c>
      <c r="D1774">
        <v>0</v>
      </c>
    </row>
    <row r="1775" spans="1:4" x14ac:dyDescent="0.35">
      <c r="A1775" t="s">
        <v>31</v>
      </c>
      <c r="B1775" t="s">
        <v>5</v>
      </c>
      <c r="C1775" t="s">
        <v>27</v>
      </c>
      <c r="D1775">
        <v>0</v>
      </c>
    </row>
    <row r="1776" spans="1:4" x14ac:dyDescent="0.35">
      <c r="A1776" t="s">
        <v>32</v>
      </c>
      <c r="B1776" t="s">
        <v>5</v>
      </c>
      <c r="C1776" t="s">
        <v>27</v>
      </c>
      <c r="D1776">
        <v>0</v>
      </c>
    </row>
    <row r="1777" spans="1:4" x14ac:dyDescent="0.35">
      <c r="A1777" t="s">
        <v>33</v>
      </c>
      <c r="B1777" t="s">
        <v>5</v>
      </c>
      <c r="C1777" t="s">
        <v>27</v>
      </c>
      <c r="D1777">
        <v>0</v>
      </c>
    </row>
    <row r="1778" spans="1:4" x14ac:dyDescent="0.35">
      <c r="A1778" t="s">
        <v>34</v>
      </c>
      <c r="B1778" t="s">
        <v>5</v>
      </c>
      <c r="C1778" t="s">
        <v>27</v>
      </c>
      <c r="D1778">
        <v>0</v>
      </c>
    </row>
    <row r="1779" spans="1:4" x14ac:dyDescent="0.35">
      <c r="A1779" t="s">
        <v>35</v>
      </c>
      <c r="B1779" t="s">
        <v>5</v>
      </c>
      <c r="C1779" t="s">
        <v>27</v>
      </c>
      <c r="D1779">
        <v>0</v>
      </c>
    </row>
    <row r="1780" spans="1:4" x14ac:dyDescent="0.35">
      <c r="A1780" t="s">
        <v>36</v>
      </c>
      <c r="B1780" t="s">
        <v>5</v>
      </c>
      <c r="C1780" t="s">
        <v>27</v>
      </c>
      <c r="D1780">
        <v>0</v>
      </c>
    </row>
    <row r="1781" spans="1:4" x14ac:dyDescent="0.35">
      <c r="A1781" t="s">
        <v>37</v>
      </c>
      <c r="B1781" t="s">
        <v>5</v>
      </c>
      <c r="C1781" t="s">
        <v>27</v>
      </c>
      <c r="D1781">
        <v>0</v>
      </c>
    </row>
    <row r="1782" spans="1:4" x14ac:dyDescent="0.35">
      <c r="A1782" t="s">
        <v>38</v>
      </c>
      <c r="B1782" t="s">
        <v>5</v>
      </c>
      <c r="C1782" t="s">
        <v>27</v>
      </c>
      <c r="D1782">
        <v>0</v>
      </c>
    </row>
    <row r="1783" spans="1:4" x14ac:dyDescent="0.35">
      <c r="A1783" t="s">
        <v>39</v>
      </c>
      <c r="B1783" t="s">
        <v>5</v>
      </c>
      <c r="C1783" t="s">
        <v>27</v>
      </c>
      <c r="D1783">
        <v>0</v>
      </c>
    </row>
    <row r="1784" spans="1:4" x14ac:dyDescent="0.35">
      <c r="A1784" t="s">
        <v>7</v>
      </c>
      <c r="B1784" t="s">
        <v>5</v>
      </c>
      <c r="C1784" t="s">
        <v>28</v>
      </c>
      <c r="D1784">
        <v>0</v>
      </c>
    </row>
    <row r="1785" spans="1:4" x14ac:dyDescent="0.35">
      <c r="A1785" t="s">
        <v>8</v>
      </c>
      <c r="B1785" t="s">
        <v>5</v>
      </c>
      <c r="C1785" t="s">
        <v>28</v>
      </c>
      <c r="D1785">
        <v>0</v>
      </c>
    </row>
    <row r="1786" spans="1:4" x14ac:dyDescent="0.35">
      <c r="A1786" t="s">
        <v>9</v>
      </c>
      <c r="B1786" t="s">
        <v>5</v>
      </c>
      <c r="C1786" t="s">
        <v>28</v>
      </c>
      <c r="D1786">
        <v>0</v>
      </c>
    </row>
    <row r="1787" spans="1:4" x14ac:dyDescent="0.35">
      <c r="A1787" t="s">
        <v>10</v>
      </c>
      <c r="B1787" t="s">
        <v>5</v>
      </c>
      <c r="C1787" t="s">
        <v>28</v>
      </c>
      <c r="D1787">
        <v>0</v>
      </c>
    </row>
    <row r="1788" spans="1:4" x14ac:dyDescent="0.35">
      <c r="A1788" t="s">
        <v>11</v>
      </c>
      <c r="B1788" t="s">
        <v>5</v>
      </c>
      <c r="C1788" t="s">
        <v>28</v>
      </c>
      <c r="D1788">
        <v>0</v>
      </c>
    </row>
    <row r="1789" spans="1:4" x14ac:dyDescent="0.35">
      <c r="A1789" t="s">
        <v>12</v>
      </c>
      <c r="B1789" t="s">
        <v>5</v>
      </c>
      <c r="C1789" t="s">
        <v>28</v>
      </c>
      <c r="D1789">
        <v>0</v>
      </c>
    </row>
    <row r="1790" spans="1:4" x14ac:dyDescent="0.35">
      <c r="A1790" t="s">
        <v>13</v>
      </c>
      <c r="B1790" t="s">
        <v>5</v>
      </c>
      <c r="C1790" t="s">
        <v>28</v>
      </c>
      <c r="D1790">
        <v>0</v>
      </c>
    </row>
    <row r="1791" spans="1:4" x14ac:dyDescent="0.35">
      <c r="A1791" t="s">
        <v>14</v>
      </c>
      <c r="B1791" t="s">
        <v>5</v>
      </c>
      <c r="C1791" t="s">
        <v>28</v>
      </c>
      <c r="D1791">
        <v>0</v>
      </c>
    </row>
    <row r="1792" spans="1:4" x14ac:dyDescent="0.35">
      <c r="A1792" t="s">
        <v>15</v>
      </c>
      <c r="B1792" t="s">
        <v>5</v>
      </c>
      <c r="C1792" t="s">
        <v>28</v>
      </c>
      <c r="D1792">
        <v>0</v>
      </c>
    </row>
    <row r="1793" spans="1:4" x14ac:dyDescent="0.35">
      <c r="A1793" t="s">
        <v>16</v>
      </c>
      <c r="B1793" t="s">
        <v>5</v>
      </c>
      <c r="C1793" t="s">
        <v>28</v>
      </c>
      <c r="D1793">
        <v>0</v>
      </c>
    </row>
    <row r="1794" spans="1:4" x14ac:dyDescent="0.35">
      <c r="A1794" t="s">
        <v>17</v>
      </c>
      <c r="B1794" t="s">
        <v>5</v>
      </c>
      <c r="C1794" t="s">
        <v>28</v>
      </c>
      <c r="D1794">
        <v>0</v>
      </c>
    </row>
    <row r="1795" spans="1:4" x14ac:dyDescent="0.35">
      <c r="A1795" t="s">
        <v>18</v>
      </c>
      <c r="B1795" t="s">
        <v>5</v>
      </c>
      <c r="C1795" t="s">
        <v>28</v>
      </c>
      <c r="D1795">
        <v>0</v>
      </c>
    </row>
    <row r="1796" spans="1:4" x14ac:dyDescent="0.35">
      <c r="A1796" t="s">
        <v>19</v>
      </c>
      <c r="B1796" t="s">
        <v>5</v>
      </c>
      <c r="C1796" t="s">
        <v>28</v>
      </c>
      <c r="D1796">
        <v>0</v>
      </c>
    </row>
    <row r="1797" spans="1:4" x14ac:dyDescent="0.35">
      <c r="A1797" t="s">
        <v>20</v>
      </c>
      <c r="B1797" t="s">
        <v>5</v>
      </c>
      <c r="C1797" t="s">
        <v>28</v>
      </c>
      <c r="D1797">
        <v>0</v>
      </c>
    </row>
    <row r="1798" spans="1:4" x14ac:dyDescent="0.35">
      <c r="A1798" t="s">
        <v>21</v>
      </c>
      <c r="B1798" t="s">
        <v>5</v>
      </c>
      <c r="C1798" t="s">
        <v>28</v>
      </c>
      <c r="D1798">
        <v>0</v>
      </c>
    </row>
    <row r="1799" spans="1:4" x14ac:dyDescent="0.35">
      <c r="A1799" t="s">
        <v>22</v>
      </c>
      <c r="B1799" t="s">
        <v>5</v>
      </c>
      <c r="C1799" t="s">
        <v>28</v>
      </c>
      <c r="D1799">
        <v>0</v>
      </c>
    </row>
    <row r="1800" spans="1:4" x14ac:dyDescent="0.35">
      <c r="A1800" t="s">
        <v>23</v>
      </c>
      <c r="B1800" t="s">
        <v>5</v>
      </c>
      <c r="C1800" t="s">
        <v>28</v>
      </c>
      <c r="D1800">
        <v>0</v>
      </c>
    </row>
    <row r="1801" spans="1:4" x14ac:dyDescent="0.35">
      <c r="A1801" t="s">
        <v>24</v>
      </c>
      <c r="B1801" t="s">
        <v>5</v>
      </c>
      <c r="C1801" t="s">
        <v>28</v>
      </c>
      <c r="D1801">
        <v>0</v>
      </c>
    </row>
    <row r="1802" spans="1:4" x14ac:dyDescent="0.35">
      <c r="A1802" t="s">
        <v>25</v>
      </c>
      <c r="B1802" t="s">
        <v>5</v>
      </c>
      <c r="C1802" t="s">
        <v>28</v>
      </c>
      <c r="D1802">
        <v>0</v>
      </c>
    </row>
    <row r="1803" spans="1:4" x14ac:dyDescent="0.35">
      <c r="A1803" t="s">
        <v>26</v>
      </c>
      <c r="B1803" t="s">
        <v>5</v>
      </c>
      <c r="C1803" t="s">
        <v>28</v>
      </c>
      <c r="D1803">
        <v>0</v>
      </c>
    </row>
    <row r="1804" spans="1:4" x14ac:dyDescent="0.35">
      <c r="A1804" t="s">
        <v>27</v>
      </c>
      <c r="B1804" t="s">
        <v>5</v>
      </c>
      <c r="C1804" t="s">
        <v>28</v>
      </c>
      <c r="D1804">
        <v>0</v>
      </c>
    </row>
    <row r="1805" spans="1:4" x14ac:dyDescent="0.35">
      <c r="A1805" t="s">
        <v>28</v>
      </c>
      <c r="B1805" t="s">
        <v>5</v>
      </c>
      <c r="C1805" t="s">
        <v>28</v>
      </c>
      <c r="D1805">
        <v>0</v>
      </c>
    </row>
    <row r="1806" spans="1:4" x14ac:dyDescent="0.35">
      <c r="A1806" t="s">
        <v>29</v>
      </c>
      <c r="B1806" t="s">
        <v>5</v>
      </c>
      <c r="C1806" t="s">
        <v>28</v>
      </c>
      <c r="D1806">
        <v>0</v>
      </c>
    </row>
    <row r="1807" spans="1:4" x14ac:dyDescent="0.35">
      <c r="A1807" t="s">
        <v>30</v>
      </c>
      <c r="B1807" t="s">
        <v>5</v>
      </c>
      <c r="C1807" t="s">
        <v>28</v>
      </c>
      <c r="D1807">
        <v>0</v>
      </c>
    </row>
    <row r="1808" spans="1:4" x14ac:dyDescent="0.35">
      <c r="A1808" t="s">
        <v>31</v>
      </c>
      <c r="B1808" t="s">
        <v>5</v>
      </c>
      <c r="C1808" t="s">
        <v>28</v>
      </c>
      <c r="D1808">
        <v>0</v>
      </c>
    </row>
    <row r="1809" spans="1:4" x14ac:dyDescent="0.35">
      <c r="A1809" t="s">
        <v>32</v>
      </c>
      <c r="B1809" t="s">
        <v>5</v>
      </c>
      <c r="C1809" t="s">
        <v>28</v>
      </c>
      <c r="D1809">
        <v>0</v>
      </c>
    </row>
    <row r="1810" spans="1:4" x14ac:dyDescent="0.35">
      <c r="A1810" t="s">
        <v>33</v>
      </c>
      <c r="B1810" t="s">
        <v>5</v>
      </c>
      <c r="C1810" t="s">
        <v>28</v>
      </c>
      <c r="D1810">
        <v>0</v>
      </c>
    </row>
    <row r="1811" spans="1:4" x14ac:dyDescent="0.35">
      <c r="A1811" t="s">
        <v>34</v>
      </c>
      <c r="B1811" t="s">
        <v>5</v>
      </c>
      <c r="C1811" t="s">
        <v>28</v>
      </c>
      <c r="D1811">
        <v>0</v>
      </c>
    </row>
    <row r="1812" spans="1:4" x14ac:dyDescent="0.35">
      <c r="A1812" t="s">
        <v>35</v>
      </c>
      <c r="B1812" t="s">
        <v>5</v>
      </c>
      <c r="C1812" t="s">
        <v>28</v>
      </c>
      <c r="D1812">
        <v>0</v>
      </c>
    </row>
    <row r="1813" spans="1:4" x14ac:dyDescent="0.35">
      <c r="A1813" t="s">
        <v>36</v>
      </c>
      <c r="B1813" t="s">
        <v>5</v>
      </c>
      <c r="C1813" t="s">
        <v>28</v>
      </c>
      <c r="D1813">
        <v>0</v>
      </c>
    </row>
    <row r="1814" spans="1:4" x14ac:dyDescent="0.35">
      <c r="A1814" t="s">
        <v>37</v>
      </c>
      <c r="B1814" t="s">
        <v>5</v>
      </c>
      <c r="C1814" t="s">
        <v>28</v>
      </c>
      <c r="D1814">
        <v>0</v>
      </c>
    </row>
    <row r="1815" spans="1:4" x14ac:dyDescent="0.35">
      <c r="A1815" t="s">
        <v>38</v>
      </c>
      <c r="B1815" t="s">
        <v>5</v>
      </c>
      <c r="C1815" t="s">
        <v>28</v>
      </c>
      <c r="D1815">
        <v>0</v>
      </c>
    </row>
    <row r="1816" spans="1:4" x14ac:dyDescent="0.35">
      <c r="A1816" t="s">
        <v>39</v>
      </c>
      <c r="B1816" t="s">
        <v>5</v>
      </c>
      <c r="C1816" t="s">
        <v>28</v>
      </c>
      <c r="D1816">
        <v>0</v>
      </c>
    </row>
    <row r="1817" spans="1:4" x14ac:dyDescent="0.35">
      <c r="A1817" t="s">
        <v>7</v>
      </c>
      <c r="B1817" t="s">
        <v>5</v>
      </c>
      <c r="C1817" t="s">
        <v>29</v>
      </c>
      <c r="D1817">
        <v>0</v>
      </c>
    </row>
    <row r="1818" spans="1:4" x14ac:dyDescent="0.35">
      <c r="A1818" t="s">
        <v>8</v>
      </c>
      <c r="B1818" t="s">
        <v>5</v>
      </c>
      <c r="C1818" t="s">
        <v>29</v>
      </c>
      <c r="D1818">
        <v>0</v>
      </c>
    </row>
    <row r="1819" spans="1:4" x14ac:dyDescent="0.35">
      <c r="A1819" t="s">
        <v>9</v>
      </c>
      <c r="B1819" t="s">
        <v>5</v>
      </c>
      <c r="C1819" t="s">
        <v>29</v>
      </c>
      <c r="D1819">
        <v>0</v>
      </c>
    </row>
    <row r="1820" spans="1:4" x14ac:dyDescent="0.35">
      <c r="A1820" t="s">
        <v>10</v>
      </c>
      <c r="B1820" t="s">
        <v>5</v>
      </c>
      <c r="C1820" t="s">
        <v>29</v>
      </c>
      <c r="D1820">
        <v>0</v>
      </c>
    </row>
    <row r="1821" spans="1:4" x14ac:dyDescent="0.35">
      <c r="A1821" t="s">
        <v>11</v>
      </c>
      <c r="B1821" t="s">
        <v>5</v>
      </c>
      <c r="C1821" t="s">
        <v>29</v>
      </c>
      <c r="D1821">
        <v>0</v>
      </c>
    </row>
    <row r="1822" spans="1:4" x14ac:dyDescent="0.35">
      <c r="A1822" t="s">
        <v>12</v>
      </c>
      <c r="B1822" t="s">
        <v>5</v>
      </c>
      <c r="C1822" t="s">
        <v>29</v>
      </c>
      <c r="D1822">
        <v>0</v>
      </c>
    </row>
    <row r="1823" spans="1:4" x14ac:dyDescent="0.35">
      <c r="A1823" t="s">
        <v>13</v>
      </c>
      <c r="B1823" t="s">
        <v>5</v>
      </c>
      <c r="C1823" t="s">
        <v>29</v>
      </c>
      <c r="D1823">
        <v>0</v>
      </c>
    </row>
    <row r="1824" spans="1:4" x14ac:dyDescent="0.35">
      <c r="A1824" t="s">
        <v>14</v>
      </c>
      <c r="B1824" t="s">
        <v>5</v>
      </c>
      <c r="C1824" t="s">
        <v>29</v>
      </c>
      <c r="D1824">
        <v>0</v>
      </c>
    </row>
    <row r="1825" spans="1:4" x14ac:dyDescent="0.35">
      <c r="A1825" t="s">
        <v>15</v>
      </c>
      <c r="B1825" t="s">
        <v>5</v>
      </c>
      <c r="C1825" t="s">
        <v>29</v>
      </c>
      <c r="D1825">
        <v>0</v>
      </c>
    </row>
    <row r="1826" spans="1:4" x14ac:dyDescent="0.35">
      <c r="A1826" t="s">
        <v>16</v>
      </c>
      <c r="B1826" t="s">
        <v>5</v>
      </c>
      <c r="C1826" t="s">
        <v>29</v>
      </c>
      <c r="D1826">
        <v>0</v>
      </c>
    </row>
    <row r="1827" spans="1:4" x14ac:dyDescent="0.35">
      <c r="A1827" t="s">
        <v>17</v>
      </c>
      <c r="B1827" t="s">
        <v>5</v>
      </c>
      <c r="C1827" t="s">
        <v>29</v>
      </c>
      <c r="D1827">
        <v>0</v>
      </c>
    </row>
    <row r="1828" spans="1:4" x14ac:dyDescent="0.35">
      <c r="A1828" t="s">
        <v>18</v>
      </c>
      <c r="B1828" t="s">
        <v>5</v>
      </c>
      <c r="C1828" t="s">
        <v>29</v>
      </c>
      <c r="D1828">
        <v>0</v>
      </c>
    </row>
    <row r="1829" spans="1:4" x14ac:dyDescent="0.35">
      <c r="A1829" t="s">
        <v>19</v>
      </c>
      <c r="B1829" t="s">
        <v>5</v>
      </c>
      <c r="C1829" t="s">
        <v>29</v>
      </c>
      <c r="D1829">
        <v>0</v>
      </c>
    </row>
    <row r="1830" spans="1:4" x14ac:dyDescent="0.35">
      <c r="A1830" t="s">
        <v>20</v>
      </c>
      <c r="B1830" t="s">
        <v>5</v>
      </c>
      <c r="C1830" t="s">
        <v>29</v>
      </c>
      <c r="D1830">
        <v>0</v>
      </c>
    </row>
    <row r="1831" spans="1:4" x14ac:dyDescent="0.35">
      <c r="A1831" t="s">
        <v>21</v>
      </c>
      <c r="B1831" t="s">
        <v>5</v>
      </c>
      <c r="C1831" t="s">
        <v>29</v>
      </c>
      <c r="D1831">
        <v>0</v>
      </c>
    </row>
    <row r="1832" spans="1:4" x14ac:dyDescent="0.35">
      <c r="A1832" t="s">
        <v>22</v>
      </c>
      <c r="B1832" t="s">
        <v>5</v>
      </c>
      <c r="C1832" t="s">
        <v>29</v>
      </c>
      <c r="D1832">
        <v>0</v>
      </c>
    </row>
    <row r="1833" spans="1:4" x14ac:dyDescent="0.35">
      <c r="A1833" t="s">
        <v>23</v>
      </c>
      <c r="B1833" t="s">
        <v>5</v>
      </c>
      <c r="C1833" t="s">
        <v>29</v>
      </c>
      <c r="D1833">
        <v>0</v>
      </c>
    </row>
    <row r="1834" spans="1:4" x14ac:dyDescent="0.35">
      <c r="A1834" t="s">
        <v>24</v>
      </c>
      <c r="B1834" t="s">
        <v>5</v>
      </c>
      <c r="C1834" t="s">
        <v>29</v>
      </c>
      <c r="D1834">
        <v>0</v>
      </c>
    </row>
    <row r="1835" spans="1:4" x14ac:dyDescent="0.35">
      <c r="A1835" t="s">
        <v>25</v>
      </c>
      <c r="B1835" t="s">
        <v>5</v>
      </c>
      <c r="C1835" t="s">
        <v>29</v>
      </c>
      <c r="D1835">
        <v>0</v>
      </c>
    </row>
    <row r="1836" spans="1:4" x14ac:dyDescent="0.35">
      <c r="A1836" t="s">
        <v>26</v>
      </c>
      <c r="B1836" t="s">
        <v>5</v>
      </c>
      <c r="C1836" t="s">
        <v>29</v>
      </c>
      <c r="D1836">
        <v>0</v>
      </c>
    </row>
    <row r="1837" spans="1:4" x14ac:dyDescent="0.35">
      <c r="A1837" t="s">
        <v>27</v>
      </c>
      <c r="B1837" t="s">
        <v>5</v>
      </c>
      <c r="C1837" t="s">
        <v>29</v>
      </c>
      <c r="D1837">
        <v>0</v>
      </c>
    </row>
    <row r="1838" spans="1:4" x14ac:dyDescent="0.35">
      <c r="A1838" t="s">
        <v>28</v>
      </c>
      <c r="B1838" t="s">
        <v>5</v>
      </c>
      <c r="C1838" t="s">
        <v>29</v>
      </c>
      <c r="D1838">
        <v>0</v>
      </c>
    </row>
    <row r="1839" spans="1:4" x14ac:dyDescent="0.35">
      <c r="A1839" t="s">
        <v>29</v>
      </c>
      <c r="B1839" t="s">
        <v>5</v>
      </c>
      <c r="C1839" t="s">
        <v>29</v>
      </c>
      <c r="D1839">
        <v>0</v>
      </c>
    </row>
    <row r="1840" spans="1:4" x14ac:dyDescent="0.35">
      <c r="A1840" t="s">
        <v>30</v>
      </c>
      <c r="B1840" t="s">
        <v>5</v>
      </c>
      <c r="C1840" t="s">
        <v>29</v>
      </c>
      <c r="D1840">
        <v>0</v>
      </c>
    </row>
    <row r="1841" spans="1:4" x14ac:dyDescent="0.35">
      <c r="A1841" t="s">
        <v>31</v>
      </c>
      <c r="B1841" t="s">
        <v>5</v>
      </c>
      <c r="C1841" t="s">
        <v>29</v>
      </c>
      <c r="D1841">
        <v>0</v>
      </c>
    </row>
    <row r="1842" spans="1:4" x14ac:dyDescent="0.35">
      <c r="A1842" t="s">
        <v>32</v>
      </c>
      <c r="B1842" t="s">
        <v>5</v>
      </c>
      <c r="C1842" t="s">
        <v>29</v>
      </c>
      <c r="D1842">
        <v>0</v>
      </c>
    </row>
    <row r="1843" spans="1:4" x14ac:dyDescent="0.35">
      <c r="A1843" t="s">
        <v>33</v>
      </c>
      <c r="B1843" t="s">
        <v>5</v>
      </c>
      <c r="C1843" t="s">
        <v>29</v>
      </c>
      <c r="D1843">
        <v>0</v>
      </c>
    </row>
    <row r="1844" spans="1:4" x14ac:dyDescent="0.35">
      <c r="A1844" t="s">
        <v>34</v>
      </c>
      <c r="B1844" t="s">
        <v>5</v>
      </c>
      <c r="C1844" t="s">
        <v>29</v>
      </c>
      <c r="D1844">
        <v>0</v>
      </c>
    </row>
    <row r="1845" spans="1:4" x14ac:dyDescent="0.35">
      <c r="A1845" t="s">
        <v>35</v>
      </c>
      <c r="B1845" t="s">
        <v>5</v>
      </c>
      <c r="C1845" t="s">
        <v>29</v>
      </c>
      <c r="D1845">
        <v>0</v>
      </c>
    </row>
    <row r="1846" spans="1:4" x14ac:dyDescent="0.35">
      <c r="A1846" t="s">
        <v>36</v>
      </c>
      <c r="B1846" t="s">
        <v>5</v>
      </c>
      <c r="C1846" t="s">
        <v>29</v>
      </c>
      <c r="D1846">
        <v>0</v>
      </c>
    </row>
    <row r="1847" spans="1:4" x14ac:dyDescent="0.35">
      <c r="A1847" t="s">
        <v>37</v>
      </c>
      <c r="B1847" t="s">
        <v>5</v>
      </c>
      <c r="C1847" t="s">
        <v>29</v>
      </c>
      <c r="D1847">
        <v>0</v>
      </c>
    </row>
    <row r="1848" spans="1:4" x14ac:dyDescent="0.35">
      <c r="A1848" t="s">
        <v>38</v>
      </c>
      <c r="B1848" t="s">
        <v>5</v>
      </c>
      <c r="C1848" t="s">
        <v>29</v>
      </c>
      <c r="D1848">
        <v>0</v>
      </c>
    </row>
    <row r="1849" spans="1:4" x14ac:dyDescent="0.35">
      <c r="A1849" t="s">
        <v>39</v>
      </c>
      <c r="B1849" t="s">
        <v>5</v>
      </c>
      <c r="C1849" t="s">
        <v>29</v>
      </c>
      <c r="D1849">
        <v>0</v>
      </c>
    </row>
    <row r="1850" spans="1:4" x14ac:dyDescent="0.35">
      <c r="A1850" t="s">
        <v>7</v>
      </c>
      <c r="B1850" t="s">
        <v>5</v>
      </c>
      <c r="C1850" t="s">
        <v>30</v>
      </c>
      <c r="D1850">
        <v>0</v>
      </c>
    </row>
    <row r="1851" spans="1:4" x14ac:dyDescent="0.35">
      <c r="A1851" t="s">
        <v>8</v>
      </c>
      <c r="B1851" t="s">
        <v>5</v>
      </c>
      <c r="C1851" t="s">
        <v>30</v>
      </c>
      <c r="D1851">
        <v>0</v>
      </c>
    </row>
    <row r="1852" spans="1:4" x14ac:dyDescent="0.35">
      <c r="A1852" t="s">
        <v>9</v>
      </c>
      <c r="B1852" t="s">
        <v>5</v>
      </c>
      <c r="C1852" t="s">
        <v>30</v>
      </c>
      <c r="D1852">
        <v>0</v>
      </c>
    </row>
    <row r="1853" spans="1:4" x14ac:dyDescent="0.35">
      <c r="A1853" t="s">
        <v>10</v>
      </c>
      <c r="B1853" t="s">
        <v>5</v>
      </c>
      <c r="C1853" t="s">
        <v>30</v>
      </c>
      <c r="D1853">
        <v>0</v>
      </c>
    </row>
    <row r="1854" spans="1:4" x14ac:dyDescent="0.35">
      <c r="A1854" t="s">
        <v>11</v>
      </c>
      <c r="B1854" t="s">
        <v>5</v>
      </c>
      <c r="C1854" t="s">
        <v>30</v>
      </c>
      <c r="D1854">
        <v>0</v>
      </c>
    </row>
    <row r="1855" spans="1:4" x14ac:dyDescent="0.35">
      <c r="A1855" t="s">
        <v>12</v>
      </c>
      <c r="B1855" t="s">
        <v>5</v>
      </c>
      <c r="C1855" t="s">
        <v>30</v>
      </c>
      <c r="D1855">
        <v>0</v>
      </c>
    </row>
    <row r="1856" spans="1:4" x14ac:dyDescent="0.35">
      <c r="A1856" t="s">
        <v>13</v>
      </c>
      <c r="B1856" t="s">
        <v>5</v>
      </c>
      <c r="C1856" t="s">
        <v>30</v>
      </c>
      <c r="D1856">
        <v>0</v>
      </c>
    </row>
    <row r="1857" spans="1:4" x14ac:dyDescent="0.35">
      <c r="A1857" t="s">
        <v>14</v>
      </c>
      <c r="B1857" t="s">
        <v>5</v>
      </c>
      <c r="C1857" t="s">
        <v>30</v>
      </c>
      <c r="D1857">
        <v>0</v>
      </c>
    </row>
    <row r="1858" spans="1:4" x14ac:dyDescent="0.35">
      <c r="A1858" t="s">
        <v>15</v>
      </c>
      <c r="B1858" t="s">
        <v>5</v>
      </c>
      <c r="C1858" t="s">
        <v>30</v>
      </c>
      <c r="D1858">
        <v>0</v>
      </c>
    </row>
    <row r="1859" spans="1:4" x14ac:dyDescent="0.35">
      <c r="A1859" t="s">
        <v>16</v>
      </c>
      <c r="B1859" t="s">
        <v>5</v>
      </c>
      <c r="C1859" t="s">
        <v>30</v>
      </c>
      <c r="D1859">
        <v>0</v>
      </c>
    </row>
    <row r="1860" spans="1:4" x14ac:dyDescent="0.35">
      <c r="A1860" t="s">
        <v>17</v>
      </c>
      <c r="B1860" t="s">
        <v>5</v>
      </c>
      <c r="C1860" t="s">
        <v>30</v>
      </c>
      <c r="D1860">
        <v>0</v>
      </c>
    </row>
    <row r="1861" spans="1:4" x14ac:dyDescent="0.35">
      <c r="A1861" t="s">
        <v>18</v>
      </c>
      <c r="B1861" t="s">
        <v>5</v>
      </c>
      <c r="C1861" t="s">
        <v>30</v>
      </c>
      <c r="D1861">
        <v>0</v>
      </c>
    </row>
    <row r="1862" spans="1:4" x14ac:dyDescent="0.35">
      <c r="A1862" t="s">
        <v>19</v>
      </c>
      <c r="B1862" t="s">
        <v>5</v>
      </c>
      <c r="C1862" t="s">
        <v>30</v>
      </c>
      <c r="D1862">
        <v>0</v>
      </c>
    </row>
    <row r="1863" spans="1:4" x14ac:dyDescent="0.35">
      <c r="A1863" t="s">
        <v>20</v>
      </c>
      <c r="B1863" t="s">
        <v>5</v>
      </c>
      <c r="C1863" t="s">
        <v>30</v>
      </c>
      <c r="D1863">
        <v>0</v>
      </c>
    </row>
    <row r="1864" spans="1:4" x14ac:dyDescent="0.35">
      <c r="A1864" t="s">
        <v>21</v>
      </c>
      <c r="B1864" t="s">
        <v>5</v>
      </c>
      <c r="C1864" t="s">
        <v>30</v>
      </c>
      <c r="D1864">
        <v>0</v>
      </c>
    </row>
    <row r="1865" spans="1:4" x14ac:dyDescent="0.35">
      <c r="A1865" t="s">
        <v>22</v>
      </c>
      <c r="B1865" t="s">
        <v>5</v>
      </c>
      <c r="C1865" t="s">
        <v>30</v>
      </c>
      <c r="D1865">
        <v>0</v>
      </c>
    </row>
    <row r="1866" spans="1:4" x14ac:dyDescent="0.35">
      <c r="A1866" t="s">
        <v>23</v>
      </c>
      <c r="B1866" t="s">
        <v>5</v>
      </c>
      <c r="C1866" t="s">
        <v>30</v>
      </c>
      <c r="D1866">
        <v>0</v>
      </c>
    </row>
    <row r="1867" spans="1:4" x14ac:dyDescent="0.35">
      <c r="A1867" t="s">
        <v>24</v>
      </c>
      <c r="B1867" t="s">
        <v>5</v>
      </c>
      <c r="C1867" t="s">
        <v>30</v>
      </c>
      <c r="D1867">
        <v>0</v>
      </c>
    </row>
    <row r="1868" spans="1:4" x14ac:dyDescent="0.35">
      <c r="A1868" t="s">
        <v>25</v>
      </c>
      <c r="B1868" t="s">
        <v>5</v>
      </c>
      <c r="C1868" t="s">
        <v>30</v>
      </c>
      <c r="D1868">
        <v>0</v>
      </c>
    </row>
    <row r="1869" spans="1:4" x14ac:dyDescent="0.35">
      <c r="A1869" t="s">
        <v>26</v>
      </c>
      <c r="B1869" t="s">
        <v>5</v>
      </c>
      <c r="C1869" t="s">
        <v>30</v>
      </c>
      <c r="D1869">
        <v>0</v>
      </c>
    </row>
    <row r="1870" spans="1:4" x14ac:dyDescent="0.35">
      <c r="A1870" t="s">
        <v>27</v>
      </c>
      <c r="B1870" t="s">
        <v>5</v>
      </c>
      <c r="C1870" t="s">
        <v>30</v>
      </c>
      <c r="D1870">
        <v>0</v>
      </c>
    </row>
    <row r="1871" spans="1:4" x14ac:dyDescent="0.35">
      <c r="A1871" t="s">
        <v>28</v>
      </c>
      <c r="B1871" t="s">
        <v>5</v>
      </c>
      <c r="C1871" t="s">
        <v>30</v>
      </c>
      <c r="D1871">
        <v>0</v>
      </c>
    </row>
    <row r="1872" spans="1:4" x14ac:dyDescent="0.35">
      <c r="A1872" t="s">
        <v>29</v>
      </c>
      <c r="B1872" t="s">
        <v>5</v>
      </c>
      <c r="C1872" t="s">
        <v>30</v>
      </c>
      <c r="D1872">
        <v>0</v>
      </c>
    </row>
    <row r="1873" spans="1:4" x14ac:dyDescent="0.35">
      <c r="A1873" t="s">
        <v>30</v>
      </c>
      <c r="B1873" t="s">
        <v>5</v>
      </c>
      <c r="C1873" t="s">
        <v>30</v>
      </c>
      <c r="D1873">
        <v>0</v>
      </c>
    </row>
    <row r="1874" spans="1:4" x14ac:dyDescent="0.35">
      <c r="A1874" t="s">
        <v>31</v>
      </c>
      <c r="B1874" t="s">
        <v>5</v>
      </c>
      <c r="C1874" t="s">
        <v>30</v>
      </c>
      <c r="D1874">
        <v>0</v>
      </c>
    </row>
    <row r="1875" spans="1:4" x14ac:dyDescent="0.35">
      <c r="A1875" t="s">
        <v>32</v>
      </c>
      <c r="B1875" t="s">
        <v>5</v>
      </c>
      <c r="C1875" t="s">
        <v>30</v>
      </c>
      <c r="D1875">
        <v>0</v>
      </c>
    </row>
    <row r="1876" spans="1:4" x14ac:dyDescent="0.35">
      <c r="A1876" t="s">
        <v>33</v>
      </c>
      <c r="B1876" t="s">
        <v>5</v>
      </c>
      <c r="C1876" t="s">
        <v>30</v>
      </c>
      <c r="D1876">
        <v>0</v>
      </c>
    </row>
    <row r="1877" spans="1:4" x14ac:dyDescent="0.35">
      <c r="A1877" t="s">
        <v>34</v>
      </c>
      <c r="B1877" t="s">
        <v>5</v>
      </c>
      <c r="C1877" t="s">
        <v>30</v>
      </c>
      <c r="D1877">
        <v>0</v>
      </c>
    </row>
    <row r="1878" spans="1:4" x14ac:dyDescent="0.35">
      <c r="A1878" t="s">
        <v>35</v>
      </c>
      <c r="B1878" t="s">
        <v>5</v>
      </c>
      <c r="C1878" t="s">
        <v>30</v>
      </c>
      <c r="D1878">
        <v>0</v>
      </c>
    </row>
    <row r="1879" spans="1:4" x14ac:dyDescent="0.35">
      <c r="A1879" t="s">
        <v>36</v>
      </c>
      <c r="B1879" t="s">
        <v>5</v>
      </c>
      <c r="C1879" t="s">
        <v>30</v>
      </c>
      <c r="D1879">
        <v>0</v>
      </c>
    </row>
    <row r="1880" spans="1:4" x14ac:dyDescent="0.35">
      <c r="A1880" t="s">
        <v>37</v>
      </c>
      <c r="B1880" t="s">
        <v>5</v>
      </c>
      <c r="C1880" t="s">
        <v>30</v>
      </c>
      <c r="D1880">
        <v>0</v>
      </c>
    </row>
    <row r="1881" spans="1:4" x14ac:dyDescent="0.35">
      <c r="A1881" t="s">
        <v>38</v>
      </c>
      <c r="B1881" t="s">
        <v>5</v>
      </c>
      <c r="C1881" t="s">
        <v>30</v>
      </c>
      <c r="D1881">
        <v>0</v>
      </c>
    </row>
    <row r="1882" spans="1:4" x14ac:dyDescent="0.35">
      <c r="A1882" t="s">
        <v>39</v>
      </c>
      <c r="B1882" t="s">
        <v>5</v>
      </c>
      <c r="C1882" t="s">
        <v>30</v>
      </c>
      <c r="D1882">
        <v>0</v>
      </c>
    </row>
    <row r="1883" spans="1:4" x14ac:dyDescent="0.35">
      <c r="A1883" t="s">
        <v>7</v>
      </c>
      <c r="B1883" t="s">
        <v>5</v>
      </c>
      <c r="C1883" t="s">
        <v>31</v>
      </c>
      <c r="D1883">
        <v>0</v>
      </c>
    </row>
    <row r="1884" spans="1:4" x14ac:dyDescent="0.35">
      <c r="A1884" t="s">
        <v>8</v>
      </c>
      <c r="B1884" t="s">
        <v>5</v>
      </c>
      <c r="C1884" t="s">
        <v>31</v>
      </c>
      <c r="D1884">
        <v>0</v>
      </c>
    </row>
    <row r="1885" spans="1:4" x14ac:dyDescent="0.35">
      <c r="A1885" t="s">
        <v>9</v>
      </c>
      <c r="B1885" t="s">
        <v>5</v>
      </c>
      <c r="C1885" t="s">
        <v>31</v>
      </c>
      <c r="D1885">
        <v>0</v>
      </c>
    </row>
    <row r="1886" spans="1:4" x14ac:dyDescent="0.35">
      <c r="A1886" t="s">
        <v>10</v>
      </c>
      <c r="B1886" t="s">
        <v>5</v>
      </c>
      <c r="C1886" t="s">
        <v>31</v>
      </c>
      <c r="D1886">
        <v>0</v>
      </c>
    </row>
    <row r="1887" spans="1:4" x14ac:dyDescent="0.35">
      <c r="A1887" t="s">
        <v>11</v>
      </c>
      <c r="B1887" t="s">
        <v>5</v>
      </c>
      <c r="C1887" t="s">
        <v>31</v>
      </c>
      <c r="D1887">
        <v>0</v>
      </c>
    </row>
    <row r="1888" spans="1:4" x14ac:dyDescent="0.35">
      <c r="A1888" t="s">
        <v>12</v>
      </c>
      <c r="B1888" t="s">
        <v>5</v>
      </c>
      <c r="C1888" t="s">
        <v>31</v>
      </c>
      <c r="D1888">
        <v>0</v>
      </c>
    </row>
    <row r="1889" spans="1:4" x14ac:dyDescent="0.35">
      <c r="A1889" t="s">
        <v>13</v>
      </c>
      <c r="B1889" t="s">
        <v>5</v>
      </c>
      <c r="C1889" t="s">
        <v>31</v>
      </c>
      <c r="D1889">
        <v>0</v>
      </c>
    </row>
    <row r="1890" spans="1:4" x14ac:dyDescent="0.35">
      <c r="A1890" t="s">
        <v>14</v>
      </c>
      <c r="B1890" t="s">
        <v>5</v>
      </c>
      <c r="C1890" t="s">
        <v>31</v>
      </c>
      <c r="D1890">
        <v>0</v>
      </c>
    </row>
    <row r="1891" spans="1:4" x14ac:dyDescent="0.35">
      <c r="A1891" t="s">
        <v>15</v>
      </c>
      <c r="B1891" t="s">
        <v>5</v>
      </c>
      <c r="C1891" t="s">
        <v>31</v>
      </c>
      <c r="D1891">
        <v>0</v>
      </c>
    </row>
    <row r="1892" spans="1:4" x14ac:dyDescent="0.35">
      <c r="A1892" t="s">
        <v>16</v>
      </c>
      <c r="B1892" t="s">
        <v>5</v>
      </c>
      <c r="C1892" t="s">
        <v>31</v>
      </c>
      <c r="D1892">
        <v>0</v>
      </c>
    </row>
    <row r="1893" spans="1:4" x14ac:dyDescent="0.35">
      <c r="A1893" t="s">
        <v>17</v>
      </c>
      <c r="B1893" t="s">
        <v>5</v>
      </c>
      <c r="C1893" t="s">
        <v>31</v>
      </c>
      <c r="D1893">
        <v>0</v>
      </c>
    </row>
    <row r="1894" spans="1:4" x14ac:dyDescent="0.35">
      <c r="A1894" t="s">
        <v>18</v>
      </c>
      <c r="B1894" t="s">
        <v>5</v>
      </c>
      <c r="C1894" t="s">
        <v>31</v>
      </c>
      <c r="D1894">
        <v>0</v>
      </c>
    </row>
    <row r="1895" spans="1:4" x14ac:dyDescent="0.35">
      <c r="A1895" t="s">
        <v>19</v>
      </c>
      <c r="B1895" t="s">
        <v>5</v>
      </c>
      <c r="C1895" t="s">
        <v>31</v>
      </c>
      <c r="D1895">
        <v>0</v>
      </c>
    </row>
    <row r="1896" spans="1:4" x14ac:dyDescent="0.35">
      <c r="A1896" t="s">
        <v>20</v>
      </c>
      <c r="B1896" t="s">
        <v>5</v>
      </c>
      <c r="C1896" t="s">
        <v>31</v>
      </c>
      <c r="D1896">
        <v>0</v>
      </c>
    </row>
    <row r="1897" spans="1:4" x14ac:dyDescent="0.35">
      <c r="A1897" t="s">
        <v>21</v>
      </c>
      <c r="B1897" t="s">
        <v>5</v>
      </c>
      <c r="C1897" t="s">
        <v>31</v>
      </c>
      <c r="D1897">
        <v>0</v>
      </c>
    </row>
    <row r="1898" spans="1:4" x14ac:dyDescent="0.35">
      <c r="A1898" t="s">
        <v>22</v>
      </c>
      <c r="B1898" t="s">
        <v>5</v>
      </c>
      <c r="C1898" t="s">
        <v>31</v>
      </c>
      <c r="D1898">
        <v>0</v>
      </c>
    </row>
    <row r="1899" spans="1:4" x14ac:dyDescent="0.35">
      <c r="A1899" t="s">
        <v>23</v>
      </c>
      <c r="B1899" t="s">
        <v>5</v>
      </c>
      <c r="C1899" t="s">
        <v>31</v>
      </c>
      <c r="D1899">
        <v>0</v>
      </c>
    </row>
    <row r="1900" spans="1:4" x14ac:dyDescent="0.35">
      <c r="A1900" t="s">
        <v>24</v>
      </c>
      <c r="B1900" t="s">
        <v>5</v>
      </c>
      <c r="C1900" t="s">
        <v>31</v>
      </c>
      <c r="D1900">
        <v>0</v>
      </c>
    </row>
    <row r="1901" spans="1:4" x14ac:dyDescent="0.35">
      <c r="A1901" t="s">
        <v>25</v>
      </c>
      <c r="B1901" t="s">
        <v>5</v>
      </c>
      <c r="C1901" t="s">
        <v>31</v>
      </c>
      <c r="D1901">
        <v>0</v>
      </c>
    </row>
    <row r="1902" spans="1:4" x14ac:dyDescent="0.35">
      <c r="A1902" t="s">
        <v>26</v>
      </c>
      <c r="B1902" t="s">
        <v>5</v>
      </c>
      <c r="C1902" t="s">
        <v>31</v>
      </c>
      <c r="D1902">
        <v>0</v>
      </c>
    </row>
    <row r="1903" spans="1:4" x14ac:dyDescent="0.35">
      <c r="A1903" t="s">
        <v>27</v>
      </c>
      <c r="B1903" t="s">
        <v>5</v>
      </c>
      <c r="C1903" t="s">
        <v>31</v>
      </c>
      <c r="D1903">
        <v>0</v>
      </c>
    </row>
    <row r="1904" spans="1:4" x14ac:dyDescent="0.35">
      <c r="A1904" t="s">
        <v>28</v>
      </c>
      <c r="B1904" t="s">
        <v>5</v>
      </c>
      <c r="C1904" t="s">
        <v>31</v>
      </c>
      <c r="D1904">
        <v>0</v>
      </c>
    </row>
    <row r="1905" spans="1:4" x14ac:dyDescent="0.35">
      <c r="A1905" t="s">
        <v>29</v>
      </c>
      <c r="B1905" t="s">
        <v>5</v>
      </c>
      <c r="C1905" t="s">
        <v>31</v>
      </c>
      <c r="D1905">
        <v>0</v>
      </c>
    </row>
    <row r="1906" spans="1:4" x14ac:dyDescent="0.35">
      <c r="A1906" t="s">
        <v>30</v>
      </c>
      <c r="B1906" t="s">
        <v>5</v>
      </c>
      <c r="C1906" t="s">
        <v>31</v>
      </c>
      <c r="D1906">
        <v>0</v>
      </c>
    </row>
    <row r="1907" spans="1:4" x14ac:dyDescent="0.35">
      <c r="A1907" t="s">
        <v>31</v>
      </c>
      <c r="B1907" t="s">
        <v>5</v>
      </c>
      <c r="C1907" t="s">
        <v>31</v>
      </c>
      <c r="D1907">
        <v>0</v>
      </c>
    </row>
    <row r="1908" spans="1:4" x14ac:dyDescent="0.35">
      <c r="A1908" t="s">
        <v>32</v>
      </c>
      <c r="B1908" t="s">
        <v>5</v>
      </c>
      <c r="C1908" t="s">
        <v>31</v>
      </c>
      <c r="D1908">
        <v>0</v>
      </c>
    </row>
    <row r="1909" spans="1:4" x14ac:dyDescent="0.35">
      <c r="A1909" t="s">
        <v>33</v>
      </c>
      <c r="B1909" t="s">
        <v>5</v>
      </c>
      <c r="C1909" t="s">
        <v>31</v>
      </c>
      <c r="D1909">
        <v>0</v>
      </c>
    </row>
    <row r="1910" spans="1:4" x14ac:dyDescent="0.35">
      <c r="A1910" t="s">
        <v>34</v>
      </c>
      <c r="B1910" t="s">
        <v>5</v>
      </c>
      <c r="C1910" t="s">
        <v>31</v>
      </c>
      <c r="D1910">
        <v>0</v>
      </c>
    </row>
    <row r="1911" spans="1:4" x14ac:dyDescent="0.35">
      <c r="A1911" t="s">
        <v>35</v>
      </c>
      <c r="B1911" t="s">
        <v>5</v>
      </c>
      <c r="C1911" t="s">
        <v>31</v>
      </c>
      <c r="D1911">
        <v>0</v>
      </c>
    </row>
    <row r="1912" spans="1:4" x14ac:dyDescent="0.35">
      <c r="A1912" t="s">
        <v>36</v>
      </c>
      <c r="B1912" t="s">
        <v>5</v>
      </c>
      <c r="C1912" t="s">
        <v>31</v>
      </c>
      <c r="D1912">
        <v>0</v>
      </c>
    </row>
    <row r="1913" spans="1:4" x14ac:dyDescent="0.35">
      <c r="A1913" t="s">
        <v>37</v>
      </c>
      <c r="B1913" t="s">
        <v>5</v>
      </c>
      <c r="C1913" t="s">
        <v>31</v>
      </c>
      <c r="D1913">
        <v>0</v>
      </c>
    </row>
    <row r="1914" spans="1:4" x14ac:dyDescent="0.35">
      <c r="A1914" t="s">
        <v>38</v>
      </c>
      <c r="B1914" t="s">
        <v>5</v>
      </c>
      <c r="C1914" t="s">
        <v>31</v>
      </c>
      <c r="D1914">
        <v>0</v>
      </c>
    </row>
    <row r="1915" spans="1:4" x14ac:dyDescent="0.35">
      <c r="A1915" t="s">
        <v>39</v>
      </c>
      <c r="B1915" t="s">
        <v>5</v>
      </c>
      <c r="C1915" t="s">
        <v>31</v>
      </c>
      <c r="D1915">
        <v>0</v>
      </c>
    </row>
    <row r="1916" spans="1:4" x14ac:dyDescent="0.35">
      <c r="A1916" t="s">
        <v>7</v>
      </c>
      <c r="B1916" t="s">
        <v>5</v>
      </c>
      <c r="C1916" t="s">
        <v>32</v>
      </c>
      <c r="D1916">
        <v>0</v>
      </c>
    </row>
    <row r="1917" spans="1:4" x14ac:dyDescent="0.35">
      <c r="A1917" t="s">
        <v>8</v>
      </c>
      <c r="B1917" t="s">
        <v>5</v>
      </c>
      <c r="C1917" t="s">
        <v>32</v>
      </c>
      <c r="D1917">
        <v>0</v>
      </c>
    </row>
    <row r="1918" spans="1:4" x14ac:dyDescent="0.35">
      <c r="A1918" t="s">
        <v>9</v>
      </c>
      <c r="B1918" t="s">
        <v>5</v>
      </c>
      <c r="C1918" t="s">
        <v>32</v>
      </c>
      <c r="D1918">
        <v>0</v>
      </c>
    </row>
    <row r="1919" spans="1:4" x14ac:dyDescent="0.35">
      <c r="A1919" t="s">
        <v>10</v>
      </c>
      <c r="B1919" t="s">
        <v>5</v>
      </c>
      <c r="C1919" t="s">
        <v>32</v>
      </c>
      <c r="D1919">
        <v>0</v>
      </c>
    </row>
    <row r="1920" spans="1:4" x14ac:dyDescent="0.35">
      <c r="A1920" t="s">
        <v>11</v>
      </c>
      <c r="B1920" t="s">
        <v>5</v>
      </c>
      <c r="C1920" t="s">
        <v>32</v>
      </c>
      <c r="D1920">
        <v>0</v>
      </c>
    </row>
    <row r="1921" spans="1:4" x14ac:dyDescent="0.35">
      <c r="A1921" t="s">
        <v>12</v>
      </c>
      <c r="B1921" t="s">
        <v>5</v>
      </c>
      <c r="C1921" t="s">
        <v>32</v>
      </c>
      <c r="D1921">
        <v>0</v>
      </c>
    </row>
    <row r="1922" spans="1:4" x14ac:dyDescent="0.35">
      <c r="A1922" t="s">
        <v>13</v>
      </c>
      <c r="B1922" t="s">
        <v>5</v>
      </c>
      <c r="C1922" t="s">
        <v>32</v>
      </c>
      <c r="D1922">
        <v>0</v>
      </c>
    </row>
    <row r="1923" spans="1:4" x14ac:dyDescent="0.35">
      <c r="A1923" t="s">
        <v>14</v>
      </c>
      <c r="B1923" t="s">
        <v>5</v>
      </c>
      <c r="C1923" t="s">
        <v>32</v>
      </c>
      <c r="D1923">
        <v>0</v>
      </c>
    </row>
    <row r="1924" spans="1:4" x14ac:dyDescent="0.35">
      <c r="A1924" t="s">
        <v>15</v>
      </c>
      <c r="B1924" t="s">
        <v>5</v>
      </c>
      <c r="C1924" t="s">
        <v>32</v>
      </c>
      <c r="D1924">
        <v>0</v>
      </c>
    </row>
    <row r="1925" spans="1:4" x14ac:dyDescent="0.35">
      <c r="A1925" t="s">
        <v>16</v>
      </c>
      <c r="B1925" t="s">
        <v>5</v>
      </c>
      <c r="C1925" t="s">
        <v>32</v>
      </c>
      <c r="D1925">
        <v>0</v>
      </c>
    </row>
    <row r="1926" spans="1:4" x14ac:dyDescent="0.35">
      <c r="A1926" t="s">
        <v>17</v>
      </c>
      <c r="B1926" t="s">
        <v>5</v>
      </c>
      <c r="C1926" t="s">
        <v>32</v>
      </c>
      <c r="D1926">
        <v>0</v>
      </c>
    </row>
    <row r="1927" spans="1:4" x14ac:dyDescent="0.35">
      <c r="A1927" t="s">
        <v>18</v>
      </c>
      <c r="B1927" t="s">
        <v>5</v>
      </c>
      <c r="C1927" t="s">
        <v>32</v>
      </c>
      <c r="D1927">
        <v>0</v>
      </c>
    </row>
    <row r="1928" spans="1:4" x14ac:dyDescent="0.35">
      <c r="A1928" t="s">
        <v>19</v>
      </c>
      <c r="B1928" t="s">
        <v>5</v>
      </c>
      <c r="C1928" t="s">
        <v>32</v>
      </c>
      <c r="D1928">
        <v>0</v>
      </c>
    </row>
    <row r="1929" spans="1:4" x14ac:dyDescent="0.35">
      <c r="A1929" t="s">
        <v>20</v>
      </c>
      <c r="B1929" t="s">
        <v>5</v>
      </c>
      <c r="C1929" t="s">
        <v>32</v>
      </c>
      <c r="D1929">
        <v>0</v>
      </c>
    </row>
    <row r="1930" spans="1:4" x14ac:dyDescent="0.35">
      <c r="A1930" t="s">
        <v>21</v>
      </c>
      <c r="B1930" t="s">
        <v>5</v>
      </c>
      <c r="C1930" t="s">
        <v>32</v>
      </c>
      <c r="D1930">
        <v>0</v>
      </c>
    </row>
    <row r="1931" spans="1:4" x14ac:dyDescent="0.35">
      <c r="A1931" t="s">
        <v>22</v>
      </c>
      <c r="B1931" t="s">
        <v>5</v>
      </c>
      <c r="C1931" t="s">
        <v>32</v>
      </c>
      <c r="D1931">
        <v>0</v>
      </c>
    </row>
    <row r="1932" spans="1:4" x14ac:dyDescent="0.35">
      <c r="A1932" t="s">
        <v>23</v>
      </c>
      <c r="B1932" t="s">
        <v>5</v>
      </c>
      <c r="C1932" t="s">
        <v>32</v>
      </c>
      <c r="D1932">
        <v>0</v>
      </c>
    </row>
    <row r="1933" spans="1:4" x14ac:dyDescent="0.35">
      <c r="A1933" t="s">
        <v>24</v>
      </c>
      <c r="B1933" t="s">
        <v>5</v>
      </c>
      <c r="C1933" t="s">
        <v>32</v>
      </c>
      <c r="D1933">
        <v>0</v>
      </c>
    </row>
    <row r="1934" spans="1:4" x14ac:dyDescent="0.35">
      <c r="A1934" t="s">
        <v>25</v>
      </c>
      <c r="B1934" t="s">
        <v>5</v>
      </c>
      <c r="C1934" t="s">
        <v>32</v>
      </c>
      <c r="D1934">
        <v>0</v>
      </c>
    </row>
    <row r="1935" spans="1:4" x14ac:dyDescent="0.35">
      <c r="A1935" t="s">
        <v>26</v>
      </c>
      <c r="B1935" t="s">
        <v>5</v>
      </c>
      <c r="C1935" t="s">
        <v>32</v>
      </c>
      <c r="D1935">
        <v>0</v>
      </c>
    </row>
    <row r="1936" spans="1:4" x14ac:dyDescent="0.35">
      <c r="A1936" t="s">
        <v>27</v>
      </c>
      <c r="B1936" t="s">
        <v>5</v>
      </c>
      <c r="C1936" t="s">
        <v>32</v>
      </c>
      <c r="D1936">
        <v>0</v>
      </c>
    </row>
    <row r="1937" spans="1:4" x14ac:dyDescent="0.35">
      <c r="A1937" t="s">
        <v>28</v>
      </c>
      <c r="B1937" t="s">
        <v>5</v>
      </c>
      <c r="C1937" t="s">
        <v>32</v>
      </c>
      <c r="D1937">
        <v>0</v>
      </c>
    </row>
    <row r="1938" spans="1:4" x14ac:dyDescent="0.35">
      <c r="A1938" t="s">
        <v>29</v>
      </c>
      <c r="B1938" t="s">
        <v>5</v>
      </c>
      <c r="C1938" t="s">
        <v>32</v>
      </c>
      <c r="D1938">
        <v>0</v>
      </c>
    </row>
    <row r="1939" spans="1:4" x14ac:dyDescent="0.35">
      <c r="A1939" t="s">
        <v>30</v>
      </c>
      <c r="B1939" t="s">
        <v>5</v>
      </c>
      <c r="C1939" t="s">
        <v>32</v>
      </c>
      <c r="D1939">
        <v>0</v>
      </c>
    </row>
    <row r="1940" spans="1:4" x14ac:dyDescent="0.35">
      <c r="A1940" t="s">
        <v>31</v>
      </c>
      <c r="B1940" t="s">
        <v>5</v>
      </c>
      <c r="C1940" t="s">
        <v>32</v>
      </c>
      <c r="D1940">
        <v>0</v>
      </c>
    </row>
    <row r="1941" spans="1:4" x14ac:dyDescent="0.35">
      <c r="A1941" t="s">
        <v>32</v>
      </c>
      <c r="B1941" t="s">
        <v>5</v>
      </c>
      <c r="C1941" t="s">
        <v>32</v>
      </c>
      <c r="D1941">
        <v>0</v>
      </c>
    </row>
    <row r="1942" spans="1:4" x14ac:dyDescent="0.35">
      <c r="A1942" t="s">
        <v>33</v>
      </c>
      <c r="B1942" t="s">
        <v>5</v>
      </c>
      <c r="C1942" t="s">
        <v>32</v>
      </c>
      <c r="D1942">
        <v>0</v>
      </c>
    </row>
    <row r="1943" spans="1:4" x14ac:dyDescent="0.35">
      <c r="A1943" t="s">
        <v>34</v>
      </c>
      <c r="B1943" t="s">
        <v>5</v>
      </c>
      <c r="C1943" t="s">
        <v>32</v>
      </c>
      <c r="D1943">
        <v>0</v>
      </c>
    </row>
    <row r="1944" spans="1:4" x14ac:dyDescent="0.35">
      <c r="A1944" t="s">
        <v>35</v>
      </c>
      <c r="B1944" t="s">
        <v>5</v>
      </c>
      <c r="C1944" t="s">
        <v>32</v>
      </c>
      <c r="D1944">
        <v>0</v>
      </c>
    </row>
    <row r="1945" spans="1:4" x14ac:dyDescent="0.35">
      <c r="A1945" t="s">
        <v>36</v>
      </c>
      <c r="B1945" t="s">
        <v>5</v>
      </c>
      <c r="C1945" t="s">
        <v>32</v>
      </c>
      <c r="D1945">
        <v>0</v>
      </c>
    </row>
    <row r="1946" spans="1:4" x14ac:dyDescent="0.35">
      <c r="A1946" t="s">
        <v>37</v>
      </c>
      <c r="B1946" t="s">
        <v>5</v>
      </c>
      <c r="C1946" t="s">
        <v>32</v>
      </c>
      <c r="D1946">
        <v>0</v>
      </c>
    </row>
    <row r="1947" spans="1:4" x14ac:dyDescent="0.35">
      <c r="A1947" t="s">
        <v>38</v>
      </c>
      <c r="B1947" t="s">
        <v>5</v>
      </c>
      <c r="C1947" t="s">
        <v>32</v>
      </c>
      <c r="D1947">
        <v>0</v>
      </c>
    </row>
    <row r="1948" spans="1:4" x14ac:dyDescent="0.35">
      <c r="A1948" t="s">
        <v>39</v>
      </c>
      <c r="B1948" t="s">
        <v>5</v>
      </c>
      <c r="C1948" t="s">
        <v>32</v>
      </c>
      <c r="D1948">
        <v>0</v>
      </c>
    </row>
    <row r="1949" spans="1:4" x14ac:dyDescent="0.35">
      <c r="A1949" t="s">
        <v>7</v>
      </c>
      <c r="B1949" t="s">
        <v>5</v>
      </c>
      <c r="C1949" t="s">
        <v>33</v>
      </c>
      <c r="D1949">
        <v>0</v>
      </c>
    </row>
    <row r="1950" spans="1:4" x14ac:dyDescent="0.35">
      <c r="A1950" t="s">
        <v>8</v>
      </c>
      <c r="B1950" t="s">
        <v>5</v>
      </c>
      <c r="C1950" t="s">
        <v>33</v>
      </c>
      <c r="D1950">
        <v>0</v>
      </c>
    </row>
    <row r="1951" spans="1:4" x14ac:dyDescent="0.35">
      <c r="A1951" t="s">
        <v>9</v>
      </c>
      <c r="B1951" t="s">
        <v>5</v>
      </c>
      <c r="C1951" t="s">
        <v>33</v>
      </c>
      <c r="D1951">
        <v>0</v>
      </c>
    </row>
    <row r="1952" spans="1:4" x14ac:dyDescent="0.35">
      <c r="A1952" t="s">
        <v>10</v>
      </c>
      <c r="B1952" t="s">
        <v>5</v>
      </c>
      <c r="C1952" t="s">
        <v>33</v>
      </c>
      <c r="D1952">
        <v>0</v>
      </c>
    </row>
    <row r="1953" spans="1:4" x14ac:dyDescent="0.35">
      <c r="A1953" t="s">
        <v>11</v>
      </c>
      <c r="B1953" t="s">
        <v>5</v>
      </c>
      <c r="C1953" t="s">
        <v>33</v>
      </c>
      <c r="D1953">
        <v>0</v>
      </c>
    </row>
    <row r="1954" spans="1:4" x14ac:dyDescent="0.35">
      <c r="A1954" t="s">
        <v>12</v>
      </c>
      <c r="B1954" t="s">
        <v>5</v>
      </c>
      <c r="C1954" t="s">
        <v>33</v>
      </c>
      <c r="D1954">
        <v>0</v>
      </c>
    </row>
    <row r="1955" spans="1:4" x14ac:dyDescent="0.35">
      <c r="A1955" t="s">
        <v>13</v>
      </c>
      <c r="B1955" t="s">
        <v>5</v>
      </c>
      <c r="C1955" t="s">
        <v>33</v>
      </c>
      <c r="D1955">
        <v>0</v>
      </c>
    </row>
    <row r="1956" spans="1:4" x14ac:dyDescent="0.35">
      <c r="A1956" t="s">
        <v>14</v>
      </c>
      <c r="B1956" t="s">
        <v>5</v>
      </c>
      <c r="C1956" t="s">
        <v>33</v>
      </c>
      <c r="D1956">
        <v>0</v>
      </c>
    </row>
    <row r="1957" spans="1:4" x14ac:dyDescent="0.35">
      <c r="A1957" t="s">
        <v>15</v>
      </c>
      <c r="B1957" t="s">
        <v>5</v>
      </c>
      <c r="C1957" t="s">
        <v>33</v>
      </c>
      <c r="D1957">
        <v>0</v>
      </c>
    </row>
    <row r="1958" spans="1:4" x14ac:dyDescent="0.35">
      <c r="A1958" t="s">
        <v>16</v>
      </c>
      <c r="B1958" t="s">
        <v>5</v>
      </c>
      <c r="C1958" t="s">
        <v>33</v>
      </c>
      <c r="D1958">
        <v>0</v>
      </c>
    </row>
    <row r="1959" spans="1:4" x14ac:dyDescent="0.35">
      <c r="A1959" t="s">
        <v>17</v>
      </c>
      <c r="B1959" t="s">
        <v>5</v>
      </c>
      <c r="C1959" t="s">
        <v>33</v>
      </c>
      <c r="D1959">
        <v>0</v>
      </c>
    </row>
    <row r="1960" spans="1:4" x14ac:dyDescent="0.35">
      <c r="A1960" t="s">
        <v>18</v>
      </c>
      <c r="B1960" t="s">
        <v>5</v>
      </c>
      <c r="C1960" t="s">
        <v>33</v>
      </c>
      <c r="D1960">
        <v>0</v>
      </c>
    </row>
    <row r="1961" spans="1:4" x14ac:dyDescent="0.35">
      <c r="A1961" t="s">
        <v>19</v>
      </c>
      <c r="B1961" t="s">
        <v>5</v>
      </c>
      <c r="C1961" t="s">
        <v>33</v>
      </c>
      <c r="D1961">
        <v>0</v>
      </c>
    </row>
    <row r="1962" spans="1:4" x14ac:dyDescent="0.35">
      <c r="A1962" t="s">
        <v>20</v>
      </c>
      <c r="B1962" t="s">
        <v>5</v>
      </c>
      <c r="C1962" t="s">
        <v>33</v>
      </c>
      <c r="D1962">
        <v>0</v>
      </c>
    </row>
    <row r="1963" spans="1:4" x14ac:dyDescent="0.35">
      <c r="A1963" t="s">
        <v>21</v>
      </c>
      <c r="B1963" t="s">
        <v>5</v>
      </c>
      <c r="C1963" t="s">
        <v>33</v>
      </c>
      <c r="D1963">
        <v>0</v>
      </c>
    </row>
    <row r="1964" spans="1:4" x14ac:dyDescent="0.35">
      <c r="A1964" t="s">
        <v>22</v>
      </c>
      <c r="B1964" t="s">
        <v>5</v>
      </c>
      <c r="C1964" t="s">
        <v>33</v>
      </c>
      <c r="D1964">
        <v>0</v>
      </c>
    </row>
    <row r="1965" spans="1:4" x14ac:dyDescent="0.35">
      <c r="A1965" t="s">
        <v>23</v>
      </c>
      <c r="B1965" t="s">
        <v>5</v>
      </c>
      <c r="C1965" t="s">
        <v>33</v>
      </c>
      <c r="D1965">
        <v>0</v>
      </c>
    </row>
    <row r="1966" spans="1:4" x14ac:dyDescent="0.35">
      <c r="A1966" t="s">
        <v>24</v>
      </c>
      <c r="B1966" t="s">
        <v>5</v>
      </c>
      <c r="C1966" t="s">
        <v>33</v>
      </c>
      <c r="D1966">
        <v>0</v>
      </c>
    </row>
    <row r="1967" spans="1:4" x14ac:dyDescent="0.35">
      <c r="A1967" t="s">
        <v>25</v>
      </c>
      <c r="B1967" t="s">
        <v>5</v>
      </c>
      <c r="C1967" t="s">
        <v>33</v>
      </c>
      <c r="D1967">
        <v>0</v>
      </c>
    </row>
    <row r="1968" spans="1:4" x14ac:dyDescent="0.35">
      <c r="A1968" t="s">
        <v>26</v>
      </c>
      <c r="B1968" t="s">
        <v>5</v>
      </c>
      <c r="C1968" t="s">
        <v>33</v>
      </c>
      <c r="D1968">
        <v>0</v>
      </c>
    </row>
    <row r="1969" spans="1:4" x14ac:dyDescent="0.35">
      <c r="A1969" t="s">
        <v>27</v>
      </c>
      <c r="B1969" t="s">
        <v>5</v>
      </c>
      <c r="C1969" t="s">
        <v>33</v>
      </c>
      <c r="D1969">
        <v>0</v>
      </c>
    </row>
    <row r="1970" spans="1:4" x14ac:dyDescent="0.35">
      <c r="A1970" t="s">
        <v>28</v>
      </c>
      <c r="B1970" t="s">
        <v>5</v>
      </c>
      <c r="C1970" t="s">
        <v>33</v>
      </c>
      <c r="D1970">
        <v>0</v>
      </c>
    </row>
    <row r="1971" spans="1:4" x14ac:dyDescent="0.35">
      <c r="A1971" t="s">
        <v>29</v>
      </c>
      <c r="B1971" t="s">
        <v>5</v>
      </c>
      <c r="C1971" t="s">
        <v>33</v>
      </c>
      <c r="D1971">
        <v>0</v>
      </c>
    </row>
    <row r="1972" spans="1:4" x14ac:dyDescent="0.35">
      <c r="A1972" t="s">
        <v>30</v>
      </c>
      <c r="B1972" t="s">
        <v>5</v>
      </c>
      <c r="C1972" t="s">
        <v>33</v>
      </c>
      <c r="D1972">
        <v>0</v>
      </c>
    </row>
    <row r="1973" spans="1:4" x14ac:dyDescent="0.35">
      <c r="A1973" t="s">
        <v>31</v>
      </c>
      <c r="B1973" t="s">
        <v>5</v>
      </c>
      <c r="C1973" t="s">
        <v>33</v>
      </c>
      <c r="D1973">
        <v>0</v>
      </c>
    </row>
    <row r="1974" spans="1:4" x14ac:dyDescent="0.35">
      <c r="A1974" t="s">
        <v>32</v>
      </c>
      <c r="B1974" t="s">
        <v>5</v>
      </c>
      <c r="C1974" t="s">
        <v>33</v>
      </c>
      <c r="D1974">
        <v>0</v>
      </c>
    </row>
    <row r="1975" spans="1:4" x14ac:dyDescent="0.35">
      <c r="A1975" t="s">
        <v>33</v>
      </c>
      <c r="B1975" t="s">
        <v>5</v>
      </c>
      <c r="C1975" t="s">
        <v>33</v>
      </c>
      <c r="D1975">
        <v>0</v>
      </c>
    </row>
    <row r="1976" spans="1:4" x14ac:dyDescent="0.35">
      <c r="A1976" t="s">
        <v>34</v>
      </c>
      <c r="B1976" t="s">
        <v>5</v>
      </c>
      <c r="C1976" t="s">
        <v>33</v>
      </c>
      <c r="D1976">
        <v>0</v>
      </c>
    </row>
    <row r="1977" spans="1:4" x14ac:dyDescent="0.35">
      <c r="A1977" t="s">
        <v>35</v>
      </c>
      <c r="B1977" t="s">
        <v>5</v>
      </c>
      <c r="C1977" t="s">
        <v>33</v>
      </c>
      <c r="D1977">
        <v>0</v>
      </c>
    </row>
    <row r="1978" spans="1:4" x14ac:dyDescent="0.35">
      <c r="A1978" t="s">
        <v>36</v>
      </c>
      <c r="B1978" t="s">
        <v>5</v>
      </c>
      <c r="C1978" t="s">
        <v>33</v>
      </c>
      <c r="D1978">
        <v>0</v>
      </c>
    </row>
    <row r="1979" spans="1:4" x14ac:dyDescent="0.35">
      <c r="A1979" t="s">
        <v>37</v>
      </c>
      <c r="B1979" t="s">
        <v>5</v>
      </c>
      <c r="C1979" t="s">
        <v>33</v>
      </c>
      <c r="D1979">
        <v>0</v>
      </c>
    </row>
    <row r="1980" spans="1:4" x14ac:dyDescent="0.35">
      <c r="A1980" t="s">
        <v>38</v>
      </c>
      <c r="B1980" t="s">
        <v>5</v>
      </c>
      <c r="C1980" t="s">
        <v>33</v>
      </c>
      <c r="D1980">
        <v>0</v>
      </c>
    </row>
    <row r="1981" spans="1:4" x14ac:dyDescent="0.35">
      <c r="A1981" t="s">
        <v>39</v>
      </c>
      <c r="B1981" t="s">
        <v>5</v>
      </c>
      <c r="C1981" t="s">
        <v>33</v>
      </c>
      <c r="D1981">
        <v>0</v>
      </c>
    </row>
    <row r="1982" spans="1:4" x14ac:dyDescent="0.35">
      <c r="A1982" t="s">
        <v>7</v>
      </c>
      <c r="B1982" t="s">
        <v>5</v>
      </c>
      <c r="C1982" t="s">
        <v>34</v>
      </c>
      <c r="D1982">
        <v>0</v>
      </c>
    </row>
    <row r="1983" spans="1:4" x14ac:dyDescent="0.35">
      <c r="A1983" t="s">
        <v>8</v>
      </c>
      <c r="B1983" t="s">
        <v>5</v>
      </c>
      <c r="C1983" t="s">
        <v>34</v>
      </c>
      <c r="D1983">
        <v>0</v>
      </c>
    </row>
    <row r="1984" spans="1:4" x14ac:dyDescent="0.35">
      <c r="A1984" t="s">
        <v>9</v>
      </c>
      <c r="B1984" t="s">
        <v>5</v>
      </c>
      <c r="C1984" t="s">
        <v>34</v>
      </c>
      <c r="D1984">
        <v>0</v>
      </c>
    </row>
    <row r="1985" spans="1:4" x14ac:dyDescent="0.35">
      <c r="A1985" t="s">
        <v>10</v>
      </c>
      <c r="B1985" t="s">
        <v>5</v>
      </c>
      <c r="C1985" t="s">
        <v>34</v>
      </c>
      <c r="D1985">
        <v>0</v>
      </c>
    </row>
    <row r="1986" spans="1:4" x14ac:dyDescent="0.35">
      <c r="A1986" t="s">
        <v>11</v>
      </c>
      <c r="B1986" t="s">
        <v>5</v>
      </c>
      <c r="C1986" t="s">
        <v>34</v>
      </c>
      <c r="D1986">
        <v>0</v>
      </c>
    </row>
    <row r="1987" spans="1:4" x14ac:dyDescent="0.35">
      <c r="A1987" t="s">
        <v>12</v>
      </c>
      <c r="B1987" t="s">
        <v>5</v>
      </c>
      <c r="C1987" t="s">
        <v>34</v>
      </c>
      <c r="D1987">
        <v>0</v>
      </c>
    </row>
    <row r="1988" spans="1:4" x14ac:dyDescent="0.35">
      <c r="A1988" t="s">
        <v>13</v>
      </c>
      <c r="B1988" t="s">
        <v>5</v>
      </c>
      <c r="C1988" t="s">
        <v>34</v>
      </c>
      <c r="D1988">
        <v>0</v>
      </c>
    </row>
    <row r="1989" spans="1:4" x14ac:dyDescent="0.35">
      <c r="A1989" t="s">
        <v>14</v>
      </c>
      <c r="B1989" t="s">
        <v>5</v>
      </c>
      <c r="C1989" t="s">
        <v>34</v>
      </c>
      <c r="D1989">
        <v>0</v>
      </c>
    </row>
    <row r="1990" spans="1:4" x14ac:dyDescent="0.35">
      <c r="A1990" t="s">
        <v>15</v>
      </c>
      <c r="B1990" t="s">
        <v>5</v>
      </c>
      <c r="C1990" t="s">
        <v>34</v>
      </c>
      <c r="D1990">
        <v>0</v>
      </c>
    </row>
    <row r="1991" spans="1:4" x14ac:dyDescent="0.35">
      <c r="A1991" t="s">
        <v>16</v>
      </c>
      <c r="B1991" t="s">
        <v>5</v>
      </c>
      <c r="C1991" t="s">
        <v>34</v>
      </c>
      <c r="D1991">
        <v>0</v>
      </c>
    </row>
    <row r="1992" spans="1:4" x14ac:dyDescent="0.35">
      <c r="A1992" t="s">
        <v>17</v>
      </c>
      <c r="B1992" t="s">
        <v>5</v>
      </c>
      <c r="C1992" t="s">
        <v>34</v>
      </c>
      <c r="D1992">
        <v>0</v>
      </c>
    </row>
    <row r="1993" spans="1:4" x14ac:dyDescent="0.35">
      <c r="A1993" t="s">
        <v>18</v>
      </c>
      <c r="B1993" t="s">
        <v>5</v>
      </c>
      <c r="C1993" t="s">
        <v>34</v>
      </c>
      <c r="D1993">
        <v>0</v>
      </c>
    </row>
    <row r="1994" spans="1:4" x14ac:dyDescent="0.35">
      <c r="A1994" t="s">
        <v>19</v>
      </c>
      <c r="B1994" t="s">
        <v>5</v>
      </c>
      <c r="C1994" t="s">
        <v>34</v>
      </c>
      <c r="D1994">
        <v>0</v>
      </c>
    </row>
    <row r="1995" spans="1:4" x14ac:dyDescent="0.35">
      <c r="A1995" t="s">
        <v>20</v>
      </c>
      <c r="B1995" t="s">
        <v>5</v>
      </c>
      <c r="C1995" t="s">
        <v>34</v>
      </c>
      <c r="D1995">
        <v>0</v>
      </c>
    </row>
    <row r="1996" spans="1:4" x14ac:dyDescent="0.35">
      <c r="A1996" t="s">
        <v>21</v>
      </c>
      <c r="B1996" t="s">
        <v>5</v>
      </c>
      <c r="C1996" t="s">
        <v>34</v>
      </c>
      <c r="D1996">
        <v>0</v>
      </c>
    </row>
    <row r="1997" spans="1:4" x14ac:dyDescent="0.35">
      <c r="A1997" t="s">
        <v>22</v>
      </c>
      <c r="B1997" t="s">
        <v>5</v>
      </c>
      <c r="C1997" t="s">
        <v>34</v>
      </c>
      <c r="D1997">
        <v>0</v>
      </c>
    </row>
    <row r="1998" spans="1:4" x14ac:dyDescent="0.35">
      <c r="A1998" t="s">
        <v>23</v>
      </c>
      <c r="B1998" t="s">
        <v>5</v>
      </c>
      <c r="C1998" t="s">
        <v>34</v>
      </c>
      <c r="D1998">
        <v>0</v>
      </c>
    </row>
    <row r="1999" spans="1:4" x14ac:dyDescent="0.35">
      <c r="A1999" t="s">
        <v>24</v>
      </c>
      <c r="B1999" t="s">
        <v>5</v>
      </c>
      <c r="C1999" t="s">
        <v>34</v>
      </c>
      <c r="D1999">
        <v>0</v>
      </c>
    </row>
    <row r="2000" spans="1:4" x14ac:dyDescent="0.35">
      <c r="A2000" t="s">
        <v>25</v>
      </c>
      <c r="B2000" t="s">
        <v>5</v>
      </c>
      <c r="C2000" t="s">
        <v>34</v>
      </c>
      <c r="D2000">
        <v>0</v>
      </c>
    </row>
    <row r="2001" spans="1:4" x14ac:dyDescent="0.35">
      <c r="A2001" t="s">
        <v>26</v>
      </c>
      <c r="B2001" t="s">
        <v>5</v>
      </c>
      <c r="C2001" t="s">
        <v>34</v>
      </c>
      <c r="D2001">
        <v>0</v>
      </c>
    </row>
    <row r="2002" spans="1:4" x14ac:dyDescent="0.35">
      <c r="A2002" t="s">
        <v>27</v>
      </c>
      <c r="B2002" t="s">
        <v>5</v>
      </c>
      <c r="C2002" t="s">
        <v>34</v>
      </c>
      <c r="D2002">
        <v>0</v>
      </c>
    </row>
    <row r="2003" spans="1:4" x14ac:dyDescent="0.35">
      <c r="A2003" t="s">
        <v>28</v>
      </c>
      <c r="B2003" t="s">
        <v>5</v>
      </c>
      <c r="C2003" t="s">
        <v>34</v>
      </c>
      <c r="D2003">
        <v>0</v>
      </c>
    </row>
    <row r="2004" spans="1:4" x14ac:dyDescent="0.35">
      <c r="A2004" t="s">
        <v>29</v>
      </c>
      <c r="B2004" t="s">
        <v>5</v>
      </c>
      <c r="C2004" t="s">
        <v>34</v>
      </c>
      <c r="D2004">
        <v>0</v>
      </c>
    </row>
    <row r="2005" spans="1:4" x14ac:dyDescent="0.35">
      <c r="A2005" t="s">
        <v>30</v>
      </c>
      <c r="B2005" t="s">
        <v>5</v>
      </c>
      <c r="C2005" t="s">
        <v>34</v>
      </c>
      <c r="D2005">
        <v>0</v>
      </c>
    </row>
    <row r="2006" spans="1:4" x14ac:dyDescent="0.35">
      <c r="A2006" t="s">
        <v>31</v>
      </c>
      <c r="B2006" t="s">
        <v>5</v>
      </c>
      <c r="C2006" t="s">
        <v>34</v>
      </c>
      <c r="D2006">
        <v>0</v>
      </c>
    </row>
    <row r="2007" spans="1:4" x14ac:dyDescent="0.35">
      <c r="A2007" t="s">
        <v>32</v>
      </c>
      <c r="B2007" t="s">
        <v>5</v>
      </c>
      <c r="C2007" t="s">
        <v>34</v>
      </c>
      <c r="D2007">
        <v>0</v>
      </c>
    </row>
    <row r="2008" spans="1:4" x14ac:dyDescent="0.35">
      <c r="A2008" t="s">
        <v>33</v>
      </c>
      <c r="B2008" t="s">
        <v>5</v>
      </c>
      <c r="C2008" t="s">
        <v>34</v>
      </c>
      <c r="D2008">
        <v>0</v>
      </c>
    </row>
    <row r="2009" spans="1:4" x14ac:dyDescent="0.35">
      <c r="A2009" t="s">
        <v>34</v>
      </c>
      <c r="B2009" t="s">
        <v>5</v>
      </c>
      <c r="C2009" t="s">
        <v>34</v>
      </c>
      <c r="D2009">
        <v>0</v>
      </c>
    </row>
    <row r="2010" spans="1:4" x14ac:dyDescent="0.35">
      <c r="A2010" t="s">
        <v>35</v>
      </c>
      <c r="B2010" t="s">
        <v>5</v>
      </c>
      <c r="C2010" t="s">
        <v>34</v>
      </c>
      <c r="D2010">
        <v>0</v>
      </c>
    </row>
    <row r="2011" spans="1:4" x14ac:dyDescent="0.35">
      <c r="A2011" t="s">
        <v>36</v>
      </c>
      <c r="B2011" t="s">
        <v>5</v>
      </c>
      <c r="C2011" t="s">
        <v>34</v>
      </c>
      <c r="D2011">
        <v>0</v>
      </c>
    </row>
    <row r="2012" spans="1:4" x14ac:dyDescent="0.35">
      <c r="A2012" t="s">
        <v>37</v>
      </c>
      <c r="B2012" t="s">
        <v>5</v>
      </c>
      <c r="C2012" t="s">
        <v>34</v>
      </c>
      <c r="D2012">
        <v>0</v>
      </c>
    </row>
    <row r="2013" spans="1:4" x14ac:dyDescent="0.35">
      <c r="A2013" t="s">
        <v>38</v>
      </c>
      <c r="B2013" t="s">
        <v>5</v>
      </c>
      <c r="C2013" t="s">
        <v>34</v>
      </c>
      <c r="D2013">
        <v>0</v>
      </c>
    </row>
    <row r="2014" spans="1:4" x14ac:dyDescent="0.35">
      <c r="A2014" t="s">
        <v>39</v>
      </c>
      <c r="B2014" t="s">
        <v>5</v>
      </c>
      <c r="C2014" t="s">
        <v>34</v>
      </c>
      <c r="D2014">
        <v>0</v>
      </c>
    </row>
    <row r="2015" spans="1:4" x14ac:dyDescent="0.35">
      <c r="A2015" t="s">
        <v>7</v>
      </c>
      <c r="B2015" t="s">
        <v>5</v>
      </c>
      <c r="C2015" t="s">
        <v>35</v>
      </c>
      <c r="D2015">
        <v>0</v>
      </c>
    </row>
    <row r="2016" spans="1:4" x14ac:dyDescent="0.35">
      <c r="A2016" t="s">
        <v>8</v>
      </c>
      <c r="B2016" t="s">
        <v>5</v>
      </c>
      <c r="C2016" t="s">
        <v>35</v>
      </c>
      <c r="D2016">
        <v>0</v>
      </c>
    </row>
    <row r="2017" spans="1:4" x14ac:dyDescent="0.35">
      <c r="A2017" t="s">
        <v>9</v>
      </c>
      <c r="B2017" t="s">
        <v>5</v>
      </c>
      <c r="C2017" t="s">
        <v>35</v>
      </c>
      <c r="D2017">
        <v>0</v>
      </c>
    </row>
    <row r="2018" spans="1:4" x14ac:dyDescent="0.35">
      <c r="A2018" t="s">
        <v>10</v>
      </c>
      <c r="B2018" t="s">
        <v>5</v>
      </c>
      <c r="C2018" t="s">
        <v>35</v>
      </c>
      <c r="D2018">
        <v>0</v>
      </c>
    </row>
    <row r="2019" spans="1:4" x14ac:dyDescent="0.35">
      <c r="A2019" t="s">
        <v>11</v>
      </c>
      <c r="B2019" t="s">
        <v>5</v>
      </c>
      <c r="C2019" t="s">
        <v>35</v>
      </c>
      <c r="D2019">
        <v>0</v>
      </c>
    </row>
    <row r="2020" spans="1:4" x14ac:dyDescent="0.35">
      <c r="A2020" t="s">
        <v>12</v>
      </c>
      <c r="B2020" t="s">
        <v>5</v>
      </c>
      <c r="C2020" t="s">
        <v>35</v>
      </c>
      <c r="D2020">
        <v>0</v>
      </c>
    </row>
    <row r="2021" spans="1:4" x14ac:dyDescent="0.35">
      <c r="A2021" t="s">
        <v>13</v>
      </c>
      <c r="B2021" t="s">
        <v>5</v>
      </c>
      <c r="C2021" t="s">
        <v>35</v>
      </c>
      <c r="D2021">
        <v>0</v>
      </c>
    </row>
    <row r="2022" spans="1:4" x14ac:dyDescent="0.35">
      <c r="A2022" t="s">
        <v>14</v>
      </c>
      <c r="B2022" t="s">
        <v>5</v>
      </c>
      <c r="C2022" t="s">
        <v>35</v>
      </c>
      <c r="D2022">
        <v>0</v>
      </c>
    </row>
    <row r="2023" spans="1:4" x14ac:dyDescent="0.35">
      <c r="A2023" t="s">
        <v>15</v>
      </c>
      <c r="B2023" t="s">
        <v>5</v>
      </c>
      <c r="C2023" t="s">
        <v>35</v>
      </c>
      <c r="D2023">
        <v>0</v>
      </c>
    </row>
    <row r="2024" spans="1:4" x14ac:dyDescent="0.35">
      <c r="A2024" t="s">
        <v>16</v>
      </c>
      <c r="B2024" t="s">
        <v>5</v>
      </c>
      <c r="C2024" t="s">
        <v>35</v>
      </c>
      <c r="D2024">
        <v>0</v>
      </c>
    </row>
    <row r="2025" spans="1:4" x14ac:dyDescent="0.35">
      <c r="A2025" t="s">
        <v>17</v>
      </c>
      <c r="B2025" t="s">
        <v>5</v>
      </c>
      <c r="C2025" t="s">
        <v>35</v>
      </c>
      <c r="D2025">
        <v>0</v>
      </c>
    </row>
    <row r="2026" spans="1:4" x14ac:dyDescent="0.35">
      <c r="A2026" t="s">
        <v>18</v>
      </c>
      <c r="B2026" t="s">
        <v>5</v>
      </c>
      <c r="C2026" t="s">
        <v>35</v>
      </c>
      <c r="D2026">
        <v>0</v>
      </c>
    </row>
    <row r="2027" spans="1:4" x14ac:dyDescent="0.35">
      <c r="A2027" t="s">
        <v>19</v>
      </c>
      <c r="B2027" t="s">
        <v>5</v>
      </c>
      <c r="C2027" t="s">
        <v>35</v>
      </c>
      <c r="D2027">
        <v>0</v>
      </c>
    </row>
    <row r="2028" spans="1:4" x14ac:dyDescent="0.35">
      <c r="A2028" t="s">
        <v>20</v>
      </c>
      <c r="B2028" t="s">
        <v>5</v>
      </c>
      <c r="C2028" t="s">
        <v>35</v>
      </c>
      <c r="D2028">
        <v>0</v>
      </c>
    </row>
    <row r="2029" spans="1:4" x14ac:dyDescent="0.35">
      <c r="A2029" t="s">
        <v>21</v>
      </c>
      <c r="B2029" t="s">
        <v>5</v>
      </c>
      <c r="C2029" t="s">
        <v>35</v>
      </c>
      <c r="D2029">
        <v>0</v>
      </c>
    </row>
    <row r="2030" spans="1:4" x14ac:dyDescent="0.35">
      <c r="A2030" t="s">
        <v>22</v>
      </c>
      <c r="B2030" t="s">
        <v>5</v>
      </c>
      <c r="C2030" t="s">
        <v>35</v>
      </c>
      <c r="D2030">
        <v>0</v>
      </c>
    </row>
    <row r="2031" spans="1:4" x14ac:dyDescent="0.35">
      <c r="A2031" t="s">
        <v>23</v>
      </c>
      <c r="B2031" t="s">
        <v>5</v>
      </c>
      <c r="C2031" t="s">
        <v>35</v>
      </c>
      <c r="D2031">
        <v>0</v>
      </c>
    </row>
    <row r="2032" spans="1:4" x14ac:dyDescent="0.35">
      <c r="A2032" t="s">
        <v>24</v>
      </c>
      <c r="B2032" t="s">
        <v>5</v>
      </c>
      <c r="C2032" t="s">
        <v>35</v>
      </c>
      <c r="D2032">
        <v>0</v>
      </c>
    </row>
    <row r="2033" spans="1:4" x14ac:dyDescent="0.35">
      <c r="A2033" t="s">
        <v>25</v>
      </c>
      <c r="B2033" t="s">
        <v>5</v>
      </c>
      <c r="C2033" t="s">
        <v>35</v>
      </c>
      <c r="D2033">
        <v>0</v>
      </c>
    </row>
    <row r="2034" spans="1:4" x14ac:dyDescent="0.35">
      <c r="A2034" t="s">
        <v>26</v>
      </c>
      <c r="B2034" t="s">
        <v>5</v>
      </c>
      <c r="C2034" t="s">
        <v>35</v>
      </c>
      <c r="D2034">
        <v>0</v>
      </c>
    </row>
    <row r="2035" spans="1:4" x14ac:dyDescent="0.35">
      <c r="A2035" t="s">
        <v>27</v>
      </c>
      <c r="B2035" t="s">
        <v>5</v>
      </c>
      <c r="C2035" t="s">
        <v>35</v>
      </c>
      <c r="D2035">
        <v>0</v>
      </c>
    </row>
    <row r="2036" spans="1:4" x14ac:dyDescent="0.35">
      <c r="A2036" t="s">
        <v>28</v>
      </c>
      <c r="B2036" t="s">
        <v>5</v>
      </c>
      <c r="C2036" t="s">
        <v>35</v>
      </c>
      <c r="D2036">
        <v>0</v>
      </c>
    </row>
    <row r="2037" spans="1:4" x14ac:dyDescent="0.35">
      <c r="A2037" t="s">
        <v>29</v>
      </c>
      <c r="B2037" t="s">
        <v>5</v>
      </c>
      <c r="C2037" t="s">
        <v>35</v>
      </c>
      <c r="D2037">
        <v>0</v>
      </c>
    </row>
    <row r="2038" spans="1:4" x14ac:dyDescent="0.35">
      <c r="A2038" t="s">
        <v>30</v>
      </c>
      <c r="B2038" t="s">
        <v>5</v>
      </c>
      <c r="C2038" t="s">
        <v>35</v>
      </c>
      <c r="D2038">
        <v>0</v>
      </c>
    </row>
    <row r="2039" spans="1:4" x14ac:dyDescent="0.35">
      <c r="A2039" t="s">
        <v>31</v>
      </c>
      <c r="B2039" t="s">
        <v>5</v>
      </c>
      <c r="C2039" t="s">
        <v>35</v>
      </c>
      <c r="D2039">
        <v>0</v>
      </c>
    </row>
    <row r="2040" spans="1:4" x14ac:dyDescent="0.35">
      <c r="A2040" t="s">
        <v>32</v>
      </c>
      <c r="B2040" t="s">
        <v>5</v>
      </c>
      <c r="C2040" t="s">
        <v>35</v>
      </c>
      <c r="D2040">
        <v>0</v>
      </c>
    </row>
    <row r="2041" spans="1:4" x14ac:dyDescent="0.35">
      <c r="A2041" t="s">
        <v>33</v>
      </c>
      <c r="B2041" t="s">
        <v>5</v>
      </c>
      <c r="C2041" t="s">
        <v>35</v>
      </c>
      <c r="D2041">
        <v>0</v>
      </c>
    </row>
    <row r="2042" spans="1:4" x14ac:dyDescent="0.35">
      <c r="A2042" t="s">
        <v>34</v>
      </c>
      <c r="B2042" t="s">
        <v>5</v>
      </c>
      <c r="C2042" t="s">
        <v>35</v>
      </c>
      <c r="D2042">
        <v>0</v>
      </c>
    </row>
    <row r="2043" spans="1:4" x14ac:dyDescent="0.35">
      <c r="A2043" t="s">
        <v>35</v>
      </c>
      <c r="B2043" t="s">
        <v>5</v>
      </c>
      <c r="C2043" t="s">
        <v>35</v>
      </c>
      <c r="D2043">
        <v>0</v>
      </c>
    </row>
    <row r="2044" spans="1:4" x14ac:dyDescent="0.35">
      <c r="A2044" t="s">
        <v>36</v>
      </c>
      <c r="B2044" t="s">
        <v>5</v>
      </c>
      <c r="C2044" t="s">
        <v>35</v>
      </c>
      <c r="D2044">
        <v>0</v>
      </c>
    </row>
    <row r="2045" spans="1:4" x14ac:dyDescent="0.35">
      <c r="A2045" t="s">
        <v>37</v>
      </c>
      <c r="B2045" t="s">
        <v>5</v>
      </c>
      <c r="C2045" t="s">
        <v>35</v>
      </c>
      <c r="D2045">
        <v>0</v>
      </c>
    </row>
    <row r="2046" spans="1:4" x14ac:dyDescent="0.35">
      <c r="A2046" t="s">
        <v>38</v>
      </c>
      <c r="B2046" t="s">
        <v>5</v>
      </c>
      <c r="C2046" t="s">
        <v>35</v>
      </c>
      <c r="D2046">
        <v>0</v>
      </c>
    </row>
    <row r="2047" spans="1:4" x14ac:dyDescent="0.35">
      <c r="A2047" t="s">
        <v>39</v>
      </c>
      <c r="B2047" t="s">
        <v>5</v>
      </c>
      <c r="C2047" t="s">
        <v>35</v>
      </c>
      <c r="D2047">
        <v>0</v>
      </c>
    </row>
    <row r="2048" spans="1:4" x14ac:dyDescent="0.35">
      <c r="A2048" t="s">
        <v>7</v>
      </c>
      <c r="B2048" t="s">
        <v>5</v>
      </c>
      <c r="C2048" t="s">
        <v>36</v>
      </c>
      <c r="D2048">
        <v>0</v>
      </c>
    </row>
    <row r="2049" spans="1:4" x14ac:dyDescent="0.35">
      <c r="A2049" t="s">
        <v>8</v>
      </c>
      <c r="B2049" t="s">
        <v>5</v>
      </c>
      <c r="C2049" t="s">
        <v>36</v>
      </c>
      <c r="D2049">
        <v>0</v>
      </c>
    </row>
    <row r="2050" spans="1:4" x14ac:dyDescent="0.35">
      <c r="A2050" t="s">
        <v>9</v>
      </c>
      <c r="B2050" t="s">
        <v>5</v>
      </c>
      <c r="C2050" t="s">
        <v>36</v>
      </c>
      <c r="D2050">
        <v>0</v>
      </c>
    </row>
    <row r="2051" spans="1:4" x14ac:dyDescent="0.35">
      <c r="A2051" t="s">
        <v>10</v>
      </c>
      <c r="B2051" t="s">
        <v>5</v>
      </c>
      <c r="C2051" t="s">
        <v>36</v>
      </c>
      <c r="D2051">
        <v>0</v>
      </c>
    </row>
    <row r="2052" spans="1:4" x14ac:dyDescent="0.35">
      <c r="A2052" t="s">
        <v>11</v>
      </c>
      <c r="B2052" t="s">
        <v>5</v>
      </c>
      <c r="C2052" t="s">
        <v>36</v>
      </c>
      <c r="D2052">
        <v>0</v>
      </c>
    </row>
    <row r="2053" spans="1:4" x14ac:dyDescent="0.35">
      <c r="A2053" t="s">
        <v>12</v>
      </c>
      <c r="B2053" t="s">
        <v>5</v>
      </c>
      <c r="C2053" t="s">
        <v>36</v>
      </c>
      <c r="D2053">
        <v>0</v>
      </c>
    </row>
    <row r="2054" spans="1:4" x14ac:dyDescent="0.35">
      <c r="A2054" t="s">
        <v>13</v>
      </c>
      <c r="B2054" t="s">
        <v>5</v>
      </c>
      <c r="C2054" t="s">
        <v>36</v>
      </c>
      <c r="D2054">
        <v>0</v>
      </c>
    </row>
    <row r="2055" spans="1:4" x14ac:dyDescent="0.35">
      <c r="A2055" t="s">
        <v>14</v>
      </c>
      <c r="B2055" t="s">
        <v>5</v>
      </c>
      <c r="C2055" t="s">
        <v>36</v>
      </c>
      <c r="D2055">
        <v>0</v>
      </c>
    </row>
    <row r="2056" spans="1:4" x14ac:dyDescent="0.35">
      <c r="A2056" t="s">
        <v>15</v>
      </c>
      <c r="B2056" t="s">
        <v>5</v>
      </c>
      <c r="C2056" t="s">
        <v>36</v>
      </c>
      <c r="D2056">
        <v>0</v>
      </c>
    </row>
    <row r="2057" spans="1:4" x14ac:dyDescent="0.35">
      <c r="A2057" t="s">
        <v>16</v>
      </c>
      <c r="B2057" t="s">
        <v>5</v>
      </c>
      <c r="C2057" t="s">
        <v>36</v>
      </c>
      <c r="D2057">
        <v>0</v>
      </c>
    </row>
    <row r="2058" spans="1:4" x14ac:dyDescent="0.35">
      <c r="A2058" t="s">
        <v>17</v>
      </c>
      <c r="B2058" t="s">
        <v>5</v>
      </c>
      <c r="C2058" t="s">
        <v>36</v>
      </c>
      <c r="D2058">
        <v>0</v>
      </c>
    </row>
    <row r="2059" spans="1:4" x14ac:dyDescent="0.35">
      <c r="A2059" t="s">
        <v>18</v>
      </c>
      <c r="B2059" t="s">
        <v>5</v>
      </c>
      <c r="C2059" t="s">
        <v>36</v>
      </c>
      <c r="D2059">
        <v>0</v>
      </c>
    </row>
    <row r="2060" spans="1:4" x14ac:dyDescent="0.35">
      <c r="A2060" t="s">
        <v>19</v>
      </c>
      <c r="B2060" t="s">
        <v>5</v>
      </c>
      <c r="C2060" t="s">
        <v>36</v>
      </c>
      <c r="D2060">
        <v>0</v>
      </c>
    </row>
    <row r="2061" spans="1:4" x14ac:dyDescent="0.35">
      <c r="A2061" t="s">
        <v>20</v>
      </c>
      <c r="B2061" t="s">
        <v>5</v>
      </c>
      <c r="C2061" t="s">
        <v>36</v>
      </c>
      <c r="D2061">
        <v>0</v>
      </c>
    </row>
    <row r="2062" spans="1:4" x14ac:dyDescent="0.35">
      <c r="A2062" t="s">
        <v>21</v>
      </c>
      <c r="B2062" t="s">
        <v>5</v>
      </c>
      <c r="C2062" t="s">
        <v>36</v>
      </c>
      <c r="D2062">
        <v>0</v>
      </c>
    </row>
    <row r="2063" spans="1:4" x14ac:dyDescent="0.35">
      <c r="A2063" t="s">
        <v>22</v>
      </c>
      <c r="B2063" t="s">
        <v>5</v>
      </c>
      <c r="C2063" t="s">
        <v>36</v>
      </c>
      <c r="D2063">
        <v>0</v>
      </c>
    </row>
    <row r="2064" spans="1:4" x14ac:dyDescent="0.35">
      <c r="A2064" t="s">
        <v>23</v>
      </c>
      <c r="B2064" t="s">
        <v>5</v>
      </c>
      <c r="C2064" t="s">
        <v>36</v>
      </c>
      <c r="D2064">
        <v>0</v>
      </c>
    </row>
    <row r="2065" spans="1:4" x14ac:dyDescent="0.35">
      <c r="A2065" t="s">
        <v>24</v>
      </c>
      <c r="B2065" t="s">
        <v>5</v>
      </c>
      <c r="C2065" t="s">
        <v>36</v>
      </c>
      <c r="D2065">
        <v>0</v>
      </c>
    </row>
    <row r="2066" spans="1:4" x14ac:dyDescent="0.35">
      <c r="A2066" t="s">
        <v>25</v>
      </c>
      <c r="B2066" t="s">
        <v>5</v>
      </c>
      <c r="C2066" t="s">
        <v>36</v>
      </c>
      <c r="D2066">
        <v>0</v>
      </c>
    </row>
    <row r="2067" spans="1:4" x14ac:dyDescent="0.35">
      <c r="A2067" t="s">
        <v>26</v>
      </c>
      <c r="B2067" t="s">
        <v>5</v>
      </c>
      <c r="C2067" t="s">
        <v>36</v>
      </c>
      <c r="D2067">
        <v>0</v>
      </c>
    </row>
    <row r="2068" spans="1:4" x14ac:dyDescent="0.35">
      <c r="A2068" t="s">
        <v>27</v>
      </c>
      <c r="B2068" t="s">
        <v>5</v>
      </c>
      <c r="C2068" t="s">
        <v>36</v>
      </c>
      <c r="D2068">
        <v>0</v>
      </c>
    </row>
    <row r="2069" spans="1:4" x14ac:dyDescent="0.35">
      <c r="A2069" t="s">
        <v>28</v>
      </c>
      <c r="B2069" t="s">
        <v>5</v>
      </c>
      <c r="C2069" t="s">
        <v>36</v>
      </c>
      <c r="D2069">
        <v>0</v>
      </c>
    </row>
    <row r="2070" spans="1:4" x14ac:dyDescent="0.35">
      <c r="A2070" t="s">
        <v>29</v>
      </c>
      <c r="B2070" t="s">
        <v>5</v>
      </c>
      <c r="C2070" t="s">
        <v>36</v>
      </c>
      <c r="D2070">
        <v>0</v>
      </c>
    </row>
    <row r="2071" spans="1:4" x14ac:dyDescent="0.35">
      <c r="A2071" t="s">
        <v>30</v>
      </c>
      <c r="B2071" t="s">
        <v>5</v>
      </c>
      <c r="C2071" t="s">
        <v>36</v>
      </c>
      <c r="D2071">
        <v>0</v>
      </c>
    </row>
    <row r="2072" spans="1:4" x14ac:dyDescent="0.35">
      <c r="A2072" t="s">
        <v>31</v>
      </c>
      <c r="B2072" t="s">
        <v>5</v>
      </c>
      <c r="C2072" t="s">
        <v>36</v>
      </c>
      <c r="D2072">
        <v>0</v>
      </c>
    </row>
    <row r="2073" spans="1:4" x14ac:dyDescent="0.35">
      <c r="A2073" t="s">
        <v>32</v>
      </c>
      <c r="B2073" t="s">
        <v>5</v>
      </c>
      <c r="C2073" t="s">
        <v>36</v>
      </c>
      <c r="D2073">
        <v>0</v>
      </c>
    </row>
    <row r="2074" spans="1:4" x14ac:dyDescent="0.35">
      <c r="A2074" t="s">
        <v>33</v>
      </c>
      <c r="B2074" t="s">
        <v>5</v>
      </c>
      <c r="C2074" t="s">
        <v>36</v>
      </c>
      <c r="D2074">
        <v>0</v>
      </c>
    </row>
    <row r="2075" spans="1:4" x14ac:dyDescent="0.35">
      <c r="A2075" t="s">
        <v>34</v>
      </c>
      <c r="B2075" t="s">
        <v>5</v>
      </c>
      <c r="C2075" t="s">
        <v>36</v>
      </c>
      <c r="D2075">
        <v>0</v>
      </c>
    </row>
    <row r="2076" spans="1:4" x14ac:dyDescent="0.35">
      <c r="A2076" t="s">
        <v>35</v>
      </c>
      <c r="B2076" t="s">
        <v>5</v>
      </c>
      <c r="C2076" t="s">
        <v>36</v>
      </c>
      <c r="D2076">
        <v>0</v>
      </c>
    </row>
    <row r="2077" spans="1:4" x14ac:dyDescent="0.35">
      <c r="A2077" t="s">
        <v>36</v>
      </c>
      <c r="B2077" t="s">
        <v>5</v>
      </c>
      <c r="C2077" t="s">
        <v>36</v>
      </c>
      <c r="D2077">
        <v>0</v>
      </c>
    </row>
    <row r="2078" spans="1:4" x14ac:dyDescent="0.35">
      <c r="A2078" t="s">
        <v>37</v>
      </c>
      <c r="B2078" t="s">
        <v>5</v>
      </c>
      <c r="C2078" t="s">
        <v>36</v>
      </c>
      <c r="D2078">
        <v>0</v>
      </c>
    </row>
    <row r="2079" spans="1:4" x14ac:dyDescent="0.35">
      <c r="A2079" t="s">
        <v>38</v>
      </c>
      <c r="B2079" t="s">
        <v>5</v>
      </c>
      <c r="C2079" t="s">
        <v>36</v>
      </c>
      <c r="D2079">
        <v>0</v>
      </c>
    </row>
    <row r="2080" spans="1:4" x14ac:dyDescent="0.35">
      <c r="A2080" t="s">
        <v>39</v>
      </c>
      <c r="B2080" t="s">
        <v>5</v>
      </c>
      <c r="C2080" t="s">
        <v>36</v>
      </c>
      <c r="D2080">
        <v>0</v>
      </c>
    </row>
    <row r="2081" spans="1:4" x14ac:dyDescent="0.35">
      <c r="A2081" t="s">
        <v>7</v>
      </c>
      <c r="B2081" t="s">
        <v>5</v>
      </c>
      <c r="C2081" t="s">
        <v>37</v>
      </c>
      <c r="D2081">
        <v>0</v>
      </c>
    </row>
    <row r="2082" spans="1:4" x14ac:dyDescent="0.35">
      <c r="A2082" t="s">
        <v>8</v>
      </c>
      <c r="B2082" t="s">
        <v>5</v>
      </c>
      <c r="C2082" t="s">
        <v>37</v>
      </c>
      <c r="D2082">
        <v>0</v>
      </c>
    </row>
    <row r="2083" spans="1:4" x14ac:dyDescent="0.35">
      <c r="A2083" t="s">
        <v>9</v>
      </c>
      <c r="B2083" t="s">
        <v>5</v>
      </c>
      <c r="C2083" t="s">
        <v>37</v>
      </c>
      <c r="D2083">
        <v>0</v>
      </c>
    </row>
    <row r="2084" spans="1:4" x14ac:dyDescent="0.35">
      <c r="A2084" t="s">
        <v>10</v>
      </c>
      <c r="B2084" t="s">
        <v>5</v>
      </c>
      <c r="C2084" t="s">
        <v>37</v>
      </c>
      <c r="D2084">
        <v>0</v>
      </c>
    </row>
    <row r="2085" spans="1:4" x14ac:dyDescent="0.35">
      <c r="A2085" t="s">
        <v>11</v>
      </c>
      <c r="B2085" t="s">
        <v>5</v>
      </c>
      <c r="C2085" t="s">
        <v>37</v>
      </c>
      <c r="D2085">
        <v>0</v>
      </c>
    </row>
    <row r="2086" spans="1:4" x14ac:dyDescent="0.35">
      <c r="A2086" t="s">
        <v>12</v>
      </c>
      <c r="B2086" t="s">
        <v>5</v>
      </c>
      <c r="C2086" t="s">
        <v>37</v>
      </c>
      <c r="D2086">
        <v>0</v>
      </c>
    </row>
    <row r="2087" spans="1:4" x14ac:dyDescent="0.35">
      <c r="A2087" t="s">
        <v>13</v>
      </c>
      <c r="B2087" t="s">
        <v>5</v>
      </c>
      <c r="C2087" t="s">
        <v>37</v>
      </c>
      <c r="D2087">
        <v>0</v>
      </c>
    </row>
    <row r="2088" spans="1:4" x14ac:dyDescent="0.35">
      <c r="A2088" t="s">
        <v>14</v>
      </c>
      <c r="B2088" t="s">
        <v>5</v>
      </c>
      <c r="C2088" t="s">
        <v>37</v>
      </c>
      <c r="D2088">
        <v>0</v>
      </c>
    </row>
    <row r="2089" spans="1:4" x14ac:dyDescent="0.35">
      <c r="A2089" t="s">
        <v>15</v>
      </c>
      <c r="B2089" t="s">
        <v>5</v>
      </c>
      <c r="C2089" t="s">
        <v>37</v>
      </c>
      <c r="D2089">
        <v>0</v>
      </c>
    </row>
    <row r="2090" spans="1:4" x14ac:dyDescent="0.35">
      <c r="A2090" t="s">
        <v>16</v>
      </c>
      <c r="B2090" t="s">
        <v>5</v>
      </c>
      <c r="C2090" t="s">
        <v>37</v>
      </c>
      <c r="D2090">
        <v>0</v>
      </c>
    </row>
    <row r="2091" spans="1:4" x14ac:dyDescent="0.35">
      <c r="A2091" t="s">
        <v>17</v>
      </c>
      <c r="B2091" t="s">
        <v>5</v>
      </c>
      <c r="C2091" t="s">
        <v>37</v>
      </c>
      <c r="D2091">
        <v>0</v>
      </c>
    </row>
    <row r="2092" spans="1:4" x14ac:dyDescent="0.35">
      <c r="A2092" t="s">
        <v>18</v>
      </c>
      <c r="B2092" t="s">
        <v>5</v>
      </c>
      <c r="C2092" t="s">
        <v>37</v>
      </c>
      <c r="D2092">
        <v>0</v>
      </c>
    </row>
    <row r="2093" spans="1:4" x14ac:dyDescent="0.35">
      <c r="A2093" t="s">
        <v>19</v>
      </c>
      <c r="B2093" t="s">
        <v>5</v>
      </c>
      <c r="C2093" t="s">
        <v>37</v>
      </c>
      <c r="D2093">
        <v>0</v>
      </c>
    </row>
    <row r="2094" spans="1:4" x14ac:dyDescent="0.35">
      <c r="A2094" t="s">
        <v>20</v>
      </c>
      <c r="B2094" t="s">
        <v>5</v>
      </c>
      <c r="C2094" t="s">
        <v>37</v>
      </c>
      <c r="D2094">
        <v>0</v>
      </c>
    </row>
    <row r="2095" spans="1:4" x14ac:dyDescent="0.35">
      <c r="A2095" t="s">
        <v>21</v>
      </c>
      <c r="B2095" t="s">
        <v>5</v>
      </c>
      <c r="C2095" t="s">
        <v>37</v>
      </c>
      <c r="D2095">
        <v>0</v>
      </c>
    </row>
    <row r="2096" spans="1:4" x14ac:dyDescent="0.35">
      <c r="A2096" t="s">
        <v>22</v>
      </c>
      <c r="B2096" t="s">
        <v>5</v>
      </c>
      <c r="C2096" t="s">
        <v>37</v>
      </c>
      <c r="D2096">
        <v>0</v>
      </c>
    </row>
    <row r="2097" spans="1:4" x14ac:dyDescent="0.35">
      <c r="A2097" t="s">
        <v>23</v>
      </c>
      <c r="B2097" t="s">
        <v>5</v>
      </c>
      <c r="C2097" t="s">
        <v>37</v>
      </c>
      <c r="D2097">
        <v>0</v>
      </c>
    </row>
    <row r="2098" spans="1:4" x14ac:dyDescent="0.35">
      <c r="A2098" t="s">
        <v>24</v>
      </c>
      <c r="B2098" t="s">
        <v>5</v>
      </c>
      <c r="C2098" t="s">
        <v>37</v>
      </c>
      <c r="D2098">
        <v>0</v>
      </c>
    </row>
    <row r="2099" spans="1:4" x14ac:dyDescent="0.35">
      <c r="A2099" t="s">
        <v>25</v>
      </c>
      <c r="B2099" t="s">
        <v>5</v>
      </c>
      <c r="C2099" t="s">
        <v>37</v>
      </c>
      <c r="D2099">
        <v>0</v>
      </c>
    </row>
    <row r="2100" spans="1:4" x14ac:dyDescent="0.35">
      <c r="A2100" t="s">
        <v>26</v>
      </c>
      <c r="B2100" t="s">
        <v>5</v>
      </c>
      <c r="C2100" t="s">
        <v>37</v>
      </c>
      <c r="D2100">
        <v>0</v>
      </c>
    </row>
    <row r="2101" spans="1:4" x14ac:dyDescent="0.35">
      <c r="A2101" t="s">
        <v>27</v>
      </c>
      <c r="B2101" t="s">
        <v>5</v>
      </c>
      <c r="C2101" t="s">
        <v>37</v>
      </c>
      <c r="D2101">
        <v>0</v>
      </c>
    </row>
    <row r="2102" spans="1:4" x14ac:dyDescent="0.35">
      <c r="A2102" t="s">
        <v>28</v>
      </c>
      <c r="B2102" t="s">
        <v>5</v>
      </c>
      <c r="C2102" t="s">
        <v>37</v>
      </c>
      <c r="D2102">
        <v>0</v>
      </c>
    </row>
    <row r="2103" spans="1:4" x14ac:dyDescent="0.35">
      <c r="A2103" t="s">
        <v>29</v>
      </c>
      <c r="B2103" t="s">
        <v>5</v>
      </c>
      <c r="C2103" t="s">
        <v>37</v>
      </c>
      <c r="D2103">
        <v>0</v>
      </c>
    </row>
    <row r="2104" spans="1:4" x14ac:dyDescent="0.35">
      <c r="A2104" t="s">
        <v>30</v>
      </c>
      <c r="B2104" t="s">
        <v>5</v>
      </c>
      <c r="C2104" t="s">
        <v>37</v>
      </c>
      <c r="D2104">
        <v>0</v>
      </c>
    </row>
    <row r="2105" spans="1:4" x14ac:dyDescent="0.35">
      <c r="A2105" t="s">
        <v>31</v>
      </c>
      <c r="B2105" t="s">
        <v>5</v>
      </c>
      <c r="C2105" t="s">
        <v>37</v>
      </c>
      <c r="D2105">
        <v>0</v>
      </c>
    </row>
    <row r="2106" spans="1:4" x14ac:dyDescent="0.35">
      <c r="A2106" t="s">
        <v>32</v>
      </c>
      <c r="B2106" t="s">
        <v>5</v>
      </c>
      <c r="C2106" t="s">
        <v>37</v>
      </c>
      <c r="D2106">
        <v>0</v>
      </c>
    </row>
    <row r="2107" spans="1:4" x14ac:dyDescent="0.35">
      <c r="A2107" t="s">
        <v>33</v>
      </c>
      <c r="B2107" t="s">
        <v>5</v>
      </c>
      <c r="C2107" t="s">
        <v>37</v>
      </c>
      <c r="D2107">
        <v>0</v>
      </c>
    </row>
    <row r="2108" spans="1:4" x14ac:dyDescent="0.35">
      <c r="A2108" t="s">
        <v>34</v>
      </c>
      <c r="B2108" t="s">
        <v>5</v>
      </c>
      <c r="C2108" t="s">
        <v>37</v>
      </c>
      <c r="D2108">
        <v>0</v>
      </c>
    </row>
    <row r="2109" spans="1:4" x14ac:dyDescent="0.35">
      <c r="A2109" t="s">
        <v>35</v>
      </c>
      <c r="B2109" t="s">
        <v>5</v>
      </c>
      <c r="C2109" t="s">
        <v>37</v>
      </c>
      <c r="D2109">
        <v>0</v>
      </c>
    </row>
    <row r="2110" spans="1:4" x14ac:dyDescent="0.35">
      <c r="A2110" t="s">
        <v>36</v>
      </c>
      <c r="B2110" t="s">
        <v>5</v>
      </c>
      <c r="C2110" t="s">
        <v>37</v>
      </c>
      <c r="D2110">
        <v>0</v>
      </c>
    </row>
    <row r="2111" spans="1:4" x14ac:dyDescent="0.35">
      <c r="A2111" t="s">
        <v>37</v>
      </c>
      <c r="B2111" t="s">
        <v>5</v>
      </c>
      <c r="C2111" t="s">
        <v>37</v>
      </c>
      <c r="D2111">
        <v>0</v>
      </c>
    </row>
    <row r="2112" spans="1:4" x14ac:dyDescent="0.35">
      <c r="A2112" t="s">
        <v>38</v>
      </c>
      <c r="B2112" t="s">
        <v>5</v>
      </c>
      <c r="C2112" t="s">
        <v>37</v>
      </c>
      <c r="D2112">
        <v>0</v>
      </c>
    </row>
    <row r="2113" spans="1:4" x14ac:dyDescent="0.35">
      <c r="A2113" t="s">
        <v>39</v>
      </c>
      <c r="B2113" t="s">
        <v>5</v>
      </c>
      <c r="C2113" t="s">
        <v>37</v>
      </c>
      <c r="D2113">
        <v>0</v>
      </c>
    </row>
    <row r="2114" spans="1:4" x14ac:dyDescent="0.35">
      <c r="A2114" t="s">
        <v>7</v>
      </c>
      <c r="B2114" t="s">
        <v>5</v>
      </c>
      <c r="C2114" t="s">
        <v>38</v>
      </c>
      <c r="D2114">
        <v>0</v>
      </c>
    </row>
    <row r="2115" spans="1:4" x14ac:dyDescent="0.35">
      <c r="A2115" t="s">
        <v>8</v>
      </c>
      <c r="B2115" t="s">
        <v>5</v>
      </c>
      <c r="C2115" t="s">
        <v>38</v>
      </c>
      <c r="D2115">
        <v>0</v>
      </c>
    </row>
    <row r="2116" spans="1:4" x14ac:dyDescent="0.35">
      <c r="A2116" t="s">
        <v>9</v>
      </c>
      <c r="B2116" t="s">
        <v>5</v>
      </c>
      <c r="C2116" t="s">
        <v>38</v>
      </c>
      <c r="D2116">
        <v>0</v>
      </c>
    </row>
    <row r="2117" spans="1:4" x14ac:dyDescent="0.35">
      <c r="A2117" t="s">
        <v>10</v>
      </c>
      <c r="B2117" t="s">
        <v>5</v>
      </c>
      <c r="C2117" t="s">
        <v>38</v>
      </c>
      <c r="D2117">
        <v>0</v>
      </c>
    </row>
    <row r="2118" spans="1:4" x14ac:dyDescent="0.35">
      <c r="A2118" t="s">
        <v>11</v>
      </c>
      <c r="B2118" t="s">
        <v>5</v>
      </c>
      <c r="C2118" t="s">
        <v>38</v>
      </c>
      <c r="D2118">
        <v>0</v>
      </c>
    </row>
    <row r="2119" spans="1:4" x14ac:dyDescent="0.35">
      <c r="A2119" t="s">
        <v>12</v>
      </c>
      <c r="B2119" t="s">
        <v>5</v>
      </c>
      <c r="C2119" t="s">
        <v>38</v>
      </c>
      <c r="D2119">
        <v>0</v>
      </c>
    </row>
    <row r="2120" spans="1:4" x14ac:dyDescent="0.35">
      <c r="A2120" t="s">
        <v>13</v>
      </c>
      <c r="B2120" t="s">
        <v>5</v>
      </c>
      <c r="C2120" t="s">
        <v>38</v>
      </c>
      <c r="D2120">
        <v>0</v>
      </c>
    </row>
    <row r="2121" spans="1:4" x14ac:dyDescent="0.35">
      <c r="A2121" t="s">
        <v>14</v>
      </c>
      <c r="B2121" t="s">
        <v>5</v>
      </c>
      <c r="C2121" t="s">
        <v>38</v>
      </c>
      <c r="D2121">
        <v>0</v>
      </c>
    </row>
    <row r="2122" spans="1:4" x14ac:dyDescent="0.35">
      <c r="A2122" t="s">
        <v>15</v>
      </c>
      <c r="B2122" t="s">
        <v>5</v>
      </c>
      <c r="C2122" t="s">
        <v>38</v>
      </c>
      <c r="D2122">
        <v>0</v>
      </c>
    </row>
    <row r="2123" spans="1:4" x14ac:dyDescent="0.35">
      <c r="A2123" t="s">
        <v>16</v>
      </c>
      <c r="B2123" t="s">
        <v>5</v>
      </c>
      <c r="C2123" t="s">
        <v>38</v>
      </c>
      <c r="D2123">
        <v>0</v>
      </c>
    </row>
    <row r="2124" spans="1:4" x14ac:dyDescent="0.35">
      <c r="A2124" t="s">
        <v>17</v>
      </c>
      <c r="B2124" t="s">
        <v>5</v>
      </c>
      <c r="C2124" t="s">
        <v>38</v>
      </c>
      <c r="D2124">
        <v>0</v>
      </c>
    </row>
    <row r="2125" spans="1:4" x14ac:dyDescent="0.35">
      <c r="A2125" t="s">
        <v>18</v>
      </c>
      <c r="B2125" t="s">
        <v>5</v>
      </c>
      <c r="C2125" t="s">
        <v>38</v>
      </c>
      <c r="D2125">
        <v>0</v>
      </c>
    </row>
    <row r="2126" spans="1:4" x14ac:dyDescent="0.35">
      <c r="A2126" t="s">
        <v>19</v>
      </c>
      <c r="B2126" t="s">
        <v>5</v>
      </c>
      <c r="C2126" t="s">
        <v>38</v>
      </c>
      <c r="D2126">
        <v>0</v>
      </c>
    </row>
    <row r="2127" spans="1:4" x14ac:dyDescent="0.35">
      <c r="A2127" t="s">
        <v>20</v>
      </c>
      <c r="B2127" t="s">
        <v>5</v>
      </c>
      <c r="C2127" t="s">
        <v>38</v>
      </c>
      <c r="D2127">
        <v>0</v>
      </c>
    </row>
    <row r="2128" spans="1:4" x14ac:dyDescent="0.35">
      <c r="A2128" t="s">
        <v>21</v>
      </c>
      <c r="B2128" t="s">
        <v>5</v>
      </c>
      <c r="C2128" t="s">
        <v>38</v>
      </c>
      <c r="D2128">
        <v>0</v>
      </c>
    </row>
    <row r="2129" spans="1:4" x14ac:dyDescent="0.35">
      <c r="A2129" t="s">
        <v>22</v>
      </c>
      <c r="B2129" t="s">
        <v>5</v>
      </c>
      <c r="C2129" t="s">
        <v>38</v>
      </c>
      <c r="D2129">
        <v>0</v>
      </c>
    </row>
    <row r="2130" spans="1:4" x14ac:dyDescent="0.35">
      <c r="A2130" t="s">
        <v>23</v>
      </c>
      <c r="B2130" t="s">
        <v>5</v>
      </c>
      <c r="C2130" t="s">
        <v>38</v>
      </c>
      <c r="D2130">
        <v>0</v>
      </c>
    </row>
    <row r="2131" spans="1:4" x14ac:dyDescent="0.35">
      <c r="A2131" t="s">
        <v>24</v>
      </c>
      <c r="B2131" t="s">
        <v>5</v>
      </c>
      <c r="C2131" t="s">
        <v>38</v>
      </c>
      <c r="D2131">
        <v>0</v>
      </c>
    </row>
    <row r="2132" spans="1:4" x14ac:dyDescent="0.35">
      <c r="A2132" t="s">
        <v>25</v>
      </c>
      <c r="B2132" t="s">
        <v>5</v>
      </c>
      <c r="C2132" t="s">
        <v>38</v>
      </c>
      <c r="D2132">
        <v>0</v>
      </c>
    </row>
    <row r="2133" spans="1:4" x14ac:dyDescent="0.35">
      <c r="A2133" t="s">
        <v>26</v>
      </c>
      <c r="B2133" t="s">
        <v>5</v>
      </c>
      <c r="C2133" t="s">
        <v>38</v>
      </c>
      <c r="D2133">
        <v>0</v>
      </c>
    </row>
    <row r="2134" spans="1:4" x14ac:dyDescent="0.35">
      <c r="A2134" t="s">
        <v>27</v>
      </c>
      <c r="B2134" t="s">
        <v>5</v>
      </c>
      <c r="C2134" t="s">
        <v>38</v>
      </c>
      <c r="D2134">
        <v>0</v>
      </c>
    </row>
    <row r="2135" spans="1:4" x14ac:dyDescent="0.35">
      <c r="A2135" t="s">
        <v>28</v>
      </c>
      <c r="B2135" t="s">
        <v>5</v>
      </c>
      <c r="C2135" t="s">
        <v>38</v>
      </c>
      <c r="D2135">
        <v>0</v>
      </c>
    </row>
    <row r="2136" spans="1:4" x14ac:dyDescent="0.35">
      <c r="A2136" t="s">
        <v>29</v>
      </c>
      <c r="B2136" t="s">
        <v>5</v>
      </c>
      <c r="C2136" t="s">
        <v>38</v>
      </c>
      <c r="D2136">
        <v>0</v>
      </c>
    </row>
    <row r="2137" spans="1:4" x14ac:dyDescent="0.35">
      <c r="A2137" t="s">
        <v>30</v>
      </c>
      <c r="B2137" t="s">
        <v>5</v>
      </c>
      <c r="C2137" t="s">
        <v>38</v>
      </c>
      <c r="D2137">
        <v>0</v>
      </c>
    </row>
    <row r="2138" spans="1:4" x14ac:dyDescent="0.35">
      <c r="A2138" t="s">
        <v>31</v>
      </c>
      <c r="B2138" t="s">
        <v>5</v>
      </c>
      <c r="C2138" t="s">
        <v>38</v>
      </c>
      <c r="D2138">
        <v>0</v>
      </c>
    </row>
    <row r="2139" spans="1:4" x14ac:dyDescent="0.35">
      <c r="A2139" t="s">
        <v>32</v>
      </c>
      <c r="B2139" t="s">
        <v>5</v>
      </c>
      <c r="C2139" t="s">
        <v>38</v>
      </c>
      <c r="D2139">
        <v>0</v>
      </c>
    </row>
    <row r="2140" spans="1:4" x14ac:dyDescent="0.35">
      <c r="A2140" t="s">
        <v>33</v>
      </c>
      <c r="B2140" t="s">
        <v>5</v>
      </c>
      <c r="C2140" t="s">
        <v>38</v>
      </c>
      <c r="D2140">
        <v>0</v>
      </c>
    </row>
    <row r="2141" spans="1:4" x14ac:dyDescent="0.35">
      <c r="A2141" t="s">
        <v>34</v>
      </c>
      <c r="B2141" t="s">
        <v>5</v>
      </c>
      <c r="C2141" t="s">
        <v>38</v>
      </c>
      <c r="D2141">
        <v>0</v>
      </c>
    </row>
    <row r="2142" spans="1:4" x14ac:dyDescent="0.35">
      <c r="A2142" t="s">
        <v>35</v>
      </c>
      <c r="B2142" t="s">
        <v>5</v>
      </c>
      <c r="C2142" t="s">
        <v>38</v>
      </c>
      <c r="D2142">
        <v>0</v>
      </c>
    </row>
    <row r="2143" spans="1:4" x14ac:dyDescent="0.35">
      <c r="A2143" t="s">
        <v>36</v>
      </c>
      <c r="B2143" t="s">
        <v>5</v>
      </c>
      <c r="C2143" t="s">
        <v>38</v>
      </c>
      <c r="D2143">
        <v>0</v>
      </c>
    </row>
    <row r="2144" spans="1:4" x14ac:dyDescent="0.35">
      <c r="A2144" t="s">
        <v>37</v>
      </c>
      <c r="B2144" t="s">
        <v>5</v>
      </c>
      <c r="C2144" t="s">
        <v>38</v>
      </c>
      <c r="D2144">
        <v>0</v>
      </c>
    </row>
    <row r="2145" spans="1:4" x14ac:dyDescent="0.35">
      <c r="A2145" t="s">
        <v>38</v>
      </c>
      <c r="B2145" t="s">
        <v>5</v>
      </c>
      <c r="C2145" t="s">
        <v>38</v>
      </c>
      <c r="D2145">
        <v>0</v>
      </c>
    </row>
    <row r="2146" spans="1:4" x14ac:dyDescent="0.35">
      <c r="A2146" t="s">
        <v>39</v>
      </c>
      <c r="B2146" t="s">
        <v>5</v>
      </c>
      <c r="C2146" t="s">
        <v>38</v>
      </c>
      <c r="D2146">
        <v>0</v>
      </c>
    </row>
    <row r="2147" spans="1:4" x14ac:dyDescent="0.35">
      <c r="A2147" t="s">
        <v>7</v>
      </c>
      <c r="B2147" t="s">
        <v>5</v>
      </c>
      <c r="C2147" t="s">
        <v>39</v>
      </c>
      <c r="D2147">
        <v>0</v>
      </c>
    </row>
    <row r="2148" spans="1:4" x14ac:dyDescent="0.35">
      <c r="A2148" t="s">
        <v>8</v>
      </c>
      <c r="B2148" t="s">
        <v>5</v>
      </c>
      <c r="C2148" t="s">
        <v>39</v>
      </c>
      <c r="D2148">
        <v>0</v>
      </c>
    </row>
    <row r="2149" spans="1:4" x14ac:dyDescent="0.35">
      <c r="A2149" t="s">
        <v>9</v>
      </c>
      <c r="B2149" t="s">
        <v>5</v>
      </c>
      <c r="C2149" t="s">
        <v>39</v>
      </c>
      <c r="D2149">
        <v>0</v>
      </c>
    </row>
    <row r="2150" spans="1:4" x14ac:dyDescent="0.35">
      <c r="A2150" t="s">
        <v>10</v>
      </c>
      <c r="B2150" t="s">
        <v>5</v>
      </c>
      <c r="C2150" t="s">
        <v>39</v>
      </c>
      <c r="D2150">
        <v>0</v>
      </c>
    </row>
    <row r="2151" spans="1:4" x14ac:dyDescent="0.35">
      <c r="A2151" t="s">
        <v>11</v>
      </c>
      <c r="B2151" t="s">
        <v>5</v>
      </c>
      <c r="C2151" t="s">
        <v>39</v>
      </c>
      <c r="D2151">
        <v>0</v>
      </c>
    </row>
    <row r="2152" spans="1:4" x14ac:dyDescent="0.35">
      <c r="A2152" t="s">
        <v>12</v>
      </c>
      <c r="B2152" t="s">
        <v>5</v>
      </c>
      <c r="C2152" t="s">
        <v>39</v>
      </c>
      <c r="D2152">
        <v>0</v>
      </c>
    </row>
    <row r="2153" spans="1:4" x14ac:dyDescent="0.35">
      <c r="A2153" t="s">
        <v>13</v>
      </c>
      <c r="B2153" t="s">
        <v>5</v>
      </c>
      <c r="C2153" t="s">
        <v>39</v>
      </c>
      <c r="D2153">
        <v>0</v>
      </c>
    </row>
    <row r="2154" spans="1:4" x14ac:dyDescent="0.35">
      <c r="A2154" t="s">
        <v>14</v>
      </c>
      <c r="B2154" t="s">
        <v>5</v>
      </c>
      <c r="C2154" t="s">
        <v>39</v>
      </c>
      <c r="D2154">
        <v>0</v>
      </c>
    </row>
    <row r="2155" spans="1:4" x14ac:dyDescent="0.35">
      <c r="A2155" t="s">
        <v>15</v>
      </c>
      <c r="B2155" t="s">
        <v>5</v>
      </c>
      <c r="C2155" t="s">
        <v>39</v>
      </c>
      <c r="D2155">
        <v>0</v>
      </c>
    </row>
    <row r="2156" spans="1:4" x14ac:dyDescent="0.35">
      <c r="A2156" t="s">
        <v>16</v>
      </c>
      <c r="B2156" t="s">
        <v>5</v>
      </c>
      <c r="C2156" t="s">
        <v>39</v>
      </c>
      <c r="D2156">
        <v>0</v>
      </c>
    </row>
    <row r="2157" spans="1:4" x14ac:dyDescent="0.35">
      <c r="A2157" t="s">
        <v>17</v>
      </c>
      <c r="B2157" t="s">
        <v>5</v>
      </c>
      <c r="C2157" t="s">
        <v>39</v>
      </c>
      <c r="D2157">
        <v>0</v>
      </c>
    </row>
    <row r="2158" spans="1:4" x14ac:dyDescent="0.35">
      <c r="A2158" t="s">
        <v>18</v>
      </c>
      <c r="B2158" t="s">
        <v>5</v>
      </c>
      <c r="C2158" t="s">
        <v>39</v>
      </c>
      <c r="D2158">
        <v>0</v>
      </c>
    </row>
    <row r="2159" spans="1:4" x14ac:dyDescent="0.35">
      <c r="A2159" t="s">
        <v>19</v>
      </c>
      <c r="B2159" t="s">
        <v>5</v>
      </c>
      <c r="C2159" t="s">
        <v>39</v>
      </c>
      <c r="D2159">
        <v>0</v>
      </c>
    </row>
    <row r="2160" spans="1:4" x14ac:dyDescent="0.35">
      <c r="A2160" t="s">
        <v>20</v>
      </c>
      <c r="B2160" t="s">
        <v>5</v>
      </c>
      <c r="C2160" t="s">
        <v>39</v>
      </c>
      <c r="D2160">
        <v>0</v>
      </c>
    </row>
    <row r="2161" spans="1:4" x14ac:dyDescent="0.35">
      <c r="A2161" t="s">
        <v>21</v>
      </c>
      <c r="B2161" t="s">
        <v>5</v>
      </c>
      <c r="C2161" t="s">
        <v>39</v>
      </c>
      <c r="D2161">
        <v>0</v>
      </c>
    </row>
    <row r="2162" spans="1:4" x14ac:dyDescent="0.35">
      <c r="A2162" t="s">
        <v>22</v>
      </c>
      <c r="B2162" t="s">
        <v>5</v>
      </c>
      <c r="C2162" t="s">
        <v>39</v>
      </c>
      <c r="D2162">
        <v>0</v>
      </c>
    </row>
    <row r="2163" spans="1:4" x14ac:dyDescent="0.35">
      <c r="A2163" t="s">
        <v>23</v>
      </c>
      <c r="B2163" t="s">
        <v>5</v>
      </c>
      <c r="C2163" t="s">
        <v>39</v>
      </c>
      <c r="D2163">
        <v>0</v>
      </c>
    </row>
    <row r="2164" spans="1:4" x14ac:dyDescent="0.35">
      <c r="A2164" t="s">
        <v>24</v>
      </c>
      <c r="B2164" t="s">
        <v>5</v>
      </c>
      <c r="C2164" t="s">
        <v>39</v>
      </c>
      <c r="D2164">
        <v>0</v>
      </c>
    </row>
    <row r="2165" spans="1:4" x14ac:dyDescent="0.35">
      <c r="A2165" t="s">
        <v>25</v>
      </c>
      <c r="B2165" t="s">
        <v>5</v>
      </c>
      <c r="C2165" t="s">
        <v>39</v>
      </c>
      <c r="D2165">
        <v>0</v>
      </c>
    </row>
    <row r="2166" spans="1:4" x14ac:dyDescent="0.35">
      <c r="A2166" t="s">
        <v>26</v>
      </c>
      <c r="B2166" t="s">
        <v>5</v>
      </c>
      <c r="C2166" t="s">
        <v>39</v>
      </c>
      <c r="D2166">
        <v>0</v>
      </c>
    </row>
    <row r="2167" spans="1:4" x14ac:dyDescent="0.35">
      <c r="A2167" t="s">
        <v>27</v>
      </c>
      <c r="B2167" t="s">
        <v>5</v>
      </c>
      <c r="C2167" t="s">
        <v>39</v>
      </c>
      <c r="D2167">
        <v>0</v>
      </c>
    </row>
    <row r="2168" spans="1:4" x14ac:dyDescent="0.35">
      <c r="A2168" t="s">
        <v>28</v>
      </c>
      <c r="B2168" t="s">
        <v>5</v>
      </c>
      <c r="C2168" t="s">
        <v>39</v>
      </c>
      <c r="D2168">
        <v>0</v>
      </c>
    </row>
    <row r="2169" spans="1:4" x14ac:dyDescent="0.35">
      <c r="A2169" t="s">
        <v>29</v>
      </c>
      <c r="B2169" t="s">
        <v>5</v>
      </c>
      <c r="C2169" t="s">
        <v>39</v>
      </c>
      <c r="D2169">
        <v>0</v>
      </c>
    </row>
    <row r="2170" spans="1:4" x14ac:dyDescent="0.35">
      <c r="A2170" t="s">
        <v>30</v>
      </c>
      <c r="B2170" t="s">
        <v>5</v>
      </c>
      <c r="C2170" t="s">
        <v>39</v>
      </c>
      <c r="D2170">
        <v>0</v>
      </c>
    </row>
    <row r="2171" spans="1:4" x14ac:dyDescent="0.35">
      <c r="A2171" t="s">
        <v>31</v>
      </c>
      <c r="B2171" t="s">
        <v>5</v>
      </c>
      <c r="C2171" t="s">
        <v>39</v>
      </c>
      <c r="D2171">
        <v>0</v>
      </c>
    </row>
    <row r="2172" spans="1:4" x14ac:dyDescent="0.35">
      <c r="A2172" t="s">
        <v>32</v>
      </c>
      <c r="B2172" t="s">
        <v>5</v>
      </c>
      <c r="C2172" t="s">
        <v>39</v>
      </c>
      <c r="D2172">
        <v>0</v>
      </c>
    </row>
    <row r="2173" spans="1:4" x14ac:dyDescent="0.35">
      <c r="A2173" t="s">
        <v>33</v>
      </c>
      <c r="B2173" t="s">
        <v>5</v>
      </c>
      <c r="C2173" t="s">
        <v>39</v>
      </c>
      <c r="D2173">
        <v>0</v>
      </c>
    </row>
    <row r="2174" spans="1:4" x14ac:dyDescent="0.35">
      <c r="A2174" t="s">
        <v>34</v>
      </c>
      <c r="B2174" t="s">
        <v>5</v>
      </c>
      <c r="C2174" t="s">
        <v>39</v>
      </c>
      <c r="D2174">
        <v>0</v>
      </c>
    </row>
    <row r="2175" spans="1:4" x14ac:dyDescent="0.35">
      <c r="A2175" t="s">
        <v>35</v>
      </c>
      <c r="B2175" t="s">
        <v>5</v>
      </c>
      <c r="C2175" t="s">
        <v>39</v>
      </c>
      <c r="D2175">
        <v>0</v>
      </c>
    </row>
    <row r="2176" spans="1:4" x14ac:dyDescent="0.35">
      <c r="A2176" t="s">
        <v>36</v>
      </c>
      <c r="B2176" t="s">
        <v>5</v>
      </c>
      <c r="C2176" t="s">
        <v>39</v>
      </c>
      <c r="D2176">
        <v>0</v>
      </c>
    </row>
    <row r="2177" spans="1:4" x14ac:dyDescent="0.35">
      <c r="A2177" t="s">
        <v>37</v>
      </c>
      <c r="B2177" t="s">
        <v>5</v>
      </c>
      <c r="C2177" t="s">
        <v>39</v>
      </c>
      <c r="D2177">
        <v>0</v>
      </c>
    </row>
    <row r="2178" spans="1:4" x14ac:dyDescent="0.35">
      <c r="A2178" t="s">
        <v>38</v>
      </c>
      <c r="B2178" t="s">
        <v>5</v>
      </c>
      <c r="C2178" t="s">
        <v>39</v>
      </c>
      <c r="D2178">
        <v>0</v>
      </c>
    </row>
    <row r="2179" spans="1:4" x14ac:dyDescent="0.35">
      <c r="A2179" t="s">
        <v>39</v>
      </c>
      <c r="B2179" t="s">
        <v>5</v>
      </c>
      <c r="C2179" t="s">
        <v>39</v>
      </c>
      <c r="D2179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/>
  <dimension ref="A1:D2179"/>
  <sheetViews>
    <sheetView workbookViewId="0">
      <selection activeCell="D1" sqref="D1"/>
    </sheetView>
  </sheetViews>
  <sheetFormatPr defaultRowHeight="14.5" x14ac:dyDescent="0.35"/>
  <sheetData>
    <row r="1" spans="1:4" x14ac:dyDescent="0.3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5">
      <c r="A2" t="s">
        <v>7</v>
      </c>
      <c r="B2" t="s">
        <v>4</v>
      </c>
      <c r="C2" t="s">
        <v>7</v>
      </c>
      <c r="D2">
        <v>0</v>
      </c>
    </row>
    <row r="3" spans="1:4" x14ac:dyDescent="0.35">
      <c r="A3" t="s">
        <v>8</v>
      </c>
      <c r="B3" t="s">
        <v>4</v>
      </c>
      <c r="C3" t="s">
        <v>7</v>
      </c>
      <c r="D3">
        <v>0</v>
      </c>
    </row>
    <row r="4" spans="1:4" x14ac:dyDescent="0.35">
      <c r="A4" t="s">
        <v>9</v>
      </c>
      <c r="B4" t="s">
        <v>4</v>
      </c>
      <c r="C4" t="s">
        <v>7</v>
      </c>
      <c r="D4">
        <v>0</v>
      </c>
    </row>
    <row r="5" spans="1:4" x14ac:dyDescent="0.35">
      <c r="A5" t="s">
        <v>10</v>
      </c>
      <c r="B5" t="s">
        <v>4</v>
      </c>
      <c r="C5" t="s">
        <v>7</v>
      </c>
      <c r="D5">
        <v>0</v>
      </c>
    </row>
    <row r="6" spans="1:4" x14ac:dyDescent="0.35">
      <c r="A6" t="s">
        <v>11</v>
      </c>
      <c r="B6" t="s">
        <v>4</v>
      </c>
      <c r="C6" t="s">
        <v>7</v>
      </c>
      <c r="D6">
        <v>0</v>
      </c>
    </row>
    <row r="7" spans="1:4" x14ac:dyDescent="0.35">
      <c r="A7" t="s">
        <v>12</v>
      </c>
      <c r="B7" t="s">
        <v>4</v>
      </c>
      <c r="C7" t="s">
        <v>7</v>
      </c>
      <c r="D7">
        <v>0</v>
      </c>
    </row>
    <row r="8" spans="1:4" x14ac:dyDescent="0.35">
      <c r="A8" t="s">
        <v>13</v>
      </c>
      <c r="B8" t="s">
        <v>4</v>
      </c>
      <c r="C8" t="s">
        <v>7</v>
      </c>
      <c r="D8">
        <v>0</v>
      </c>
    </row>
    <row r="9" spans="1:4" x14ac:dyDescent="0.35">
      <c r="A9" t="s">
        <v>14</v>
      </c>
      <c r="B9" t="s">
        <v>4</v>
      </c>
      <c r="C9" t="s">
        <v>7</v>
      </c>
      <c r="D9">
        <v>0</v>
      </c>
    </row>
    <row r="10" spans="1:4" x14ac:dyDescent="0.35">
      <c r="A10" t="s">
        <v>15</v>
      </c>
      <c r="B10" t="s">
        <v>4</v>
      </c>
      <c r="C10" t="s">
        <v>7</v>
      </c>
      <c r="D10">
        <v>0</v>
      </c>
    </row>
    <row r="11" spans="1:4" x14ac:dyDescent="0.35">
      <c r="A11" t="s">
        <v>16</v>
      </c>
      <c r="B11" t="s">
        <v>4</v>
      </c>
      <c r="C11" t="s">
        <v>7</v>
      </c>
      <c r="D11">
        <v>0</v>
      </c>
    </row>
    <row r="12" spans="1:4" x14ac:dyDescent="0.35">
      <c r="A12" t="s">
        <v>17</v>
      </c>
      <c r="B12" t="s">
        <v>4</v>
      </c>
      <c r="C12" t="s">
        <v>7</v>
      </c>
      <c r="D12">
        <v>0</v>
      </c>
    </row>
    <row r="13" spans="1:4" x14ac:dyDescent="0.35">
      <c r="A13" t="s">
        <v>18</v>
      </c>
      <c r="B13" t="s">
        <v>4</v>
      </c>
      <c r="C13" t="s">
        <v>7</v>
      </c>
      <c r="D13">
        <v>0</v>
      </c>
    </row>
    <row r="14" spans="1:4" x14ac:dyDescent="0.35">
      <c r="A14" t="s">
        <v>19</v>
      </c>
      <c r="B14" t="s">
        <v>4</v>
      </c>
      <c r="C14" t="s">
        <v>7</v>
      </c>
      <c r="D14">
        <v>0</v>
      </c>
    </row>
    <row r="15" spans="1:4" x14ac:dyDescent="0.35">
      <c r="A15" t="s">
        <v>20</v>
      </c>
      <c r="B15" t="s">
        <v>4</v>
      </c>
      <c r="C15" t="s">
        <v>7</v>
      </c>
      <c r="D15">
        <v>0</v>
      </c>
    </row>
    <row r="16" spans="1:4" x14ac:dyDescent="0.35">
      <c r="A16" t="s">
        <v>21</v>
      </c>
      <c r="B16" t="s">
        <v>4</v>
      </c>
      <c r="C16" t="s">
        <v>7</v>
      </c>
      <c r="D16">
        <v>0</v>
      </c>
    </row>
    <row r="17" spans="1:4" x14ac:dyDescent="0.35">
      <c r="A17" t="s">
        <v>22</v>
      </c>
      <c r="B17" t="s">
        <v>4</v>
      </c>
      <c r="C17" t="s">
        <v>7</v>
      </c>
      <c r="D17">
        <v>0</v>
      </c>
    </row>
    <row r="18" spans="1:4" x14ac:dyDescent="0.35">
      <c r="A18" t="s">
        <v>23</v>
      </c>
      <c r="B18" t="s">
        <v>4</v>
      </c>
      <c r="C18" t="s">
        <v>7</v>
      </c>
      <c r="D18">
        <v>0</v>
      </c>
    </row>
    <row r="19" spans="1:4" x14ac:dyDescent="0.35">
      <c r="A19" t="s">
        <v>24</v>
      </c>
      <c r="B19" t="s">
        <v>4</v>
      </c>
      <c r="C19" t="s">
        <v>7</v>
      </c>
      <c r="D19">
        <v>0</v>
      </c>
    </row>
    <row r="20" spans="1:4" x14ac:dyDescent="0.35">
      <c r="A20" t="s">
        <v>25</v>
      </c>
      <c r="B20" t="s">
        <v>4</v>
      </c>
      <c r="C20" t="s">
        <v>7</v>
      </c>
      <c r="D20">
        <v>0</v>
      </c>
    </row>
    <row r="21" spans="1:4" x14ac:dyDescent="0.35">
      <c r="A21" t="s">
        <v>26</v>
      </c>
      <c r="B21" t="s">
        <v>4</v>
      </c>
      <c r="C21" t="s">
        <v>7</v>
      </c>
      <c r="D21">
        <v>0</v>
      </c>
    </row>
    <row r="22" spans="1:4" x14ac:dyDescent="0.35">
      <c r="A22" t="s">
        <v>27</v>
      </c>
      <c r="B22" t="s">
        <v>4</v>
      </c>
      <c r="C22" t="s">
        <v>7</v>
      </c>
      <c r="D22">
        <v>0</v>
      </c>
    </row>
    <row r="23" spans="1:4" x14ac:dyDescent="0.35">
      <c r="A23" t="s">
        <v>28</v>
      </c>
      <c r="B23" t="s">
        <v>4</v>
      </c>
      <c r="C23" t="s">
        <v>7</v>
      </c>
      <c r="D23">
        <v>0</v>
      </c>
    </row>
    <row r="24" spans="1:4" x14ac:dyDescent="0.35">
      <c r="A24" t="s">
        <v>29</v>
      </c>
      <c r="B24" t="s">
        <v>4</v>
      </c>
      <c r="C24" t="s">
        <v>7</v>
      </c>
      <c r="D24">
        <v>0</v>
      </c>
    </row>
    <row r="25" spans="1:4" x14ac:dyDescent="0.35">
      <c r="A25" t="s">
        <v>30</v>
      </c>
      <c r="B25" t="s">
        <v>4</v>
      </c>
      <c r="C25" t="s">
        <v>7</v>
      </c>
      <c r="D25">
        <v>0</v>
      </c>
    </row>
    <row r="26" spans="1:4" x14ac:dyDescent="0.35">
      <c r="A26" t="s">
        <v>31</v>
      </c>
      <c r="B26" t="s">
        <v>4</v>
      </c>
      <c r="C26" t="s">
        <v>7</v>
      </c>
      <c r="D26">
        <v>0</v>
      </c>
    </row>
    <row r="27" spans="1:4" x14ac:dyDescent="0.35">
      <c r="A27" t="s">
        <v>32</v>
      </c>
      <c r="B27" t="s">
        <v>4</v>
      </c>
      <c r="C27" t="s">
        <v>7</v>
      </c>
      <c r="D27">
        <v>0</v>
      </c>
    </row>
    <row r="28" spans="1:4" x14ac:dyDescent="0.35">
      <c r="A28" t="s">
        <v>33</v>
      </c>
      <c r="B28" t="s">
        <v>4</v>
      </c>
      <c r="C28" t="s">
        <v>7</v>
      </c>
      <c r="D28">
        <v>0</v>
      </c>
    </row>
    <row r="29" spans="1:4" x14ac:dyDescent="0.35">
      <c r="A29" t="s">
        <v>34</v>
      </c>
      <c r="B29" t="s">
        <v>4</v>
      </c>
      <c r="C29" t="s">
        <v>7</v>
      </c>
      <c r="D29">
        <v>0</v>
      </c>
    </row>
    <row r="30" spans="1:4" x14ac:dyDescent="0.35">
      <c r="A30" t="s">
        <v>35</v>
      </c>
      <c r="B30" t="s">
        <v>4</v>
      </c>
      <c r="C30" t="s">
        <v>7</v>
      </c>
      <c r="D30">
        <v>0</v>
      </c>
    </row>
    <row r="31" spans="1:4" x14ac:dyDescent="0.35">
      <c r="A31" t="s">
        <v>36</v>
      </c>
      <c r="B31" t="s">
        <v>4</v>
      </c>
      <c r="C31" t="s">
        <v>7</v>
      </c>
      <c r="D31">
        <v>0</v>
      </c>
    </row>
    <row r="32" spans="1:4" x14ac:dyDescent="0.35">
      <c r="A32" t="s">
        <v>37</v>
      </c>
      <c r="B32" t="s">
        <v>4</v>
      </c>
      <c r="C32" t="s">
        <v>7</v>
      </c>
      <c r="D32">
        <v>0</v>
      </c>
    </row>
    <row r="33" spans="1:4" x14ac:dyDescent="0.35">
      <c r="A33" t="s">
        <v>38</v>
      </c>
      <c r="B33" t="s">
        <v>4</v>
      </c>
      <c r="C33" t="s">
        <v>7</v>
      </c>
      <c r="D33">
        <v>0</v>
      </c>
    </row>
    <row r="34" spans="1:4" x14ac:dyDescent="0.35">
      <c r="A34" t="s">
        <v>39</v>
      </c>
      <c r="B34" t="s">
        <v>4</v>
      </c>
      <c r="C34" t="s">
        <v>7</v>
      </c>
      <c r="D34">
        <v>0</v>
      </c>
    </row>
    <row r="35" spans="1:4" x14ac:dyDescent="0.35">
      <c r="A35" t="s">
        <v>7</v>
      </c>
      <c r="B35" t="s">
        <v>5</v>
      </c>
      <c r="C35" t="s">
        <v>7</v>
      </c>
      <c r="D35">
        <v>0</v>
      </c>
    </row>
    <row r="36" spans="1:4" x14ac:dyDescent="0.35">
      <c r="A36" t="s">
        <v>8</v>
      </c>
      <c r="B36" t="s">
        <v>5</v>
      </c>
      <c r="C36" t="s">
        <v>7</v>
      </c>
      <c r="D36">
        <v>0</v>
      </c>
    </row>
    <row r="37" spans="1:4" x14ac:dyDescent="0.35">
      <c r="A37" t="s">
        <v>9</v>
      </c>
      <c r="B37" t="s">
        <v>5</v>
      </c>
      <c r="C37" t="s">
        <v>7</v>
      </c>
      <c r="D37">
        <v>0</v>
      </c>
    </row>
    <row r="38" spans="1:4" x14ac:dyDescent="0.35">
      <c r="A38" t="s">
        <v>10</v>
      </c>
      <c r="B38" t="s">
        <v>5</v>
      </c>
      <c r="C38" t="s">
        <v>7</v>
      </c>
      <c r="D38">
        <v>0</v>
      </c>
    </row>
    <row r="39" spans="1:4" x14ac:dyDescent="0.35">
      <c r="A39" t="s">
        <v>11</v>
      </c>
      <c r="B39" t="s">
        <v>5</v>
      </c>
      <c r="C39" t="s">
        <v>7</v>
      </c>
      <c r="D39">
        <v>0</v>
      </c>
    </row>
    <row r="40" spans="1:4" x14ac:dyDescent="0.35">
      <c r="A40" t="s">
        <v>12</v>
      </c>
      <c r="B40" t="s">
        <v>5</v>
      </c>
      <c r="C40" t="s">
        <v>7</v>
      </c>
      <c r="D40">
        <v>0</v>
      </c>
    </row>
    <row r="41" spans="1:4" x14ac:dyDescent="0.35">
      <c r="A41" t="s">
        <v>13</v>
      </c>
      <c r="B41" t="s">
        <v>5</v>
      </c>
      <c r="C41" t="s">
        <v>7</v>
      </c>
      <c r="D41">
        <v>0</v>
      </c>
    </row>
    <row r="42" spans="1:4" x14ac:dyDescent="0.35">
      <c r="A42" t="s">
        <v>14</v>
      </c>
      <c r="B42" t="s">
        <v>5</v>
      </c>
      <c r="C42" t="s">
        <v>7</v>
      </c>
      <c r="D42">
        <v>0</v>
      </c>
    </row>
    <row r="43" spans="1:4" x14ac:dyDescent="0.35">
      <c r="A43" t="s">
        <v>15</v>
      </c>
      <c r="B43" t="s">
        <v>5</v>
      </c>
      <c r="C43" t="s">
        <v>7</v>
      </c>
      <c r="D43">
        <v>0</v>
      </c>
    </row>
    <row r="44" spans="1:4" x14ac:dyDescent="0.35">
      <c r="A44" t="s">
        <v>16</v>
      </c>
      <c r="B44" t="s">
        <v>5</v>
      </c>
      <c r="C44" t="s">
        <v>7</v>
      </c>
      <c r="D44">
        <v>0</v>
      </c>
    </row>
    <row r="45" spans="1:4" x14ac:dyDescent="0.35">
      <c r="A45" t="s">
        <v>17</v>
      </c>
      <c r="B45" t="s">
        <v>5</v>
      </c>
      <c r="C45" t="s">
        <v>7</v>
      </c>
      <c r="D45">
        <v>0</v>
      </c>
    </row>
    <row r="46" spans="1:4" x14ac:dyDescent="0.35">
      <c r="A46" t="s">
        <v>18</v>
      </c>
      <c r="B46" t="s">
        <v>5</v>
      </c>
      <c r="C46" t="s">
        <v>7</v>
      </c>
      <c r="D46">
        <v>0</v>
      </c>
    </row>
    <row r="47" spans="1:4" x14ac:dyDescent="0.35">
      <c r="A47" t="s">
        <v>19</v>
      </c>
      <c r="B47" t="s">
        <v>5</v>
      </c>
      <c r="C47" t="s">
        <v>7</v>
      </c>
      <c r="D47">
        <v>0</v>
      </c>
    </row>
    <row r="48" spans="1:4" x14ac:dyDescent="0.35">
      <c r="A48" t="s">
        <v>20</v>
      </c>
      <c r="B48" t="s">
        <v>5</v>
      </c>
      <c r="C48" t="s">
        <v>7</v>
      </c>
      <c r="D48">
        <v>0</v>
      </c>
    </row>
    <row r="49" spans="1:4" x14ac:dyDescent="0.35">
      <c r="A49" t="s">
        <v>21</v>
      </c>
      <c r="B49" t="s">
        <v>5</v>
      </c>
      <c r="C49" t="s">
        <v>7</v>
      </c>
      <c r="D49">
        <v>0</v>
      </c>
    </row>
    <row r="50" spans="1:4" x14ac:dyDescent="0.35">
      <c r="A50" t="s">
        <v>22</v>
      </c>
      <c r="B50" t="s">
        <v>5</v>
      </c>
      <c r="C50" t="s">
        <v>7</v>
      </c>
      <c r="D50">
        <v>0</v>
      </c>
    </row>
    <row r="51" spans="1:4" x14ac:dyDescent="0.35">
      <c r="A51" t="s">
        <v>23</v>
      </c>
      <c r="B51" t="s">
        <v>5</v>
      </c>
      <c r="C51" t="s">
        <v>7</v>
      </c>
      <c r="D51">
        <v>0</v>
      </c>
    </row>
    <row r="52" spans="1:4" x14ac:dyDescent="0.35">
      <c r="A52" t="s">
        <v>24</v>
      </c>
      <c r="B52" t="s">
        <v>5</v>
      </c>
      <c r="C52" t="s">
        <v>7</v>
      </c>
      <c r="D52">
        <v>0</v>
      </c>
    </row>
    <row r="53" spans="1:4" x14ac:dyDescent="0.35">
      <c r="A53" t="s">
        <v>25</v>
      </c>
      <c r="B53" t="s">
        <v>5</v>
      </c>
      <c r="C53" t="s">
        <v>7</v>
      </c>
      <c r="D53">
        <v>0</v>
      </c>
    </row>
    <row r="54" spans="1:4" x14ac:dyDescent="0.35">
      <c r="A54" t="s">
        <v>26</v>
      </c>
      <c r="B54" t="s">
        <v>5</v>
      </c>
      <c r="C54" t="s">
        <v>7</v>
      </c>
      <c r="D54">
        <v>0</v>
      </c>
    </row>
    <row r="55" spans="1:4" x14ac:dyDescent="0.35">
      <c r="A55" t="s">
        <v>27</v>
      </c>
      <c r="B55" t="s">
        <v>5</v>
      </c>
      <c r="C55" t="s">
        <v>7</v>
      </c>
      <c r="D55">
        <v>0</v>
      </c>
    </row>
    <row r="56" spans="1:4" x14ac:dyDescent="0.35">
      <c r="A56" t="s">
        <v>28</v>
      </c>
      <c r="B56" t="s">
        <v>5</v>
      </c>
      <c r="C56" t="s">
        <v>7</v>
      </c>
      <c r="D56">
        <v>0</v>
      </c>
    </row>
    <row r="57" spans="1:4" x14ac:dyDescent="0.35">
      <c r="A57" t="s">
        <v>29</v>
      </c>
      <c r="B57" t="s">
        <v>5</v>
      </c>
      <c r="C57" t="s">
        <v>7</v>
      </c>
      <c r="D57">
        <v>0</v>
      </c>
    </row>
    <row r="58" spans="1:4" x14ac:dyDescent="0.35">
      <c r="A58" t="s">
        <v>30</v>
      </c>
      <c r="B58" t="s">
        <v>5</v>
      </c>
      <c r="C58" t="s">
        <v>7</v>
      </c>
      <c r="D58">
        <v>0</v>
      </c>
    </row>
    <row r="59" spans="1:4" x14ac:dyDescent="0.35">
      <c r="A59" t="s">
        <v>31</v>
      </c>
      <c r="B59" t="s">
        <v>5</v>
      </c>
      <c r="C59" t="s">
        <v>7</v>
      </c>
      <c r="D59">
        <v>0</v>
      </c>
    </row>
    <row r="60" spans="1:4" x14ac:dyDescent="0.35">
      <c r="A60" t="s">
        <v>32</v>
      </c>
      <c r="B60" t="s">
        <v>5</v>
      </c>
      <c r="C60" t="s">
        <v>7</v>
      </c>
      <c r="D60">
        <v>0</v>
      </c>
    </row>
    <row r="61" spans="1:4" x14ac:dyDescent="0.35">
      <c r="A61" t="s">
        <v>33</v>
      </c>
      <c r="B61" t="s">
        <v>5</v>
      </c>
      <c r="C61" t="s">
        <v>7</v>
      </c>
      <c r="D61">
        <v>0</v>
      </c>
    </row>
    <row r="62" spans="1:4" x14ac:dyDescent="0.35">
      <c r="A62" t="s">
        <v>34</v>
      </c>
      <c r="B62" t="s">
        <v>5</v>
      </c>
      <c r="C62" t="s">
        <v>7</v>
      </c>
      <c r="D62">
        <v>0</v>
      </c>
    </row>
    <row r="63" spans="1:4" x14ac:dyDescent="0.35">
      <c r="A63" t="s">
        <v>35</v>
      </c>
      <c r="B63" t="s">
        <v>5</v>
      </c>
      <c r="C63" t="s">
        <v>7</v>
      </c>
      <c r="D63">
        <v>0</v>
      </c>
    </row>
    <row r="64" spans="1:4" x14ac:dyDescent="0.35">
      <c r="A64" t="s">
        <v>36</v>
      </c>
      <c r="B64" t="s">
        <v>5</v>
      </c>
      <c r="C64" t="s">
        <v>7</v>
      </c>
      <c r="D64">
        <v>0</v>
      </c>
    </row>
    <row r="65" spans="1:4" x14ac:dyDescent="0.35">
      <c r="A65" t="s">
        <v>37</v>
      </c>
      <c r="B65" t="s">
        <v>5</v>
      </c>
      <c r="C65" t="s">
        <v>7</v>
      </c>
      <c r="D65">
        <v>0</v>
      </c>
    </row>
    <row r="66" spans="1:4" x14ac:dyDescent="0.35">
      <c r="A66" t="s">
        <v>38</v>
      </c>
      <c r="B66" t="s">
        <v>5</v>
      </c>
      <c r="C66" t="s">
        <v>7</v>
      </c>
      <c r="D66">
        <v>0</v>
      </c>
    </row>
    <row r="67" spans="1:4" x14ac:dyDescent="0.35">
      <c r="A67" t="s">
        <v>39</v>
      </c>
      <c r="B67" t="s">
        <v>5</v>
      </c>
      <c r="C67" t="s">
        <v>7</v>
      </c>
      <c r="D67">
        <v>0</v>
      </c>
    </row>
    <row r="68" spans="1:4" x14ac:dyDescent="0.35">
      <c r="A68" t="s">
        <v>7</v>
      </c>
      <c r="B68" t="s">
        <v>4</v>
      </c>
      <c r="C68" t="s">
        <v>8</v>
      </c>
      <c r="D68">
        <v>0</v>
      </c>
    </row>
    <row r="69" spans="1:4" x14ac:dyDescent="0.35">
      <c r="A69" t="s">
        <v>8</v>
      </c>
      <c r="B69" t="s">
        <v>4</v>
      </c>
      <c r="C69" t="s">
        <v>8</v>
      </c>
      <c r="D69">
        <v>0</v>
      </c>
    </row>
    <row r="70" spans="1:4" x14ac:dyDescent="0.35">
      <c r="A70" t="s">
        <v>9</v>
      </c>
      <c r="B70" t="s">
        <v>4</v>
      </c>
      <c r="C70" t="s">
        <v>8</v>
      </c>
      <c r="D70">
        <v>0</v>
      </c>
    </row>
    <row r="71" spans="1:4" x14ac:dyDescent="0.35">
      <c r="A71" t="s">
        <v>10</v>
      </c>
      <c r="B71" t="s">
        <v>4</v>
      </c>
      <c r="C71" t="s">
        <v>8</v>
      </c>
      <c r="D71">
        <v>0</v>
      </c>
    </row>
    <row r="72" spans="1:4" x14ac:dyDescent="0.35">
      <c r="A72" t="s">
        <v>11</v>
      </c>
      <c r="B72" t="s">
        <v>4</v>
      </c>
      <c r="C72" t="s">
        <v>8</v>
      </c>
      <c r="D72">
        <v>0</v>
      </c>
    </row>
    <row r="73" spans="1:4" x14ac:dyDescent="0.35">
      <c r="A73" t="s">
        <v>12</v>
      </c>
      <c r="B73" t="s">
        <v>4</v>
      </c>
      <c r="C73" t="s">
        <v>8</v>
      </c>
      <c r="D73">
        <v>0</v>
      </c>
    </row>
    <row r="74" spans="1:4" x14ac:dyDescent="0.35">
      <c r="A74" t="s">
        <v>13</v>
      </c>
      <c r="B74" t="s">
        <v>4</v>
      </c>
      <c r="C74" t="s">
        <v>8</v>
      </c>
      <c r="D74">
        <v>0</v>
      </c>
    </row>
    <row r="75" spans="1:4" x14ac:dyDescent="0.35">
      <c r="A75" t="s">
        <v>14</v>
      </c>
      <c r="B75" t="s">
        <v>4</v>
      </c>
      <c r="C75" t="s">
        <v>8</v>
      </c>
      <c r="D75">
        <v>0</v>
      </c>
    </row>
    <row r="76" spans="1:4" x14ac:dyDescent="0.35">
      <c r="A76" t="s">
        <v>15</v>
      </c>
      <c r="B76" t="s">
        <v>4</v>
      </c>
      <c r="C76" t="s">
        <v>8</v>
      </c>
      <c r="D76">
        <v>0</v>
      </c>
    </row>
    <row r="77" spans="1:4" x14ac:dyDescent="0.35">
      <c r="A77" t="s">
        <v>16</v>
      </c>
      <c r="B77" t="s">
        <v>4</v>
      </c>
      <c r="C77" t="s">
        <v>8</v>
      </c>
      <c r="D77">
        <v>0</v>
      </c>
    </row>
    <row r="78" spans="1:4" x14ac:dyDescent="0.35">
      <c r="A78" t="s">
        <v>17</v>
      </c>
      <c r="B78" t="s">
        <v>4</v>
      </c>
      <c r="C78" t="s">
        <v>8</v>
      </c>
      <c r="D78">
        <v>0</v>
      </c>
    </row>
    <row r="79" spans="1:4" x14ac:dyDescent="0.35">
      <c r="A79" t="s">
        <v>18</v>
      </c>
      <c r="B79" t="s">
        <v>4</v>
      </c>
      <c r="C79" t="s">
        <v>8</v>
      </c>
      <c r="D79">
        <v>0</v>
      </c>
    </row>
    <row r="80" spans="1:4" x14ac:dyDescent="0.35">
      <c r="A80" t="s">
        <v>19</v>
      </c>
      <c r="B80" t="s">
        <v>4</v>
      </c>
      <c r="C80" t="s">
        <v>8</v>
      </c>
      <c r="D80">
        <v>0</v>
      </c>
    </row>
    <row r="81" spans="1:4" x14ac:dyDescent="0.35">
      <c r="A81" t="s">
        <v>20</v>
      </c>
      <c r="B81" t="s">
        <v>4</v>
      </c>
      <c r="C81" t="s">
        <v>8</v>
      </c>
      <c r="D81">
        <v>0</v>
      </c>
    </row>
    <row r="82" spans="1:4" x14ac:dyDescent="0.35">
      <c r="A82" t="s">
        <v>21</v>
      </c>
      <c r="B82" t="s">
        <v>4</v>
      </c>
      <c r="C82" t="s">
        <v>8</v>
      </c>
      <c r="D82">
        <v>0</v>
      </c>
    </row>
    <row r="83" spans="1:4" x14ac:dyDescent="0.35">
      <c r="A83" t="s">
        <v>22</v>
      </c>
      <c r="B83" t="s">
        <v>4</v>
      </c>
      <c r="C83" t="s">
        <v>8</v>
      </c>
      <c r="D83">
        <v>0</v>
      </c>
    </row>
    <row r="84" spans="1:4" x14ac:dyDescent="0.35">
      <c r="A84" t="s">
        <v>23</v>
      </c>
      <c r="B84" t="s">
        <v>4</v>
      </c>
      <c r="C84" t="s">
        <v>8</v>
      </c>
      <c r="D84">
        <v>0</v>
      </c>
    </row>
    <row r="85" spans="1:4" x14ac:dyDescent="0.35">
      <c r="A85" t="s">
        <v>24</v>
      </c>
      <c r="B85" t="s">
        <v>4</v>
      </c>
      <c r="C85" t="s">
        <v>8</v>
      </c>
      <c r="D85">
        <v>0</v>
      </c>
    </row>
    <row r="86" spans="1:4" x14ac:dyDescent="0.35">
      <c r="A86" t="s">
        <v>25</v>
      </c>
      <c r="B86" t="s">
        <v>4</v>
      </c>
      <c r="C86" t="s">
        <v>8</v>
      </c>
      <c r="D86">
        <v>0</v>
      </c>
    </row>
    <row r="87" spans="1:4" x14ac:dyDescent="0.35">
      <c r="A87" t="s">
        <v>26</v>
      </c>
      <c r="B87" t="s">
        <v>4</v>
      </c>
      <c r="C87" t="s">
        <v>8</v>
      </c>
      <c r="D87">
        <v>0</v>
      </c>
    </row>
    <row r="88" spans="1:4" x14ac:dyDescent="0.35">
      <c r="A88" t="s">
        <v>27</v>
      </c>
      <c r="B88" t="s">
        <v>4</v>
      </c>
      <c r="C88" t="s">
        <v>8</v>
      </c>
      <c r="D88">
        <v>0</v>
      </c>
    </row>
    <row r="89" spans="1:4" x14ac:dyDescent="0.35">
      <c r="A89" t="s">
        <v>28</v>
      </c>
      <c r="B89" t="s">
        <v>4</v>
      </c>
      <c r="C89" t="s">
        <v>8</v>
      </c>
      <c r="D89">
        <v>0</v>
      </c>
    </row>
    <row r="90" spans="1:4" x14ac:dyDescent="0.35">
      <c r="A90" t="s">
        <v>29</v>
      </c>
      <c r="B90" t="s">
        <v>4</v>
      </c>
      <c r="C90" t="s">
        <v>8</v>
      </c>
      <c r="D90">
        <v>0</v>
      </c>
    </row>
    <row r="91" spans="1:4" x14ac:dyDescent="0.35">
      <c r="A91" t="s">
        <v>30</v>
      </c>
      <c r="B91" t="s">
        <v>4</v>
      </c>
      <c r="C91" t="s">
        <v>8</v>
      </c>
      <c r="D91">
        <v>0</v>
      </c>
    </row>
    <row r="92" spans="1:4" x14ac:dyDescent="0.35">
      <c r="A92" t="s">
        <v>31</v>
      </c>
      <c r="B92" t="s">
        <v>4</v>
      </c>
      <c r="C92" t="s">
        <v>8</v>
      </c>
      <c r="D92">
        <v>0</v>
      </c>
    </row>
    <row r="93" spans="1:4" x14ac:dyDescent="0.35">
      <c r="A93" t="s">
        <v>32</v>
      </c>
      <c r="B93" t="s">
        <v>4</v>
      </c>
      <c r="C93" t="s">
        <v>8</v>
      </c>
      <c r="D93">
        <v>0</v>
      </c>
    </row>
    <row r="94" spans="1:4" x14ac:dyDescent="0.35">
      <c r="A94" t="s">
        <v>33</v>
      </c>
      <c r="B94" t="s">
        <v>4</v>
      </c>
      <c r="C94" t="s">
        <v>8</v>
      </c>
      <c r="D94">
        <v>0</v>
      </c>
    </row>
    <row r="95" spans="1:4" x14ac:dyDescent="0.35">
      <c r="A95" t="s">
        <v>34</v>
      </c>
      <c r="B95" t="s">
        <v>4</v>
      </c>
      <c r="C95" t="s">
        <v>8</v>
      </c>
      <c r="D95">
        <v>0</v>
      </c>
    </row>
    <row r="96" spans="1:4" x14ac:dyDescent="0.35">
      <c r="A96" t="s">
        <v>35</v>
      </c>
      <c r="B96" t="s">
        <v>4</v>
      </c>
      <c r="C96" t="s">
        <v>8</v>
      </c>
      <c r="D96">
        <v>0</v>
      </c>
    </row>
    <row r="97" spans="1:4" x14ac:dyDescent="0.35">
      <c r="A97" t="s">
        <v>36</v>
      </c>
      <c r="B97" t="s">
        <v>4</v>
      </c>
      <c r="C97" t="s">
        <v>8</v>
      </c>
      <c r="D97">
        <v>0</v>
      </c>
    </row>
    <row r="98" spans="1:4" x14ac:dyDescent="0.35">
      <c r="A98" t="s">
        <v>37</v>
      </c>
      <c r="B98" t="s">
        <v>4</v>
      </c>
      <c r="C98" t="s">
        <v>8</v>
      </c>
      <c r="D98">
        <v>0</v>
      </c>
    </row>
    <row r="99" spans="1:4" x14ac:dyDescent="0.35">
      <c r="A99" t="s">
        <v>38</v>
      </c>
      <c r="B99" t="s">
        <v>4</v>
      </c>
      <c r="C99" t="s">
        <v>8</v>
      </c>
      <c r="D99">
        <v>0</v>
      </c>
    </row>
    <row r="100" spans="1:4" x14ac:dyDescent="0.35">
      <c r="A100" t="s">
        <v>39</v>
      </c>
      <c r="B100" t="s">
        <v>4</v>
      </c>
      <c r="C100" t="s">
        <v>8</v>
      </c>
      <c r="D100">
        <v>0</v>
      </c>
    </row>
    <row r="101" spans="1:4" x14ac:dyDescent="0.35">
      <c r="A101" t="s">
        <v>7</v>
      </c>
      <c r="B101" t="s">
        <v>5</v>
      </c>
      <c r="C101" t="s">
        <v>8</v>
      </c>
      <c r="D101">
        <v>0</v>
      </c>
    </row>
    <row r="102" spans="1:4" x14ac:dyDescent="0.35">
      <c r="A102" t="s">
        <v>8</v>
      </c>
      <c r="B102" t="s">
        <v>5</v>
      </c>
      <c r="C102" t="s">
        <v>8</v>
      </c>
      <c r="D102">
        <v>0</v>
      </c>
    </row>
    <row r="103" spans="1:4" x14ac:dyDescent="0.35">
      <c r="A103" t="s">
        <v>9</v>
      </c>
      <c r="B103" t="s">
        <v>5</v>
      </c>
      <c r="C103" t="s">
        <v>8</v>
      </c>
      <c r="D103">
        <v>0</v>
      </c>
    </row>
    <row r="104" spans="1:4" x14ac:dyDescent="0.35">
      <c r="A104" t="s">
        <v>10</v>
      </c>
      <c r="B104" t="s">
        <v>5</v>
      </c>
      <c r="C104" t="s">
        <v>8</v>
      </c>
      <c r="D104">
        <v>0</v>
      </c>
    </row>
    <row r="105" spans="1:4" x14ac:dyDescent="0.35">
      <c r="A105" t="s">
        <v>11</v>
      </c>
      <c r="B105" t="s">
        <v>5</v>
      </c>
      <c r="C105" t="s">
        <v>8</v>
      </c>
      <c r="D105">
        <v>0</v>
      </c>
    </row>
    <row r="106" spans="1:4" x14ac:dyDescent="0.35">
      <c r="A106" t="s">
        <v>12</v>
      </c>
      <c r="B106" t="s">
        <v>5</v>
      </c>
      <c r="C106" t="s">
        <v>8</v>
      </c>
      <c r="D106">
        <v>0</v>
      </c>
    </row>
    <row r="107" spans="1:4" x14ac:dyDescent="0.35">
      <c r="A107" t="s">
        <v>13</v>
      </c>
      <c r="B107" t="s">
        <v>5</v>
      </c>
      <c r="C107" t="s">
        <v>8</v>
      </c>
      <c r="D107">
        <v>0</v>
      </c>
    </row>
    <row r="108" spans="1:4" x14ac:dyDescent="0.35">
      <c r="A108" t="s">
        <v>14</v>
      </c>
      <c r="B108" t="s">
        <v>5</v>
      </c>
      <c r="C108" t="s">
        <v>8</v>
      </c>
      <c r="D108">
        <v>0</v>
      </c>
    </row>
    <row r="109" spans="1:4" x14ac:dyDescent="0.35">
      <c r="A109" t="s">
        <v>15</v>
      </c>
      <c r="B109" t="s">
        <v>5</v>
      </c>
      <c r="C109" t="s">
        <v>8</v>
      </c>
      <c r="D109">
        <v>0</v>
      </c>
    </row>
    <row r="110" spans="1:4" x14ac:dyDescent="0.35">
      <c r="A110" t="s">
        <v>16</v>
      </c>
      <c r="B110" t="s">
        <v>5</v>
      </c>
      <c r="C110" t="s">
        <v>8</v>
      </c>
      <c r="D110">
        <v>0</v>
      </c>
    </row>
    <row r="111" spans="1:4" x14ac:dyDescent="0.35">
      <c r="A111" t="s">
        <v>17</v>
      </c>
      <c r="B111" t="s">
        <v>5</v>
      </c>
      <c r="C111" t="s">
        <v>8</v>
      </c>
      <c r="D111">
        <v>0</v>
      </c>
    </row>
    <row r="112" spans="1:4" x14ac:dyDescent="0.35">
      <c r="A112" t="s">
        <v>18</v>
      </c>
      <c r="B112" t="s">
        <v>5</v>
      </c>
      <c r="C112" t="s">
        <v>8</v>
      </c>
      <c r="D112">
        <v>0</v>
      </c>
    </row>
    <row r="113" spans="1:4" x14ac:dyDescent="0.35">
      <c r="A113" t="s">
        <v>19</v>
      </c>
      <c r="B113" t="s">
        <v>5</v>
      </c>
      <c r="C113" t="s">
        <v>8</v>
      </c>
      <c r="D113">
        <v>0</v>
      </c>
    </row>
    <row r="114" spans="1:4" x14ac:dyDescent="0.35">
      <c r="A114" t="s">
        <v>20</v>
      </c>
      <c r="B114" t="s">
        <v>5</v>
      </c>
      <c r="C114" t="s">
        <v>8</v>
      </c>
      <c r="D114">
        <v>0</v>
      </c>
    </row>
    <row r="115" spans="1:4" x14ac:dyDescent="0.35">
      <c r="A115" t="s">
        <v>21</v>
      </c>
      <c r="B115" t="s">
        <v>5</v>
      </c>
      <c r="C115" t="s">
        <v>8</v>
      </c>
      <c r="D115">
        <v>0</v>
      </c>
    </row>
    <row r="116" spans="1:4" x14ac:dyDescent="0.35">
      <c r="A116" t="s">
        <v>22</v>
      </c>
      <c r="B116" t="s">
        <v>5</v>
      </c>
      <c r="C116" t="s">
        <v>8</v>
      </c>
      <c r="D116">
        <v>0</v>
      </c>
    </row>
    <row r="117" spans="1:4" x14ac:dyDescent="0.35">
      <c r="A117" t="s">
        <v>23</v>
      </c>
      <c r="B117" t="s">
        <v>5</v>
      </c>
      <c r="C117" t="s">
        <v>8</v>
      </c>
      <c r="D117">
        <v>0</v>
      </c>
    </row>
    <row r="118" spans="1:4" x14ac:dyDescent="0.35">
      <c r="A118" t="s">
        <v>24</v>
      </c>
      <c r="B118" t="s">
        <v>5</v>
      </c>
      <c r="C118" t="s">
        <v>8</v>
      </c>
      <c r="D118">
        <v>0</v>
      </c>
    </row>
    <row r="119" spans="1:4" x14ac:dyDescent="0.35">
      <c r="A119" t="s">
        <v>25</v>
      </c>
      <c r="B119" t="s">
        <v>5</v>
      </c>
      <c r="C119" t="s">
        <v>8</v>
      </c>
      <c r="D119">
        <v>0</v>
      </c>
    </row>
    <row r="120" spans="1:4" x14ac:dyDescent="0.35">
      <c r="A120" t="s">
        <v>26</v>
      </c>
      <c r="B120" t="s">
        <v>5</v>
      </c>
      <c r="C120" t="s">
        <v>8</v>
      </c>
      <c r="D120">
        <v>0</v>
      </c>
    </row>
    <row r="121" spans="1:4" x14ac:dyDescent="0.35">
      <c r="A121" t="s">
        <v>27</v>
      </c>
      <c r="B121" t="s">
        <v>5</v>
      </c>
      <c r="C121" t="s">
        <v>8</v>
      </c>
      <c r="D121">
        <v>0</v>
      </c>
    </row>
    <row r="122" spans="1:4" x14ac:dyDescent="0.35">
      <c r="A122" t="s">
        <v>28</v>
      </c>
      <c r="B122" t="s">
        <v>5</v>
      </c>
      <c r="C122" t="s">
        <v>8</v>
      </c>
      <c r="D122">
        <v>0</v>
      </c>
    </row>
    <row r="123" spans="1:4" x14ac:dyDescent="0.35">
      <c r="A123" t="s">
        <v>29</v>
      </c>
      <c r="B123" t="s">
        <v>5</v>
      </c>
      <c r="C123" t="s">
        <v>8</v>
      </c>
      <c r="D123">
        <v>0</v>
      </c>
    </row>
    <row r="124" spans="1:4" x14ac:dyDescent="0.35">
      <c r="A124" t="s">
        <v>30</v>
      </c>
      <c r="B124" t="s">
        <v>5</v>
      </c>
      <c r="C124" t="s">
        <v>8</v>
      </c>
      <c r="D124">
        <v>0</v>
      </c>
    </row>
    <row r="125" spans="1:4" x14ac:dyDescent="0.35">
      <c r="A125" t="s">
        <v>31</v>
      </c>
      <c r="B125" t="s">
        <v>5</v>
      </c>
      <c r="C125" t="s">
        <v>8</v>
      </c>
      <c r="D125">
        <v>0</v>
      </c>
    </row>
    <row r="126" spans="1:4" x14ac:dyDescent="0.35">
      <c r="A126" t="s">
        <v>32</v>
      </c>
      <c r="B126" t="s">
        <v>5</v>
      </c>
      <c r="C126" t="s">
        <v>8</v>
      </c>
      <c r="D126">
        <v>0</v>
      </c>
    </row>
    <row r="127" spans="1:4" x14ac:dyDescent="0.35">
      <c r="A127" t="s">
        <v>33</v>
      </c>
      <c r="B127" t="s">
        <v>5</v>
      </c>
      <c r="C127" t="s">
        <v>8</v>
      </c>
      <c r="D127">
        <v>0</v>
      </c>
    </row>
    <row r="128" spans="1:4" x14ac:dyDescent="0.35">
      <c r="A128" t="s">
        <v>34</v>
      </c>
      <c r="B128" t="s">
        <v>5</v>
      </c>
      <c r="C128" t="s">
        <v>8</v>
      </c>
      <c r="D128">
        <v>0</v>
      </c>
    </row>
    <row r="129" spans="1:4" x14ac:dyDescent="0.35">
      <c r="A129" t="s">
        <v>35</v>
      </c>
      <c r="B129" t="s">
        <v>5</v>
      </c>
      <c r="C129" t="s">
        <v>8</v>
      </c>
      <c r="D129">
        <v>0</v>
      </c>
    </row>
    <row r="130" spans="1:4" x14ac:dyDescent="0.35">
      <c r="A130" t="s">
        <v>36</v>
      </c>
      <c r="B130" t="s">
        <v>5</v>
      </c>
      <c r="C130" t="s">
        <v>8</v>
      </c>
      <c r="D130">
        <v>0</v>
      </c>
    </row>
    <row r="131" spans="1:4" x14ac:dyDescent="0.35">
      <c r="A131" t="s">
        <v>37</v>
      </c>
      <c r="B131" t="s">
        <v>5</v>
      </c>
      <c r="C131" t="s">
        <v>8</v>
      </c>
      <c r="D131">
        <v>0</v>
      </c>
    </row>
    <row r="132" spans="1:4" x14ac:dyDescent="0.35">
      <c r="A132" t="s">
        <v>38</v>
      </c>
      <c r="B132" t="s">
        <v>5</v>
      </c>
      <c r="C132" t="s">
        <v>8</v>
      </c>
      <c r="D132">
        <v>0</v>
      </c>
    </row>
    <row r="133" spans="1:4" x14ac:dyDescent="0.35">
      <c r="A133" t="s">
        <v>39</v>
      </c>
      <c r="B133" t="s">
        <v>5</v>
      </c>
      <c r="C133" t="s">
        <v>8</v>
      </c>
      <c r="D133">
        <v>0</v>
      </c>
    </row>
    <row r="134" spans="1:4" x14ac:dyDescent="0.35">
      <c r="A134" t="s">
        <v>7</v>
      </c>
      <c r="B134" t="s">
        <v>4</v>
      </c>
      <c r="C134" t="s">
        <v>9</v>
      </c>
      <c r="D134">
        <v>0</v>
      </c>
    </row>
    <row r="135" spans="1:4" x14ac:dyDescent="0.35">
      <c r="A135" t="s">
        <v>8</v>
      </c>
      <c r="B135" t="s">
        <v>4</v>
      </c>
      <c r="C135" t="s">
        <v>9</v>
      </c>
      <c r="D135">
        <v>0</v>
      </c>
    </row>
    <row r="136" spans="1:4" x14ac:dyDescent="0.35">
      <c r="A136" t="s">
        <v>9</v>
      </c>
      <c r="B136" t="s">
        <v>4</v>
      </c>
      <c r="C136" t="s">
        <v>9</v>
      </c>
      <c r="D136">
        <v>0</v>
      </c>
    </row>
    <row r="137" spans="1:4" x14ac:dyDescent="0.35">
      <c r="A137" t="s">
        <v>10</v>
      </c>
      <c r="B137" t="s">
        <v>4</v>
      </c>
      <c r="C137" t="s">
        <v>9</v>
      </c>
      <c r="D137">
        <v>0</v>
      </c>
    </row>
    <row r="138" spans="1:4" x14ac:dyDescent="0.35">
      <c r="A138" t="s">
        <v>11</v>
      </c>
      <c r="B138" t="s">
        <v>4</v>
      </c>
      <c r="C138" t="s">
        <v>9</v>
      </c>
      <c r="D138">
        <v>0</v>
      </c>
    </row>
    <row r="139" spans="1:4" x14ac:dyDescent="0.35">
      <c r="A139" t="s">
        <v>12</v>
      </c>
      <c r="B139" t="s">
        <v>4</v>
      </c>
      <c r="C139" t="s">
        <v>9</v>
      </c>
      <c r="D139">
        <v>0</v>
      </c>
    </row>
    <row r="140" spans="1:4" x14ac:dyDescent="0.35">
      <c r="A140" t="s">
        <v>13</v>
      </c>
      <c r="B140" t="s">
        <v>4</v>
      </c>
      <c r="C140" t="s">
        <v>9</v>
      </c>
      <c r="D140">
        <v>0</v>
      </c>
    </row>
    <row r="141" spans="1:4" x14ac:dyDescent="0.35">
      <c r="A141" t="s">
        <v>14</v>
      </c>
      <c r="B141" t="s">
        <v>4</v>
      </c>
      <c r="C141" t="s">
        <v>9</v>
      </c>
      <c r="D141">
        <v>0</v>
      </c>
    </row>
    <row r="142" spans="1:4" x14ac:dyDescent="0.35">
      <c r="A142" t="s">
        <v>15</v>
      </c>
      <c r="B142" t="s">
        <v>4</v>
      </c>
      <c r="C142" t="s">
        <v>9</v>
      </c>
      <c r="D142">
        <v>0</v>
      </c>
    </row>
    <row r="143" spans="1:4" x14ac:dyDescent="0.35">
      <c r="A143" t="s">
        <v>16</v>
      </c>
      <c r="B143" t="s">
        <v>4</v>
      </c>
      <c r="C143" t="s">
        <v>9</v>
      </c>
      <c r="D143">
        <v>0</v>
      </c>
    </row>
    <row r="144" spans="1:4" x14ac:dyDescent="0.35">
      <c r="A144" t="s">
        <v>17</v>
      </c>
      <c r="B144" t="s">
        <v>4</v>
      </c>
      <c r="C144" t="s">
        <v>9</v>
      </c>
      <c r="D144">
        <v>0</v>
      </c>
    </row>
    <row r="145" spans="1:4" x14ac:dyDescent="0.35">
      <c r="A145" t="s">
        <v>18</v>
      </c>
      <c r="B145" t="s">
        <v>4</v>
      </c>
      <c r="C145" t="s">
        <v>9</v>
      </c>
      <c r="D145">
        <v>0</v>
      </c>
    </row>
    <row r="146" spans="1:4" x14ac:dyDescent="0.35">
      <c r="A146" t="s">
        <v>19</v>
      </c>
      <c r="B146" t="s">
        <v>4</v>
      </c>
      <c r="C146" t="s">
        <v>9</v>
      </c>
      <c r="D146">
        <v>0</v>
      </c>
    </row>
    <row r="147" spans="1:4" x14ac:dyDescent="0.35">
      <c r="A147" t="s">
        <v>20</v>
      </c>
      <c r="B147" t="s">
        <v>4</v>
      </c>
      <c r="C147" t="s">
        <v>9</v>
      </c>
      <c r="D147">
        <v>0</v>
      </c>
    </row>
    <row r="148" spans="1:4" x14ac:dyDescent="0.35">
      <c r="A148" t="s">
        <v>21</v>
      </c>
      <c r="B148" t="s">
        <v>4</v>
      </c>
      <c r="C148" t="s">
        <v>9</v>
      </c>
      <c r="D148">
        <v>0</v>
      </c>
    </row>
    <row r="149" spans="1:4" x14ac:dyDescent="0.35">
      <c r="A149" t="s">
        <v>22</v>
      </c>
      <c r="B149" t="s">
        <v>4</v>
      </c>
      <c r="C149" t="s">
        <v>9</v>
      </c>
      <c r="D149">
        <v>0</v>
      </c>
    </row>
    <row r="150" spans="1:4" x14ac:dyDescent="0.35">
      <c r="A150" t="s">
        <v>23</v>
      </c>
      <c r="B150" t="s">
        <v>4</v>
      </c>
      <c r="C150" t="s">
        <v>9</v>
      </c>
      <c r="D150">
        <v>0</v>
      </c>
    </row>
    <row r="151" spans="1:4" x14ac:dyDescent="0.35">
      <c r="A151" t="s">
        <v>24</v>
      </c>
      <c r="B151" t="s">
        <v>4</v>
      </c>
      <c r="C151" t="s">
        <v>9</v>
      </c>
      <c r="D151">
        <v>0</v>
      </c>
    </row>
    <row r="152" spans="1:4" x14ac:dyDescent="0.35">
      <c r="A152" t="s">
        <v>25</v>
      </c>
      <c r="B152" t="s">
        <v>4</v>
      </c>
      <c r="C152" t="s">
        <v>9</v>
      </c>
      <c r="D152">
        <v>0</v>
      </c>
    </row>
    <row r="153" spans="1:4" x14ac:dyDescent="0.35">
      <c r="A153" t="s">
        <v>26</v>
      </c>
      <c r="B153" t="s">
        <v>4</v>
      </c>
      <c r="C153" t="s">
        <v>9</v>
      </c>
      <c r="D153">
        <v>0</v>
      </c>
    </row>
    <row r="154" spans="1:4" x14ac:dyDescent="0.35">
      <c r="A154" t="s">
        <v>27</v>
      </c>
      <c r="B154" t="s">
        <v>4</v>
      </c>
      <c r="C154" t="s">
        <v>9</v>
      </c>
      <c r="D154">
        <v>0</v>
      </c>
    </row>
    <row r="155" spans="1:4" x14ac:dyDescent="0.35">
      <c r="A155" t="s">
        <v>28</v>
      </c>
      <c r="B155" t="s">
        <v>4</v>
      </c>
      <c r="C155" t="s">
        <v>9</v>
      </c>
      <c r="D155">
        <v>0</v>
      </c>
    </row>
    <row r="156" spans="1:4" x14ac:dyDescent="0.35">
      <c r="A156" t="s">
        <v>29</v>
      </c>
      <c r="B156" t="s">
        <v>4</v>
      </c>
      <c r="C156" t="s">
        <v>9</v>
      </c>
      <c r="D156">
        <v>0</v>
      </c>
    </row>
    <row r="157" spans="1:4" x14ac:dyDescent="0.35">
      <c r="A157" t="s">
        <v>30</v>
      </c>
      <c r="B157" t="s">
        <v>4</v>
      </c>
      <c r="C157" t="s">
        <v>9</v>
      </c>
      <c r="D157">
        <v>0</v>
      </c>
    </row>
    <row r="158" spans="1:4" x14ac:dyDescent="0.35">
      <c r="A158" t="s">
        <v>31</v>
      </c>
      <c r="B158" t="s">
        <v>4</v>
      </c>
      <c r="C158" t="s">
        <v>9</v>
      </c>
      <c r="D158">
        <v>0</v>
      </c>
    </row>
    <row r="159" spans="1:4" x14ac:dyDescent="0.35">
      <c r="A159" t="s">
        <v>32</v>
      </c>
      <c r="B159" t="s">
        <v>4</v>
      </c>
      <c r="C159" t="s">
        <v>9</v>
      </c>
      <c r="D159">
        <v>0</v>
      </c>
    </row>
    <row r="160" spans="1:4" x14ac:dyDescent="0.35">
      <c r="A160" t="s">
        <v>33</v>
      </c>
      <c r="B160" t="s">
        <v>4</v>
      </c>
      <c r="C160" t="s">
        <v>9</v>
      </c>
      <c r="D160">
        <v>0</v>
      </c>
    </row>
    <row r="161" spans="1:4" x14ac:dyDescent="0.35">
      <c r="A161" t="s">
        <v>34</v>
      </c>
      <c r="B161" t="s">
        <v>4</v>
      </c>
      <c r="C161" t="s">
        <v>9</v>
      </c>
      <c r="D161">
        <v>0</v>
      </c>
    </row>
    <row r="162" spans="1:4" x14ac:dyDescent="0.35">
      <c r="A162" t="s">
        <v>35</v>
      </c>
      <c r="B162" t="s">
        <v>4</v>
      </c>
      <c r="C162" t="s">
        <v>9</v>
      </c>
      <c r="D162">
        <v>0</v>
      </c>
    </row>
    <row r="163" spans="1:4" x14ac:dyDescent="0.35">
      <c r="A163" t="s">
        <v>36</v>
      </c>
      <c r="B163" t="s">
        <v>4</v>
      </c>
      <c r="C163" t="s">
        <v>9</v>
      </c>
      <c r="D163">
        <v>0</v>
      </c>
    </row>
    <row r="164" spans="1:4" x14ac:dyDescent="0.35">
      <c r="A164" t="s">
        <v>37</v>
      </c>
      <c r="B164" t="s">
        <v>4</v>
      </c>
      <c r="C164" t="s">
        <v>9</v>
      </c>
      <c r="D164">
        <v>0</v>
      </c>
    </row>
    <row r="165" spans="1:4" x14ac:dyDescent="0.35">
      <c r="A165" t="s">
        <v>38</v>
      </c>
      <c r="B165" t="s">
        <v>4</v>
      </c>
      <c r="C165" t="s">
        <v>9</v>
      </c>
      <c r="D165">
        <v>0</v>
      </c>
    </row>
    <row r="166" spans="1:4" x14ac:dyDescent="0.35">
      <c r="A166" t="s">
        <v>39</v>
      </c>
      <c r="B166" t="s">
        <v>4</v>
      </c>
      <c r="C166" t="s">
        <v>9</v>
      </c>
      <c r="D166">
        <v>0</v>
      </c>
    </row>
    <row r="167" spans="1:4" x14ac:dyDescent="0.35">
      <c r="A167" t="s">
        <v>7</v>
      </c>
      <c r="B167" t="s">
        <v>5</v>
      </c>
      <c r="C167" t="s">
        <v>9</v>
      </c>
      <c r="D167">
        <v>0</v>
      </c>
    </row>
    <row r="168" spans="1:4" x14ac:dyDescent="0.35">
      <c r="A168" t="s">
        <v>8</v>
      </c>
      <c r="B168" t="s">
        <v>5</v>
      </c>
      <c r="C168" t="s">
        <v>9</v>
      </c>
      <c r="D168">
        <v>0</v>
      </c>
    </row>
    <row r="169" spans="1:4" x14ac:dyDescent="0.35">
      <c r="A169" t="s">
        <v>9</v>
      </c>
      <c r="B169" t="s">
        <v>5</v>
      </c>
      <c r="C169" t="s">
        <v>9</v>
      </c>
      <c r="D169">
        <v>0</v>
      </c>
    </row>
    <row r="170" spans="1:4" x14ac:dyDescent="0.35">
      <c r="A170" t="s">
        <v>10</v>
      </c>
      <c r="B170" t="s">
        <v>5</v>
      </c>
      <c r="C170" t="s">
        <v>9</v>
      </c>
      <c r="D170">
        <v>0</v>
      </c>
    </row>
    <row r="171" spans="1:4" x14ac:dyDescent="0.35">
      <c r="A171" t="s">
        <v>11</v>
      </c>
      <c r="B171" t="s">
        <v>5</v>
      </c>
      <c r="C171" t="s">
        <v>9</v>
      </c>
      <c r="D171">
        <v>0</v>
      </c>
    </row>
    <row r="172" spans="1:4" x14ac:dyDescent="0.35">
      <c r="A172" t="s">
        <v>12</v>
      </c>
      <c r="B172" t="s">
        <v>5</v>
      </c>
      <c r="C172" t="s">
        <v>9</v>
      </c>
      <c r="D172">
        <v>0</v>
      </c>
    </row>
    <row r="173" spans="1:4" x14ac:dyDescent="0.35">
      <c r="A173" t="s">
        <v>13</v>
      </c>
      <c r="B173" t="s">
        <v>5</v>
      </c>
      <c r="C173" t="s">
        <v>9</v>
      </c>
      <c r="D173">
        <v>0</v>
      </c>
    </row>
    <row r="174" spans="1:4" x14ac:dyDescent="0.35">
      <c r="A174" t="s">
        <v>14</v>
      </c>
      <c r="B174" t="s">
        <v>5</v>
      </c>
      <c r="C174" t="s">
        <v>9</v>
      </c>
      <c r="D174">
        <v>0</v>
      </c>
    </row>
    <row r="175" spans="1:4" x14ac:dyDescent="0.35">
      <c r="A175" t="s">
        <v>15</v>
      </c>
      <c r="B175" t="s">
        <v>5</v>
      </c>
      <c r="C175" t="s">
        <v>9</v>
      </c>
      <c r="D175">
        <v>0</v>
      </c>
    </row>
    <row r="176" spans="1:4" x14ac:dyDescent="0.35">
      <c r="A176" t="s">
        <v>16</v>
      </c>
      <c r="B176" t="s">
        <v>5</v>
      </c>
      <c r="C176" t="s">
        <v>9</v>
      </c>
      <c r="D176">
        <v>0</v>
      </c>
    </row>
    <row r="177" spans="1:4" x14ac:dyDescent="0.35">
      <c r="A177" t="s">
        <v>17</v>
      </c>
      <c r="B177" t="s">
        <v>5</v>
      </c>
      <c r="C177" t="s">
        <v>9</v>
      </c>
      <c r="D177">
        <v>0</v>
      </c>
    </row>
    <row r="178" spans="1:4" x14ac:dyDescent="0.35">
      <c r="A178" t="s">
        <v>18</v>
      </c>
      <c r="B178" t="s">
        <v>5</v>
      </c>
      <c r="C178" t="s">
        <v>9</v>
      </c>
      <c r="D178">
        <v>0</v>
      </c>
    </row>
    <row r="179" spans="1:4" x14ac:dyDescent="0.35">
      <c r="A179" t="s">
        <v>19</v>
      </c>
      <c r="B179" t="s">
        <v>5</v>
      </c>
      <c r="C179" t="s">
        <v>9</v>
      </c>
      <c r="D179">
        <v>0</v>
      </c>
    </row>
    <row r="180" spans="1:4" x14ac:dyDescent="0.35">
      <c r="A180" t="s">
        <v>20</v>
      </c>
      <c r="B180" t="s">
        <v>5</v>
      </c>
      <c r="C180" t="s">
        <v>9</v>
      </c>
      <c r="D180">
        <v>0</v>
      </c>
    </row>
    <row r="181" spans="1:4" x14ac:dyDescent="0.35">
      <c r="A181" t="s">
        <v>21</v>
      </c>
      <c r="B181" t="s">
        <v>5</v>
      </c>
      <c r="C181" t="s">
        <v>9</v>
      </c>
      <c r="D181">
        <v>0</v>
      </c>
    </row>
    <row r="182" spans="1:4" x14ac:dyDescent="0.35">
      <c r="A182" t="s">
        <v>22</v>
      </c>
      <c r="B182" t="s">
        <v>5</v>
      </c>
      <c r="C182" t="s">
        <v>9</v>
      </c>
      <c r="D182">
        <v>0</v>
      </c>
    </row>
    <row r="183" spans="1:4" x14ac:dyDescent="0.35">
      <c r="A183" t="s">
        <v>23</v>
      </c>
      <c r="B183" t="s">
        <v>5</v>
      </c>
      <c r="C183" t="s">
        <v>9</v>
      </c>
      <c r="D183">
        <v>0</v>
      </c>
    </row>
    <row r="184" spans="1:4" x14ac:dyDescent="0.35">
      <c r="A184" t="s">
        <v>24</v>
      </c>
      <c r="B184" t="s">
        <v>5</v>
      </c>
      <c r="C184" t="s">
        <v>9</v>
      </c>
      <c r="D184">
        <v>0</v>
      </c>
    </row>
    <row r="185" spans="1:4" x14ac:dyDescent="0.35">
      <c r="A185" t="s">
        <v>25</v>
      </c>
      <c r="B185" t="s">
        <v>5</v>
      </c>
      <c r="C185" t="s">
        <v>9</v>
      </c>
      <c r="D185">
        <v>0</v>
      </c>
    </row>
    <row r="186" spans="1:4" x14ac:dyDescent="0.35">
      <c r="A186" t="s">
        <v>26</v>
      </c>
      <c r="B186" t="s">
        <v>5</v>
      </c>
      <c r="C186" t="s">
        <v>9</v>
      </c>
      <c r="D186">
        <v>0</v>
      </c>
    </row>
    <row r="187" spans="1:4" x14ac:dyDescent="0.35">
      <c r="A187" t="s">
        <v>27</v>
      </c>
      <c r="B187" t="s">
        <v>5</v>
      </c>
      <c r="C187" t="s">
        <v>9</v>
      </c>
      <c r="D187">
        <v>0</v>
      </c>
    </row>
    <row r="188" spans="1:4" x14ac:dyDescent="0.35">
      <c r="A188" t="s">
        <v>28</v>
      </c>
      <c r="B188" t="s">
        <v>5</v>
      </c>
      <c r="C188" t="s">
        <v>9</v>
      </c>
      <c r="D188">
        <v>0</v>
      </c>
    </row>
    <row r="189" spans="1:4" x14ac:dyDescent="0.35">
      <c r="A189" t="s">
        <v>29</v>
      </c>
      <c r="B189" t="s">
        <v>5</v>
      </c>
      <c r="C189" t="s">
        <v>9</v>
      </c>
      <c r="D189">
        <v>0</v>
      </c>
    </row>
    <row r="190" spans="1:4" x14ac:dyDescent="0.35">
      <c r="A190" t="s">
        <v>30</v>
      </c>
      <c r="B190" t="s">
        <v>5</v>
      </c>
      <c r="C190" t="s">
        <v>9</v>
      </c>
      <c r="D190">
        <v>0</v>
      </c>
    </row>
    <row r="191" spans="1:4" x14ac:dyDescent="0.35">
      <c r="A191" t="s">
        <v>31</v>
      </c>
      <c r="B191" t="s">
        <v>5</v>
      </c>
      <c r="C191" t="s">
        <v>9</v>
      </c>
      <c r="D191">
        <v>0</v>
      </c>
    </row>
    <row r="192" spans="1:4" x14ac:dyDescent="0.35">
      <c r="A192" t="s">
        <v>32</v>
      </c>
      <c r="B192" t="s">
        <v>5</v>
      </c>
      <c r="C192" t="s">
        <v>9</v>
      </c>
      <c r="D192">
        <v>0</v>
      </c>
    </row>
    <row r="193" spans="1:4" x14ac:dyDescent="0.35">
      <c r="A193" t="s">
        <v>33</v>
      </c>
      <c r="B193" t="s">
        <v>5</v>
      </c>
      <c r="C193" t="s">
        <v>9</v>
      </c>
      <c r="D193">
        <v>0</v>
      </c>
    </row>
    <row r="194" spans="1:4" x14ac:dyDescent="0.35">
      <c r="A194" t="s">
        <v>34</v>
      </c>
      <c r="B194" t="s">
        <v>5</v>
      </c>
      <c r="C194" t="s">
        <v>9</v>
      </c>
      <c r="D194">
        <v>0</v>
      </c>
    </row>
    <row r="195" spans="1:4" x14ac:dyDescent="0.35">
      <c r="A195" t="s">
        <v>35</v>
      </c>
      <c r="B195" t="s">
        <v>5</v>
      </c>
      <c r="C195" t="s">
        <v>9</v>
      </c>
      <c r="D195">
        <v>0</v>
      </c>
    </row>
    <row r="196" spans="1:4" x14ac:dyDescent="0.35">
      <c r="A196" t="s">
        <v>36</v>
      </c>
      <c r="B196" t="s">
        <v>5</v>
      </c>
      <c r="C196" t="s">
        <v>9</v>
      </c>
      <c r="D196">
        <v>0</v>
      </c>
    </row>
    <row r="197" spans="1:4" x14ac:dyDescent="0.35">
      <c r="A197" t="s">
        <v>37</v>
      </c>
      <c r="B197" t="s">
        <v>5</v>
      </c>
      <c r="C197" t="s">
        <v>9</v>
      </c>
      <c r="D197">
        <v>0</v>
      </c>
    </row>
    <row r="198" spans="1:4" x14ac:dyDescent="0.35">
      <c r="A198" t="s">
        <v>38</v>
      </c>
      <c r="B198" t="s">
        <v>5</v>
      </c>
      <c r="C198" t="s">
        <v>9</v>
      </c>
      <c r="D198">
        <v>0</v>
      </c>
    </row>
    <row r="199" spans="1:4" x14ac:dyDescent="0.35">
      <c r="A199" t="s">
        <v>39</v>
      </c>
      <c r="B199" t="s">
        <v>5</v>
      </c>
      <c r="C199" t="s">
        <v>9</v>
      </c>
      <c r="D199">
        <v>0</v>
      </c>
    </row>
    <row r="200" spans="1:4" x14ac:dyDescent="0.35">
      <c r="A200" t="s">
        <v>7</v>
      </c>
      <c r="B200" t="s">
        <v>4</v>
      </c>
      <c r="C200" t="s">
        <v>10</v>
      </c>
      <c r="D200">
        <v>0</v>
      </c>
    </row>
    <row r="201" spans="1:4" x14ac:dyDescent="0.35">
      <c r="A201" t="s">
        <v>8</v>
      </c>
      <c r="B201" t="s">
        <v>4</v>
      </c>
      <c r="C201" t="s">
        <v>10</v>
      </c>
      <c r="D201">
        <v>0</v>
      </c>
    </row>
    <row r="202" spans="1:4" x14ac:dyDescent="0.35">
      <c r="A202" t="s">
        <v>9</v>
      </c>
      <c r="B202" t="s">
        <v>4</v>
      </c>
      <c r="C202" t="s">
        <v>10</v>
      </c>
      <c r="D202">
        <v>0</v>
      </c>
    </row>
    <row r="203" spans="1:4" x14ac:dyDescent="0.35">
      <c r="A203" t="s">
        <v>10</v>
      </c>
      <c r="B203" t="s">
        <v>4</v>
      </c>
      <c r="C203" t="s">
        <v>10</v>
      </c>
      <c r="D203">
        <v>0</v>
      </c>
    </row>
    <row r="204" spans="1:4" x14ac:dyDescent="0.35">
      <c r="A204" t="s">
        <v>11</v>
      </c>
      <c r="B204" t="s">
        <v>4</v>
      </c>
      <c r="C204" t="s">
        <v>10</v>
      </c>
      <c r="D204">
        <v>0</v>
      </c>
    </row>
    <row r="205" spans="1:4" x14ac:dyDescent="0.35">
      <c r="A205" t="s">
        <v>12</v>
      </c>
      <c r="B205" t="s">
        <v>4</v>
      </c>
      <c r="C205" t="s">
        <v>10</v>
      </c>
      <c r="D205">
        <v>0</v>
      </c>
    </row>
    <row r="206" spans="1:4" x14ac:dyDescent="0.35">
      <c r="A206" t="s">
        <v>13</v>
      </c>
      <c r="B206" t="s">
        <v>4</v>
      </c>
      <c r="C206" t="s">
        <v>10</v>
      </c>
      <c r="D206">
        <v>0</v>
      </c>
    </row>
    <row r="207" spans="1:4" x14ac:dyDescent="0.35">
      <c r="A207" t="s">
        <v>14</v>
      </c>
      <c r="B207" t="s">
        <v>4</v>
      </c>
      <c r="C207" t="s">
        <v>10</v>
      </c>
      <c r="D207">
        <v>0</v>
      </c>
    </row>
    <row r="208" spans="1:4" x14ac:dyDescent="0.35">
      <c r="A208" t="s">
        <v>15</v>
      </c>
      <c r="B208" t="s">
        <v>4</v>
      </c>
      <c r="C208" t="s">
        <v>10</v>
      </c>
      <c r="D208">
        <v>0</v>
      </c>
    </row>
    <row r="209" spans="1:4" x14ac:dyDescent="0.35">
      <c r="A209" t="s">
        <v>16</v>
      </c>
      <c r="B209" t="s">
        <v>4</v>
      </c>
      <c r="C209" t="s">
        <v>10</v>
      </c>
      <c r="D209">
        <v>0</v>
      </c>
    </row>
    <row r="210" spans="1:4" x14ac:dyDescent="0.35">
      <c r="A210" t="s">
        <v>17</v>
      </c>
      <c r="B210" t="s">
        <v>4</v>
      </c>
      <c r="C210" t="s">
        <v>10</v>
      </c>
      <c r="D210">
        <v>0</v>
      </c>
    </row>
    <row r="211" spans="1:4" x14ac:dyDescent="0.35">
      <c r="A211" t="s">
        <v>18</v>
      </c>
      <c r="B211" t="s">
        <v>4</v>
      </c>
      <c r="C211" t="s">
        <v>10</v>
      </c>
      <c r="D211">
        <v>0</v>
      </c>
    </row>
    <row r="212" spans="1:4" x14ac:dyDescent="0.35">
      <c r="A212" t="s">
        <v>19</v>
      </c>
      <c r="B212" t="s">
        <v>4</v>
      </c>
      <c r="C212" t="s">
        <v>10</v>
      </c>
      <c r="D212">
        <v>0</v>
      </c>
    </row>
    <row r="213" spans="1:4" x14ac:dyDescent="0.35">
      <c r="A213" t="s">
        <v>20</v>
      </c>
      <c r="B213" t="s">
        <v>4</v>
      </c>
      <c r="C213" t="s">
        <v>10</v>
      </c>
      <c r="D213">
        <v>0</v>
      </c>
    </row>
    <row r="214" spans="1:4" x14ac:dyDescent="0.35">
      <c r="A214" t="s">
        <v>21</v>
      </c>
      <c r="B214" t="s">
        <v>4</v>
      </c>
      <c r="C214" t="s">
        <v>10</v>
      </c>
      <c r="D214">
        <v>0</v>
      </c>
    </row>
    <row r="215" spans="1:4" x14ac:dyDescent="0.35">
      <c r="A215" t="s">
        <v>22</v>
      </c>
      <c r="B215" t="s">
        <v>4</v>
      </c>
      <c r="C215" t="s">
        <v>10</v>
      </c>
      <c r="D215">
        <v>0</v>
      </c>
    </row>
    <row r="216" spans="1:4" x14ac:dyDescent="0.35">
      <c r="A216" t="s">
        <v>23</v>
      </c>
      <c r="B216" t="s">
        <v>4</v>
      </c>
      <c r="C216" t="s">
        <v>10</v>
      </c>
      <c r="D216">
        <v>0</v>
      </c>
    </row>
    <row r="217" spans="1:4" x14ac:dyDescent="0.35">
      <c r="A217" t="s">
        <v>24</v>
      </c>
      <c r="B217" t="s">
        <v>4</v>
      </c>
      <c r="C217" t="s">
        <v>10</v>
      </c>
      <c r="D217">
        <v>0</v>
      </c>
    </row>
    <row r="218" spans="1:4" x14ac:dyDescent="0.35">
      <c r="A218" t="s">
        <v>25</v>
      </c>
      <c r="B218" t="s">
        <v>4</v>
      </c>
      <c r="C218" t="s">
        <v>10</v>
      </c>
      <c r="D218">
        <v>0</v>
      </c>
    </row>
    <row r="219" spans="1:4" x14ac:dyDescent="0.35">
      <c r="A219" t="s">
        <v>26</v>
      </c>
      <c r="B219" t="s">
        <v>4</v>
      </c>
      <c r="C219" t="s">
        <v>10</v>
      </c>
      <c r="D219">
        <v>0</v>
      </c>
    </row>
    <row r="220" spans="1:4" x14ac:dyDescent="0.35">
      <c r="A220" t="s">
        <v>27</v>
      </c>
      <c r="B220" t="s">
        <v>4</v>
      </c>
      <c r="C220" t="s">
        <v>10</v>
      </c>
      <c r="D220">
        <v>0</v>
      </c>
    </row>
    <row r="221" spans="1:4" x14ac:dyDescent="0.35">
      <c r="A221" t="s">
        <v>28</v>
      </c>
      <c r="B221" t="s">
        <v>4</v>
      </c>
      <c r="C221" t="s">
        <v>10</v>
      </c>
      <c r="D221">
        <v>0</v>
      </c>
    </row>
    <row r="222" spans="1:4" x14ac:dyDescent="0.35">
      <c r="A222" t="s">
        <v>29</v>
      </c>
      <c r="B222" t="s">
        <v>4</v>
      </c>
      <c r="C222" t="s">
        <v>10</v>
      </c>
      <c r="D222">
        <v>0</v>
      </c>
    </row>
    <row r="223" spans="1:4" x14ac:dyDescent="0.35">
      <c r="A223" t="s">
        <v>30</v>
      </c>
      <c r="B223" t="s">
        <v>4</v>
      </c>
      <c r="C223" t="s">
        <v>10</v>
      </c>
      <c r="D223">
        <v>0</v>
      </c>
    </row>
    <row r="224" spans="1:4" x14ac:dyDescent="0.35">
      <c r="A224" t="s">
        <v>31</v>
      </c>
      <c r="B224" t="s">
        <v>4</v>
      </c>
      <c r="C224" t="s">
        <v>10</v>
      </c>
      <c r="D224">
        <v>0</v>
      </c>
    </row>
    <row r="225" spans="1:4" x14ac:dyDescent="0.35">
      <c r="A225" t="s">
        <v>32</v>
      </c>
      <c r="B225" t="s">
        <v>4</v>
      </c>
      <c r="C225" t="s">
        <v>10</v>
      </c>
      <c r="D225">
        <v>0</v>
      </c>
    </row>
    <row r="226" spans="1:4" x14ac:dyDescent="0.35">
      <c r="A226" t="s">
        <v>33</v>
      </c>
      <c r="B226" t="s">
        <v>4</v>
      </c>
      <c r="C226" t="s">
        <v>10</v>
      </c>
      <c r="D226">
        <v>0</v>
      </c>
    </row>
    <row r="227" spans="1:4" x14ac:dyDescent="0.35">
      <c r="A227" t="s">
        <v>34</v>
      </c>
      <c r="B227" t="s">
        <v>4</v>
      </c>
      <c r="C227" t="s">
        <v>10</v>
      </c>
      <c r="D227">
        <v>0</v>
      </c>
    </row>
    <row r="228" spans="1:4" x14ac:dyDescent="0.35">
      <c r="A228" t="s">
        <v>35</v>
      </c>
      <c r="B228" t="s">
        <v>4</v>
      </c>
      <c r="C228" t="s">
        <v>10</v>
      </c>
      <c r="D228">
        <v>0</v>
      </c>
    </row>
    <row r="229" spans="1:4" x14ac:dyDescent="0.35">
      <c r="A229" t="s">
        <v>36</v>
      </c>
      <c r="B229" t="s">
        <v>4</v>
      </c>
      <c r="C229" t="s">
        <v>10</v>
      </c>
      <c r="D229">
        <v>0</v>
      </c>
    </row>
    <row r="230" spans="1:4" x14ac:dyDescent="0.35">
      <c r="A230" t="s">
        <v>37</v>
      </c>
      <c r="B230" t="s">
        <v>4</v>
      </c>
      <c r="C230" t="s">
        <v>10</v>
      </c>
      <c r="D230">
        <v>0</v>
      </c>
    </row>
    <row r="231" spans="1:4" x14ac:dyDescent="0.35">
      <c r="A231" t="s">
        <v>38</v>
      </c>
      <c r="B231" t="s">
        <v>4</v>
      </c>
      <c r="C231" t="s">
        <v>10</v>
      </c>
      <c r="D231">
        <v>0</v>
      </c>
    </row>
    <row r="232" spans="1:4" x14ac:dyDescent="0.35">
      <c r="A232" t="s">
        <v>39</v>
      </c>
      <c r="B232" t="s">
        <v>4</v>
      </c>
      <c r="C232" t="s">
        <v>10</v>
      </c>
      <c r="D232">
        <v>0</v>
      </c>
    </row>
    <row r="233" spans="1:4" x14ac:dyDescent="0.35">
      <c r="A233" t="s">
        <v>7</v>
      </c>
      <c r="B233" t="s">
        <v>5</v>
      </c>
      <c r="C233" t="s">
        <v>10</v>
      </c>
      <c r="D233">
        <v>0</v>
      </c>
    </row>
    <row r="234" spans="1:4" x14ac:dyDescent="0.35">
      <c r="A234" t="s">
        <v>8</v>
      </c>
      <c r="B234" t="s">
        <v>5</v>
      </c>
      <c r="C234" t="s">
        <v>10</v>
      </c>
      <c r="D234">
        <v>0</v>
      </c>
    </row>
    <row r="235" spans="1:4" x14ac:dyDescent="0.35">
      <c r="A235" t="s">
        <v>9</v>
      </c>
      <c r="B235" t="s">
        <v>5</v>
      </c>
      <c r="C235" t="s">
        <v>10</v>
      </c>
      <c r="D235">
        <v>0</v>
      </c>
    </row>
    <row r="236" spans="1:4" x14ac:dyDescent="0.35">
      <c r="A236" t="s">
        <v>10</v>
      </c>
      <c r="B236" t="s">
        <v>5</v>
      </c>
      <c r="C236" t="s">
        <v>10</v>
      </c>
      <c r="D236">
        <v>0</v>
      </c>
    </row>
    <row r="237" spans="1:4" x14ac:dyDescent="0.35">
      <c r="A237" t="s">
        <v>11</v>
      </c>
      <c r="B237" t="s">
        <v>5</v>
      </c>
      <c r="C237" t="s">
        <v>10</v>
      </c>
      <c r="D237">
        <v>0</v>
      </c>
    </row>
    <row r="238" spans="1:4" x14ac:dyDescent="0.35">
      <c r="A238" t="s">
        <v>12</v>
      </c>
      <c r="B238" t="s">
        <v>5</v>
      </c>
      <c r="C238" t="s">
        <v>10</v>
      </c>
      <c r="D238">
        <v>0</v>
      </c>
    </row>
    <row r="239" spans="1:4" x14ac:dyDescent="0.35">
      <c r="A239" t="s">
        <v>13</v>
      </c>
      <c r="B239" t="s">
        <v>5</v>
      </c>
      <c r="C239" t="s">
        <v>10</v>
      </c>
      <c r="D239">
        <v>0</v>
      </c>
    </row>
    <row r="240" spans="1:4" x14ac:dyDescent="0.35">
      <c r="A240" t="s">
        <v>14</v>
      </c>
      <c r="B240" t="s">
        <v>5</v>
      </c>
      <c r="C240" t="s">
        <v>10</v>
      </c>
      <c r="D240">
        <v>0</v>
      </c>
    </row>
    <row r="241" spans="1:4" x14ac:dyDescent="0.35">
      <c r="A241" t="s">
        <v>15</v>
      </c>
      <c r="B241" t="s">
        <v>5</v>
      </c>
      <c r="C241" t="s">
        <v>10</v>
      </c>
      <c r="D241">
        <v>0</v>
      </c>
    </row>
    <row r="242" spans="1:4" x14ac:dyDescent="0.35">
      <c r="A242" t="s">
        <v>16</v>
      </c>
      <c r="B242" t="s">
        <v>5</v>
      </c>
      <c r="C242" t="s">
        <v>10</v>
      </c>
      <c r="D242">
        <v>0</v>
      </c>
    </row>
    <row r="243" spans="1:4" x14ac:dyDescent="0.35">
      <c r="A243" t="s">
        <v>17</v>
      </c>
      <c r="B243" t="s">
        <v>5</v>
      </c>
      <c r="C243" t="s">
        <v>10</v>
      </c>
      <c r="D243">
        <v>0</v>
      </c>
    </row>
    <row r="244" spans="1:4" x14ac:dyDescent="0.35">
      <c r="A244" t="s">
        <v>18</v>
      </c>
      <c r="B244" t="s">
        <v>5</v>
      </c>
      <c r="C244" t="s">
        <v>10</v>
      </c>
      <c r="D244">
        <v>0</v>
      </c>
    </row>
    <row r="245" spans="1:4" x14ac:dyDescent="0.35">
      <c r="A245" t="s">
        <v>19</v>
      </c>
      <c r="B245" t="s">
        <v>5</v>
      </c>
      <c r="C245" t="s">
        <v>10</v>
      </c>
      <c r="D245">
        <v>0</v>
      </c>
    </row>
    <row r="246" spans="1:4" x14ac:dyDescent="0.35">
      <c r="A246" t="s">
        <v>20</v>
      </c>
      <c r="B246" t="s">
        <v>5</v>
      </c>
      <c r="C246" t="s">
        <v>10</v>
      </c>
      <c r="D246">
        <v>0</v>
      </c>
    </row>
    <row r="247" spans="1:4" x14ac:dyDescent="0.35">
      <c r="A247" t="s">
        <v>21</v>
      </c>
      <c r="B247" t="s">
        <v>5</v>
      </c>
      <c r="C247" t="s">
        <v>10</v>
      </c>
      <c r="D247">
        <v>0</v>
      </c>
    </row>
    <row r="248" spans="1:4" x14ac:dyDescent="0.35">
      <c r="A248" t="s">
        <v>22</v>
      </c>
      <c r="B248" t="s">
        <v>5</v>
      </c>
      <c r="C248" t="s">
        <v>10</v>
      </c>
      <c r="D248">
        <v>0</v>
      </c>
    </row>
    <row r="249" spans="1:4" x14ac:dyDescent="0.35">
      <c r="A249" t="s">
        <v>23</v>
      </c>
      <c r="B249" t="s">
        <v>5</v>
      </c>
      <c r="C249" t="s">
        <v>10</v>
      </c>
      <c r="D249">
        <v>0</v>
      </c>
    </row>
    <row r="250" spans="1:4" x14ac:dyDescent="0.35">
      <c r="A250" t="s">
        <v>24</v>
      </c>
      <c r="B250" t="s">
        <v>5</v>
      </c>
      <c r="C250" t="s">
        <v>10</v>
      </c>
      <c r="D250">
        <v>0</v>
      </c>
    </row>
    <row r="251" spans="1:4" x14ac:dyDescent="0.35">
      <c r="A251" t="s">
        <v>25</v>
      </c>
      <c r="B251" t="s">
        <v>5</v>
      </c>
      <c r="C251" t="s">
        <v>10</v>
      </c>
      <c r="D251">
        <v>0</v>
      </c>
    </row>
    <row r="252" spans="1:4" x14ac:dyDescent="0.35">
      <c r="A252" t="s">
        <v>26</v>
      </c>
      <c r="B252" t="s">
        <v>5</v>
      </c>
      <c r="C252" t="s">
        <v>10</v>
      </c>
      <c r="D252">
        <v>0</v>
      </c>
    </row>
    <row r="253" spans="1:4" x14ac:dyDescent="0.35">
      <c r="A253" t="s">
        <v>27</v>
      </c>
      <c r="B253" t="s">
        <v>5</v>
      </c>
      <c r="C253" t="s">
        <v>10</v>
      </c>
      <c r="D253">
        <v>0</v>
      </c>
    </row>
    <row r="254" spans="1:4" x14ac:dyDescent="0.35">
      <c r="A254" t="s">
        <v>28</v>
      </c>
      <c r="B254" t="s">
        <v>5</v>
      </c>
      <c r="C254" t="s">
        <v>10</v>
      </c>
      <c r="D254">
        <v>0</v>
      </c>
    </row>
    <row r="255" spans="1:4" x14ac:dyDescent="0.35">
      <c r="A255" t="s">
        <v>29</v>
      </c>
      <c r="B255" t="s">
        <v>5</v>
      </c>
      <c r="C255" t="s">
        <v>10</v>
      </c>
      <c r="D255">
        <v>0</v>
      </c>
    </row>
    <row r="256" spans="1:4" x14ac:dyDescent="0.35">
      <c r="A256" t="s">
        <v>30</v>
      </c>
      <c r="B256" t="s">
        <v>5</v>
      </c>
      <c r="C256" t="s">
        <v>10</v>
      </c>
      <c r="D256">
        <v>0</v>
      </c>
    </row>
    <row r="257" spans="1:4" x14ac:dyDescent="0.35">
      <c r="A257" t="s">
        <v>31</v>
      </c>
      <c r="B257" t="s">
        <v>5</v>
      </c>
      <c r="C257" t="s">
        <v>10</v>
      </c>
      <c r="D257">
        <v>0</v>
      </c>
    </row>
    <row r="258" spans="1:4" x14ac:dyDescent="0.35">
      <c r="A258" t="s">
        <v>32</v>
      </c>
      <c r="B258" t="s">
        <v>5</v>
      </c>
      <c r="C258" t="s">
        <v>10</v>
      </c>
      <c r="D258">
        <v>0</v>
      </c>
    </row>
    <row r="259" spans="1:4" x14ac:dyDescent="0.35">
      <c r="A259" t="s">
        <v>33</v>
      </c>
      <c r="B259" t="s">
        <v>5</v>
      </c>
      <c r="C259" t="s">
        <v>10</v>
      </c>
      <c r="D259">
        <v>0</v>
      </c>
    </row>
    <row r="260" spans="1:4" x14ac:dyDescent="0.35">
      <c r="A260" t="s">
        <v>34</v>
      </c>
      <c r="B260" t="s">
        <v>5</v>
      </c>
      <c r="C260" t="s">
        <v>10</v>
      </c>
      <c r="D260">
        <v>0</v>
      </c>
    </row>
    <row r="261" spans="1:4" x14ac:dyDescent="0.35">
      <c r="A261" t="s">
        <v>35</v>
      </c>
      <c r="B261" t="s">
        <v>5</v>
      </c>
      <c r="C261" t="s">
        <v>10</v>
      </c>
      <c r="D261">
        <v>0</v>
      </c>
    </row>
    <row r="262" spans="1:4" x14ac:dyDescent="0.35">
      <c r="A262" t="s">
        <v>36</v>
      </c>
      <c r="B262" t="s">
        <v>5</v>
      </c>
      <c r="C262" t="s">
        <v>10</v>
      </c>
      <c r="D262">
        <v>0</v>
      </c>
    </row>
    <row r="263" spans="1:4" x14ac:dyDescent="0.35">
      <c r="A263" t="s">
        <v>37</v>
      </c>
      <c r="B263" t="s">
        <v>5</v>
      </c>
      <c r="C263" t="s">
        <v>10</v>
      </c>
      <c r="D263">
        <v>0</v>
      </c>
    </row>
    <row r="264" spans="1:4" x14ac:dyDescent="0.35">
      <c r="A264" t="s">
        <v>38</v>
      </c>
      <c r="B264" t="s">
        <v>5</v>
      </c>
      <c r="C264" t="s">
        <v>10</v>
      </c>
      <c r="D264">
        <v>0</v>
      </c>
    </row>
    <row r="265" spans="1:4" x14ac:dyDescent="0.35">
      <c r="A265" t="s">
        <v>39</v>
      </c>
      <c r="B265" t="s">
        <v>5</v>
      </c>
      <c r="C265" t="s">
        <v>10</v>
      </c>
      <c r="D265">
        <v>0</v>
      </c>
    </row>
    <row r="266" spans="1:4" x14ac:dyDescent="0.35">
      <c r="A266" t="s">
        <v>7</v>
      </c>
      <c r="B266" t="s">
        <v>4</v>
      </c>
      <c r="C266" t="s">
        <v>11</v>
      </c>
      <c r="D266">
        <v>0</v>
      </c>
    </row>
    <row r="267" spans="1:4" x14ac:dyDescent="0.35">
      <c r="A267" t="s">
        <v>8</v>
      </c>
      <c r="B267" t="s">
        <v>4</v>
      </c>
      <c r="C267" t="s">
        <v>11</v>
      </c>
      <c r="D267">
        <v>0</v>
      </c>
    </row>
    <row r="268" spans="1:4" x14ac:dyDescent="0.35">
      <c r="A268" t="s">
        <v>9</v>
      </c>
      <c r="B268" t="s">
        <v>4</v>
      </c>
      <c r="C268" t="s">
        <v>11</v>
      </c>
      <c r="D268">
        <v>0</v>
      </c>
    </row>
    <row r="269" spans="1:4" x14ac:dyDescent="0.35">
      <c r="A269" t="s">
        <v>10</v>
      </c>
      <c r="B269" t="s">
        <v>4</v>
      </c>
      <c r="C269" t="s">
        <v>11</v>
      </c>
      <c r="D269">
        <v>0</v>
      </c>
    </row>
    <row r="270" spans="1:4" x14ac:dyDescent="0.35">
      <c r="A270" t="s">
        <v>11</v>
      </c>
      <c r="B270" t="s">
        <v>4</v>
      </c>
      <c r="C270" t="s">
        <v>11</v>
      </c>
      <c r="D270">
        <v>0</v>
      </c>
    </row>
    <row r="271" spans="1:4" x14ac:dyDescent="0.35">
      <c r="A271" t="s">
        <v>12</v>
      </c>
      <c r="B271" t="s">
        <v>4</v>
      </c>
      <c r="C271" t="s">
        <v>11</v>
      </c>
      <c r="D271">
        <v>0</v>
      </c>
    </row>
    <row r="272" spans="1:4" x14ac:dyDescent="0.35">
      <c r="A272" t="s">
        <v>13</v>
      </c>
      <c r="B272" t="s">
        <v>4</v>
      </c>
      <c r="C272" t="s">
        <v>11</v>
      </c>
      <c r="D272">
        <v>0</v>
      </c>
    </row>
    <row r="273" spans="1:4" x14ac:dyDescent="0.35">
      <c r="A273" t="s">
        <v>14</v>
      </c>
      <c r="B273" t="s">
        <v>4</v>
      </c>
      <c r="C273" t="s">
        <v>11</v>
      </c>
      <c r="D273">
        <v>0</v>
      </c>
    </row>
    <row r="274" spans="1:4" x14ac:dyDescent="0.35">
      <c r="A274" t="s">
        <v>15</v>
      </c>
      <c r="B274" t="s">
        <v>4</v>
      </c>
      <c r="C274" t="s">
        <v>11</v>
      </c>
      <c r="D274">
        <v>0</v>
      </c>
    </row>
    <row r="275" spans="1:4" x14ac:dyDescent="0.35">
      <c r="A275" t="s">
        <v>16</v>
      </c>
      <c r="B275" t="s">
        <v>4</v>
      </c>
      <c r="C275" t="s">
        <v>11</v>
      </c>
      <c r="D275">
        <v>0</v>
      </c>
    </row>
    <row r="276" spans="1:4" x14ac:dyDescent="0.35">
      <c r="A276" t="s">
        <v>17</v>
      </c>
      <c r="B276" t="s">
        <v>4</v>
      </c>
      <c r="C276" t="s">
        <v>11</v>
      </c>
      <c r="D276">
        <v>0</v>
      </c>
    </row>
    <row r="277" spans="1:4" x14ac:dyDescent="0.35">
      <c r="A277" t="s">
        <v>18</v>
      </c>
      <c r="B277" t="s">
        <v>4</v>
      </c>
      <c r="C277" t="s">
        <v>11</v>
      </c>
      <c r="D277">
        <v>0</v>
      </c>
    </row>
    <row r="278" spans="1:4" x14ac:dyDescent="0.35">
      <c r="A278" t="s">
        <v>19</v>
      </c>
      <c r="B278" t="s">
        <v>4</v>
      </c>
      <c r="C278" t="s">
        <v>11</v>
      </c>
      <c r="D278">
        <v>0</v>
      </c>
    </row>
    <row r="279" spans="1:4" x14ac:dyDescent="0.35">
      <c r="A279" t="s">
        <v>20</v>
      </c>
      <c r="B279" t="s">
        <v>4</v>
      </c>
      <c r="C279" t="s">
        <v>11</v>
      </c>
      <c r="D279">
        <v>0</v>
      </c>
    </row>
    <row r="280" spans="1:4" x14ac:dyDescent="0.35">
      <c r="A280" t="s">
        <v>21</v>
      </c>
      <c r="B280" t="s">
        <v>4</v>
      </c>
      <c r="C280" t="s">
        <v>11</v>
      </c>
      <c r="D280">
        <v>0</v>
      </c>
    </row>
    <row r="281" spans="1:4" x14ac:dyDescent="0.35">
      <c r="A281" t="s">
        <v>22</v>
      </c>
      <c r="B281" t="s">
        <v>4</v>
      </c>
      <c r="C281" t="s">
        <v>11</v>
      </c>
      <c r="D281">
        <v>0</v>
      </c>
    </row>
    <row r="282" spans="1:4" x14ac:dyDescent="0.35">
      <c r="A282" t="s">
        <v>23</v>
      </c>
      <c r="B282" t="s">
        <v>4</v>
      </c>
      <c r="C282" t="s">
        <v>11</v>
      </c>
      <c r="D282">
        <v>0</v>
      </c>
    </row>
    <row r="283" spans="1:4" x14ac:dyDescent="0.35">
      <c r="A283" t="s">
        <v>24</v>
      </c>
      <c r="B283" t="s">
        <v>4</v>
      </c>
      <c r="C283" t="s">
        <v>11</v>
      </c>
      <c r="D283">
        <v>0</v>
      </c>
    </row>
    <row r="284" spans="1:4" x14ac:dyDescent="0.35">
      <c r="A284" t="s">
        <v>25</v>
      </c>
      <c r="B284" t="s">
        <v>4</v>
      </c>
      <c r="C284" t="s">
        <v>11</v>
      </c>
      <c r="D284">
        <v>0</v>
      </c>
    </row>
    <row r="285" spans="1:4" x14ac:dyDescent="0.35">
      <c r="A285" t="s">
        <v>26</v>
      </c>
      <c r="B285" t="s">
        <v>4</v>
      </c>
      <c r="C285" t="s">
        <v>11</v>
      </c>
      <c r="D285">
        <v>0</v>
      </c>
    </row>
    <row r="286" spans="1:4" x14ac:dyDescent="0.35">
      <c r="A286" t="s">
        <v>27</v>
      </c>
      <c r="B286" t="s">
        <v>4</v>
      </c>
      <c r="C286" t="s">
        <v>11</v>
      </c>
      <c r="D286">
        <v>0</v>
      </c>
    </row>
    <row r="287" spans="1:4" x14ac:dyDescent="0.35">
      <c r="A287" t="s">
        <v>28</v>
      </c>
      <c r="B287" t="s">
        <v>4</v>
      </c>
      <c r="C287" t="s">
        <v>11</v>
      </c>
      <c r="D287">
        <v>0</v>
      </c>
    </row>
    <row r="288" spans="1:4" x14ac:dyDescent="0.35">
      <c r="A288" t="s">
        <v>29</v>
      </c>
      <c r="B288" t="s">
        <v>4</v>
      </c>
      <c r="C288" t="s">
        <v>11</v>
      </c>
      <c r="D288">
        <v>0</v>
      </c>
    </row>
    <row r="289" spans="1:4" x14ac:dyDescent="0.35">
      <c r="A289" t="s">
        <v>30</v>
      </c>
      <c r="B289" t="s">
        <v>4</v>
      </c>
      <c r="C289" t="s">
        <v>11</v>
      </c>
      <c r="D289">
        <v>0</v>
      </c>
    </row>
    <row r="290" spans="1:4" x14ac:dyDescent="0.35">
      <c r="A290" t="s">
        <v>31</v>
      </c>
      <c r="B290" t="s">
        <v>4</v>
      </c>
      <c r="C290" t="s">
        <v>11</v>
      </c>
      <c r="D290">
        <v>0</v>
      </c>
    </row>
    <row r="291" spans="1:4" x14ac:dyDescent="0.35">
      <c r="A291" t="s">
        <v>32</v>
      </c>
      <c r="B291" t="s">
        <v>4</v>
      </c>
      <c r="C291" t="s">
        <v>11</v>
      </c>
      <c r="D291">
        <v>0</v>
      </c>
    </row>
    <row r="292" spans="1:4" x14ac:dyDescent="0.35">
      <c r="A292" t="s">
        <v>33</v>
      </c>
      <c r="B292" t="s">
        <v>4</v>
      </c>
      <c r="C292" t="s">
        <v>11</v>
      </c>
      <c r="D292">
        <v>0</v>
      </c>
    </row>
    <row r="293" spans="1:4" x14ac:dyDescent="0.35">
      <c r="A293" t="s">
        <v>34</v>
      </c>
      <c r="B293" t="s">
        <v>4</v>
      </c>
      <c r="C293" t="s">
        <v>11</v>
      </c>
      <c r="D293">
        <v>0</v>
      </c>
    </row>
    <row r="294" spans="1:4" x14ac:dyDescent="0.35">
      <c r="A294" t="s">
        <v>35</v>
      </c>
      <c r="B294" t="s">
        <v>4</v>
      </c>
      <c r="C294" t="s">
        <v>11</v>
      </c>
      <c r="D294">
        <v>0</v>
      </c>
    </row>
    <row r="295" spans="1:4" x14ac:dyDescent="0.35">
      <c r="A295" t="s">
        <v>36</v>
      </c>
      <c r="B295" t="s">
        <v>4</v>
      </c>
      <c r="C295" t="s">
        <v>11</v>
      </c>
      <c r="D295">
        <v>0</v>
      </c>
    </row>
    <row r="296" spans="1:4" x14ac:dyDescent="0.35">
      <c r="A296" t="s">
        <v>37</v>
      </c>
      <c r="B296" t="s">
        <v>4</v>
      </c>
      <c r="C296" t="s">
        <v>11</v>
      </c>
      <c r="D296">
        <v>0</v>
      </c>
    </row>
    <row r="297" spans="1:4" x14ac:dyDescent="0.35">
      <c r="A297" t="s">
        <v>38</v>
      </c>
      <c r="B297" t="s">
        <v>4</v>
      </c>
      <c r="C297" t="s">
        <v>11</v>
      </c>
      <c r="D297">
        <v>0</v>
      </c>
    </row>
    <row r="298" spans="1:4" x14ac:dyDescent="0.35">
      <c r="A298" t="s">
        <v>39</v>
      </c>
      <c r="B298" t="s">
        <v>4</v>
      </c>
      <c r="C298" t="s">
        <v>11</v>
      </c>
      <c r="D298">
        <v>0</v>
      </c>
    </row>
    <row r="299" spans="1:4" x14ac:dyDescent="0.35">
      <c r="A299" t="s">
        <v>7</v>
      </c>
      <c r="B299" t="s">
        <v>5</v>
      </c>
      <c r="C299" t="s">
        <v>11</v>
      </c>
      <c r="D299">
        <v>0</v>
      </c>
    </row>
    <row r="300" spans="1:4" x14ac:dyDescent="0.35">
      <c r="A300" t="s">
        <v>8</v>
      </c>
      <c r="B300" t="s">
        <v>5</v>
      </c>
      <c r="C300" t="s">
        <v>11</v>
      </c>
      <c r="D300">
        <v>0</v>
      </c>
    </row>
    <row r="301" spans="1:4" x14ac:dyDescent="0.35">
      <c r="A301" t="s">
        <v>9</v>
      </c>
      <c r="B301" t="s">
        <v>5</v>
      </c>
      <c r="C301" t="s">
        <v>11</v>
      </c>
      <c r="D301">
        <v>0</v>
      </c>
    </row>
    <row r="302" spans="1:4" x14ac:dyDescent="0.35">
      <c r="A302" t="s">
        <v>10</v>
      </c>
      <c r="B302" t="s">
        <v>5</v>
      </c>
      <c r="C302" t="s">
        <v>11</v>
      </c>
      <c r="D302">
        <v>0</v>
      </c>
    </row>
    <row r="303" spans="1:4" x14ac:dyDescent="0.35">
      <c r="A303" t="s">
        <v>11</v>
      </c>
      <c r="B303" t="s">
        <v>5</v>
      </c>
      <c r="C303" t="s">
        <v>11</v>
      </c>
      <c r="D303">
        <v>0</v>
      </c>
    </row>
    <row r="304" spans="1:4" x14ac:dyDescent="0.35">
      <c r="A304" t="s">
        <v>12</v>
      </c>
      <c r="B304" t="s">
        <v>5</v>
      </c>
      <c r="C304" t="s">
        <v>11</v>
      </c>
      <c r="D304">
        <v>0</v>
      </c>
    </row>
    <row r="305" spans="1:4" x14ac:dyDescent="0.35">
      <c r="A305" t="s">
        <v>13</v>
      </c>
      <c r="B305" t="s">
        <v>5</v>
      </c>
      <c r="C305" t="s">
        <v>11</v>
      </c>
      <c r="D305">
        <v>0</v>
      </c>
    </row>
    <row r="306" spans="1:4" x14ac:dyDescent="0.35">
      <c r="A306" t="s">
        <v>14</v>
      </c>
      <c r="B306" t="s">
        <v>5</v>
      </c>
      <c r="C306" t="s">
        <v>11</v>
      </c>
      <c r="D306">
        <v>0</v>
      </c>
    </row>
    <row r="307" spans="1:4" x14ac:dyDescent="0.35">
      <c r="A307" t="s">
        <v>15</v>
      </c>
      <c r="B307" t="s">
        <v>5</v>
      </c>
      <c r="C307" t="s">
        <v>11</v>
      </c>
      <c r="D307">
        <v>0</v>
      </c>
    </row>
    <row r="308" spans="1:4" x14ac:dyDescent="0.35">
      <c r="A308" t="s">
        <v>16</v>
      </c>
      <c r="B308" t="s">
        <v>5</v>
      </c>
      <c r="C308" t="s">
        <v>11</v>
      </c>
      <c r="D308">
        <v>0</v>
      </c>
    </row>
    <row r="309" spans="1:4" x14ac:dyDescent="0.35">
      <c r="A309" t="s">
        <v>17</v>
      </c>
      <c r="B309" t="s">
        <v>5</v>
      </c>
      <c r="C309" t="s">
        <v>11</v>
      </c>
      <c r="D309">
        <v>0</v>
      </c>
    </row>
    <row r="310" spans="1:4" x14ac:dyDescent="0.35">
      <c r="A310" t="s">
        <v>18</v>
      </c>
      <c r="B310" t="s">
        <v>5</v>
      </c>
      <c r="C310" t="s">
        <v>11</v>
      </c>
      <c r="D310">
        <v>0</v>
      </c>
    </row>
    <row r="311" spans="1:4" x14ac:dyDescent="0.35">
      <c r="A311" t="s">
        <v>19</v>
      </c>
      <c r="B311" t="s">
        <v>5</v>
      </c>
      <c r="C311" t="s">
        <v>11</v>
      </c>
      <c r="D311">
        <v>0</v>
      </c>
    </row>
    <row r="312" spans="1:4" x14ac:dyDescent="0.35">
      <c r="A312" t="s">
        <v>20</v>
      </c>
      <c r="B312" t="s">
        <v>5</v>
      </c>
      <c r="C312" t="s">
        <v>11</v>
      </c>
      <c r="D312">
        <v>0</v>
      </c>
    </row>
    <row r="313" spans="1:4" x14ac:dyDescent="0.35">
      <c r="A313" t="s">
        <v>21</v>
      </c>
      <c r="B313" t="s">
        <v>5</v>
      </c>
      <c r="C313" t="s">
        <v>11</v>
      </c>
      <c r="D313">
        <v>0</v>
      </c>
    </row>
    <row r="314" spans="1:4" x14ac:dyDescent="0.35">
      <c r="A314" t="s">
        <v>22</v>
      </c>
      <c r="B314" t="s">
        <v>5</v>
      </c>
      <c r="C314" t="s">
        <v>11</v>
      </c>
      <c r="D314">
        <v>0</v>
      </c>
    </row>
    <row r="315" spans="1:4" x14ac:dyDescent="0.35">
      <c r="A315" t="s">
        <v>23</v>
      </c>
      <c r="B315" t="s">
        <v>5</v>
      </c>
      <c r="C315" t="s">
        <v>11</v>
      </c>
      <c r="D315">
        <v>0</v>
      </c>
    </row>
    <row r="316" spans="1:4" x14ac:dyDescent="0.35">
      <c r="A316" t="s">
        <v>24</v>
      </c>
      <c r="B316" t="s">
        <v>5</v>
      </c>
      <c r="C316" t="s">
        <v>11</v>
      </c>
      <c r="D316">
        <v>0</v>
      </c>
    </row>
    <row r="317" spans="1:4" x14ac:dyDescent="0.35">
      <c r="A317" t="s">
        <v>25</v>
      </c>
      <c r="B317" t="s">
        <v>5</v>
      </c>
      <c r="C317" t="s">
        <v>11</v>
      </c>
      <c r="D317">
        <v>0</v>
      </c>
    </row>
    <row r="318" spans="1:4" x14ac:dyDescent="0.35">
      <c r="A318" t="s">
        <v>26</v>
      </c>
      <c r="B318" t="s">
        <v>5</v>
      </c>
      <c r="C318" t="s">
        <v>11</v>
      </c>
      <c r="D318">
        <v>0</v>
      </c>
    </row>
    <row r="319" spans="1:4" x14ac:dyDescent="0.35">
      <c r="A319" t="s">
        <v>27</v>
      </c>
      <c r="B319" t="s">
        <v>5</v>
      </c>
      <c r="C319" t="s">
        <v>11</v>
      </c>
      <c r="D319">
        <v>0</v>
      </c>
    </row>
    <row r="320" spans="1:4" x14ac:dyDescent="0.35">
      <c r="A320" t="s">
        <v>28</v>
      </c>
      <c r="B320" t="s">
        <v>5</v>
      </c>
      <c r="C320" t="s">
        <v>11</v>
      </c>
      <c r="D320">
        <v>0</v>
      </c>
    </row>
    <row r="321" spans="1:4" x14ac:dyDescent="0.35">
      <c r="A321" t="s">
        <v>29</v>
      </c>
      <c r="B321" t="s">
        <v>5</v>
      </c>
      <c r="C321" t="s">
        <v>11</v>
      </c>
      <c r="D321">
        <v>0</v>
      </c>
    </row>
    <row r="322" spans="1:4" x14ac:dyDescent="0.35">
      <c r="A322" t="s">
        <v>30</v>
      </c>
      <c r="B322" t="s">
        <v>5</v>
      </c>
      <c r="C322" t="s">
        <v>11</v>
      </c>
      <c r="D322">
        <v>0</v>
      </c>
    </row>
    <row r="323" spans="1:4" x14ac:dyDescent="0.35">
      <c r="A323" t="s">
        <v>31</v>
      </c>
      <c r="B323" t="s">
        <v>5</v>
      </c>
      <c r="C323" t="s">
        <v>11</v>
      </c>
      <c r="D323">
        <v>0</v>
      </c>
    </row>
    <row r="324" spans="1:4" x14ac:dyDescent="0.35">
      <c r="A324" t="s">
        <v>32</v>
      </c>
      <c r="B324" t="s">
        <v>5</v>
      </c>
      <c r="C324" t="s">
        <v>11</v>
      </c>
      <c r="D324">
        <v>0</v>
      </c>
    </row>
    <row r="325" spans="1:4" x14ac:dyDescent="0.35">
      <c r="A325" t="s">
        <v>33</v>
      </c>
      <c r="B325" t="s">
        <v>5</v>
      </c>
      <c r="C325" t="s">
        <v>11</v>
      </c>
      <c r="D325">
        <v>0</v>
      </c>
    </row>
    <row r="326" spans="1:4" x14ac:dyDescent="0.35">
      <c r="A326" t="s">
        <v>34</v>
      </c>
      <c r="B326" t="s">
        <v>5</v>
      </c>
      <c r="C326" t="s">
        <v>11</v>
      </c>
      <c r="D326">
        <v>0</v>
      </c>
    </row>
    <row r="327" spans="1:4" x14ac:dyDescent="0.35">
      <c r="A327" t="s">
        <v>35</v>
      </c>
      <c r="B327" t="s">
        <v>5</v>
      </c>
      <c r="C327" t="s">
        <v>11</v>
      </c>
      <c r="D327">
        <v>0</v>
      </c>
    </row>
    <row r="328" spans="1:4" x14ac:dyDescent="0.35">
      <c r="A328" t="s">
        <v>36</v>
      </c>
      <c r="B328" t="s">
        <v>5</v>
      </c>
      <c r="C328" t="s">
        <v>11</v>
      </c>
      <c r="D328">
        <v>0</v>
      </c>
    </row>
    <row r="329" spans="1:4" x14ac:dyDescent="0.35">
      <c r="A329" t="s">
        <v>37</v>
      </c>
      <c r="B329" t="s">
        <v>5</v>
      </c>
      <c r="C329" t="s">
        <v>11</v>
      </c>
      <c r="D329">
        <v>0</v>
      </c>
    </row>
    <row r="330" spans="1:4" x14ac:dyDescent="0.35">
      <c r="A330" t="s">
        <v>38</v>
      </c>
      <c r="B330" t="s">
        <v>5</v>
      </c>
      <c r="C330" t="s">
        <v>11</v>
      </c>
      <c r="D330">
        <v>0</v>
      </c>
    </row>
    <row r="331" spans="1:4" x14ac:dyDescent="0.35">
      <c r="A331" t="s">
        <v>39</v>
      </c>
      <c r="B331" t="s">
        <v>5</v>
      </c>
      <c r="C331" t="s">
        <v>11</v>
      </c>
      <c r="D331">
        <v>0</v>
      </c>
    </row>
    <row r="332" spans="1:4" x14ac:dyDescent="0.35">
      <c r="A332" t="s">
        <v>7</v>
      </c>
      <c r="B332" t="s">
        <v>4</v>
      </c>
      <c r="C332" t="s">
        <v>12</v>
      </c>
      <c r="D332">
        <v>0</v>
      </c>
    </row>
    <row r="333" spans="1:4" x14ac:dyDescent="0.35">
      <c r="A333" t="s">
        <v>8</v>
      </c>
      <c r="B333" t="s">
        <v>4</v>
      </c>
      <c r="C333" t="s">
        <v>12</v>
      </c>
      <c r="D333">
        <v>0</v>
      </c>
    </row>
    <row r="334" spans="1:4" x14ac:dyDescent="0.35">
      <c r="A334" t="s">
        <v>9</v>
      </c>
      <c r="B334" t="s">
        <v>4</v>
      </c>
      <c r="C334" t="s">
        <v>12</v>
      </c>
      <c r="D334">
        <v>0</v>
      </c>
    </row>
    <row r="335" spans="1:4" x14ac:dyDescent="0.35">
      <c r="A335" t="s">
        <v>10</v>
      </c>
      <c r="B335" t="s">
        <v>4</v>
      </c>
      <c r="C335" t="s">
        <v>12</v>
      </c>
      <c r="D335">
        <v>0</v>
      </c>
    </row>
    <row r="336" spans="1:4" x14ac:dyDescent="0.35">
      <c r="A336" t="s">
        <v>11</v>
      </c>
      <c r="B336" t="s">
        <v>4</v>
      </c>
      <c r="C336" t="s">
        <v>12</v>
      </c>
      <c r="D336">
        <v>0</v>
      </c>
    </row>
    <row r="337" spans="1:4" x14ac:dyDescent="0.35">
      <c r="A337" t="s">
        <v>12</v>
      </c>
      <c r="B337" t="s">
        <v>4</v>
      </c>
      <c r="C337" t="s">
        <v>12</v>
      </c>
      <c r="D337">
        <v>0</v>
      </c>
    </row>
    <row r="338" spans="1:4" x14ac:dyDescent="0.35">
      <c r="A338" t="s">
        <v>13</v>
      </c>
      <c r="B338" t="s">
        <v>4</v>
      </c>
      <c r="C338" t="s">
        <v>12</v>
      </c>
      <c r="D338">
        <v>0</v>
      </c>
    </row>
    <row r="339" spans="1:4" x14ac:dyDescent="0.35">
      <c r="A339" t="s">
        <v>14</v>
      </c>
      <c r="B339" t="s">
        <v>4</v>
      </c>
      <c r="C339" t="s">
        <v>12</v>
      </c>
      <c r="D339">
        <v>0</v>
      </c>
    </row>
    <row r="340" spans="1:4" x14ac:dyDescent="0.35">
      <c r="A340" t="s">
        <v>15</v>
      </c>
      <c r="B340" t="s">
        <v>4</v>
      </c>
      <c r="C340" t="s">
        <v>12</v>
      </c>
      <c r="D340">
        <v>0</v>
      </c>
    </row>
    <row r="341" spans="1:4" x14ac:dyDescent="0.35">
      <c r="A341" t="s">
        <v>16</v>
      </c>
      <c r="B341" t="s">
        <v>4</v>
      </c>
      <c r="C341" t="s">
        <v>12</v>
      </c>
      <c r="D341">
        <v>0</v>
      </c>
    </row>
    <row r="342" spans="1:4" x14ac:dyDescent="0.35">
      <c r="A342" t="s">
        <v>17</v>
      </c>
      <c r="B342" t="s">
        <v>4</v>
      </c>
      <c r="C342" t="s">
        <v>12</v>
      </c>
      <c r="D342">
        <v>0</v>
      </c>
    </row>
    <row r="343" spans="1:4" x14ac:dyDescent="0.35">
      <c r="A343" t="s">
        <v>18</v>
      </c>
      <c r="B343" t="s">
        <v>4</v>
      </c>
      <c r="C343" t="s">
        <v>12</v>
      </c>
      <c r="D343">
        <v>0</v>
      </c>
    </row>
    <row r="344" spans="1:4" x14ac:dyDescent="0.35">
      <c r="A344" t="s">
        <v>19</v>
      </c>
      <c r="B344" t="s">
        <v>4</v>
      </c>
      <c r="C344" t="s">
        <v>12</v>
      </c>
      <c r="D344">
        <v>0</v>
      </c>
    </row>
    <row r="345" spans="1:4" x14ac:dyDescent="0.35">
      <c r="A345" t="s">
        <v>20</v>
      </c>
      <c r="B345" t="s">
        <v>4</v>
      </c>
      <c r="C345" t="s">
        <v>12</v>
      </c>
      <c r="D345">
        <v>0</v>
      </c>
    </row>
    <row r="346" spans="1:4" x14ac:dyDescent="0.35">
      <c r="A346" t="s">
        <v>21</v>
      </c>
      <c r="B346" t="s">
        <v>4</v>
      </c>
      <c r="C346" t="s">
        <v>12</v>
      </c>
      <c r="D346">
        <v>0</v>
      </c>
    </row>
    <row r="347" spans="1:4" x14ac:dyDescent="0.35">
      <c r="A347" t="s">
        <v>22</v>
      </c>
      <c r="B347" t="s">
        <v>4</v>
      </c>
      <c r="C347" t="s">
        <v>12</v>
      </c>
      <c r="D347">
        <v>0</v>
      </c>
    </row>
    <row r="348" spans="1:4" x14ac:dyDescent="0.35">
      <c r="A348" t="s">
        <v>23</v>
      </c>
      <c r="B348" t="s">
        <v>4</v>
      </c>
      <c r="C348" t="s">
        <v>12</v>
      </c>
      <c r="D348">
        <v>0</v>
      </c>
    </row>
    <row r="349" spans="1:4" x14ac:dyDescent="0.35">
      <c r="A349" t="s">
        <v>24</v>
      </c>
      <c r="B349" t="s">
        <v>4</v>
      </c>
      <c r="C349" t="s">
        <v>12</v>
      </c>
      <c r="D349">
        <v>0</v>
      </c>
    </row>
    <row r="350" spans="1:4" x14ac:dyDescent="0.35">
      <c r="A350" t="s">
        <v>25</v>
      </c>
      <c r="B350" t="s">
        <v>4</v>
      </c>
      <c r="C350" t="s">
        <v>12</v>
      </c>
      <c r="D350">
        <v>0</v>
      </c>
    </row>
    <row r="351" spans="1:4" x14ac:dyDescent="0.35">
      <c r="A351" t="s">
        <v>26</v>
      </c>
      <c r="B351" t="s">
        <v>4</v>
      </c>
      <c r="C351" t="s">
        <v>12</v>
      </c>
      <c r="D351">
        <v>0</v>
      </c>
    </row>
    <row r="352" spans="1:4" x14ac:dyDescent="0.35">
      <c r="A352" t="s">
        <v>27</v>
      </c>
      <c r="B352" t="s">
        <v>4</v>
      </c>
      <c r="C352" t="s">
        <v>12</v>
      </c>
      <c r="D352">
        <v>0</v>
      </c>
    </row>
    <row r="353" spans="1:4" x14ac:dyDescent="0.35">
      <c r="A353" t="s">
        <v>28</v>
      </c>
      <c r="B353" t="s">
        <v>4</v>
      </c>
      <c r="C353" t="s">
        <v>12</v>
      </c>
      <c r="D353">
        <v>0</v>
      </c>
    </row>
    <row r="354" spans="1:4" x14ac:dyDescent="0.35">
      <c r="A354" t="s">
        <v>29</v>
      </c>
      <c r="B354" t="s">
        <v>4</v>
      </c>
      <c r="C354" t="s">
        <v>12</v>
      </c>
      <c r="D354">
        <v>0</v>
      </c>
    </row>
    <row r="355" spans="1:4" x14ac:dyDescent="0.35">
      <c r="A355" t="s">
        <v>30</v>
      </c>
      <c r="B355" t="s">
        <v>4</v>
      </c>
      <c r="C355" t="s">
        <v>12</v>
      </c>
      <c r="D355">
        <v>0</v>
      </c>
    </row>
    <row r="356" spans="1:4" x14ac:dyDescent="0.35">
      <c r="A356" t="s">
        <v>31</v>
      </c>
      <c r="B356" t="s">
        <v>4</v>
      </c>
      <c r="C356" t="s">
        <v>12</v>
      </c>
      <c r="D356">
        <v>0</v>
      </c>
    </row>
    <row r="357" spans="1:4" x14ac:dyDescent="0.35">
      <c r="A357" t="s">
        <v>32</v>
      </c>
      <c r="B357" t="s">
        <v>4</v>
      </c>
      <c r="C357" t="s">
        <v>12</v>
      </c>
      <c r="D357">
        <v>0</v>
      </c>
    </row>
    <row r="358" spans="1:4" x14ac:dyDescent="0.35">
      <c r="A358" t="s">
        <v>33</v>
      </c>
      <c r="B358" t="s">
        <v>4</v>
      </c>
      <c r="C358" t="s">
        <v>12</v>
      </c>
      <c r="D358">
        <v>0</v>
      </c>
    </row>
    <row r="359" spans="1:4" x14ac:dyDescent="0.35">
      <c r="A359" t="s">
        <v>34</v>
      </c>
      <c r="B359" t="s">
        <v>4</v>
      </c>
      <c r="C359" t="s">
        <v>12</v>
      </c>
      <c r="D359">
        <v>0</v>
      </c>
    </row>
    <row r="360" spans="1:4" x14ac:dyDescent="0.35">
      <c r="A360" t="s">
        <v>35</v>
      </c>
      <c r="B360" t="s">
        <v>4</v>
      </c>
      <c r="C360" t="s">
        <v>12</v>
      </c>
      <c r="D360">
        <v>0</v>
      </c>
    </row>
    <row r="361" spans="1:4" x14ac:dyDescent="0.35">
      <c r="A361" t="s">
        <v>36</v>
      </c>
      <c r="B361" t="s">
        <v>4</v>
      </c>
      <c r="C361" t="s">
        <v>12</v>
      </c>
      <c r="D361">
        <v>0</v>
      </c>
    </row>
    <row r="362" spans="1:4" x14ac:dyDescent="0.35">
      <c r="A362" t="s">
        <v>37</v>
      </c>
      <c r="B362" t="s">
        <v>4</v>
      </c>
      <c r="C362" t="s">
        <v>12</v>
      </c>
      <c r="D362">
        <v>0</v>
      </c>
    </row>
    <row r="363" spans="1:4" x14ac:dyDescent="0.35">
      <c r="A363" t="s">
        <v>38</v>
      </c>
      <c r="B363" t="s">
        <v>4</v>
      </c>
      <c r="C363" t="s">
        <v>12</v>
      </c>
      <c r="D363">
        <v>0</v>
      </c>
    </row>
    <row r="364" spans="1:4" x14ac:dyDescent="0.35">
      <c r="A364" t="s">
        <v>39</v>
      </c>
      <c r="B364" t="s">
        <v>4</v>
      </c>
      <c r="C364" t="s">
        <v>12</v>
      </c>
      <c r="D364">
        <v>0</v>
      </c>
    </row>
    <row r="365" spans="1:4" x14ac:dyDescent="0.35">
      <c r="A365" t="s">
        <v>7</v>
      </c>
      <c r="B365" t="s">
        <v>5</v>
      </c>
      <c r="C365" t="s">
        <v>12</v>
      </c>
      <c r="D365">
        <v>0</v>
      </c>
    </row>
    <row r="366" spans="1:4" x14ac:dyDescent="0.35">
      <c r="A366" t="s">
        <v>8</v>
      </c>
      <c r="B366" t="s">
        <v>5</v>
      </c>
      <c r="C366" t="s">
        <v>12</v>
      </c>
      <c r="D366">
        <v>0</v>
      </c>
    </row>
    <row r="367" spans="1:4" x14ac:dyDescent="0.35">
      <c r="A367" t="s">
        <v>9</v>
      </c>
      <c r="B367" t="s">
        <v>5</v>
      </c>
      <c r="C367" t="s">
        <v>12</v>
      </c>
      <c r="D367">
        <v>0</v>
      </c>
    </row>
    <row r="368" spans="1:4" x14ac:dyDescent="0.35">
      <c r="A368" t="s">
        <v>10</v>
      </c>
      <c r="B368" t="s">
        <v>5</v>
      </c>
      <c r="C368" t="s">
        <v>12</v>
      </c>
      <c r="D368">
        <v>0</v>
      </c>
    </row>
    <row r="369" spans="1:4" x14ac:dyDescent="0.35">
      <c r="A369" t="s">
        <v>11</v>
      </c>
      <c r="B369" t="s">
        <v>5</v>
      </c>
      <c r="C369" t="s">
        <v>12</v>
      </c>
      <c r="D369">
        <v>0</v>
      </c>
    </row>
    <row r="370" spans="1:4" x14ac:dyDescent="0.35">
      <c r="A370" t="s">
        <v>12</v>
      </c>
      <c r="B370" t="s">
        <v>5</v>
      </c>
      <c r="C370" t="s">
        <v>12</v>
      </c>
      <c r="D370">
        <v>0</v>
      </c>
    </row>
    <row r="371" spans="1:4" x14ac:dyDescent="0.35">
      <c r="A371" t="s">
        <v>13</v>
      </c>
      <c r="B371" t="s">
        <v>5</v>
      </c>
      <c r="C371" t="s">
        <v>12</v>
      </c>
      <c r="D371">
        <v>0</v>
      </c>
    </row>
    <row r="372" spans="1:4" x14ac:dyDescent="0.35">
      <c r="A372" t="s">
        <v>14</v>
      </c>
      <c r="B372" t="s">
        <v>5</v>
      </c>
      <c r="C372" t="s">
        <v>12</v>
      </c>
      <c r="D372">
        <v>0</v>
      </c>
    </row>
    <row r="373" spans="1:4" x14ac:dyDescent="0.35">
      <c r="A373" t="s">
        <v>15</v>
      </c>
      <c r="B373" t="s">
        <v>5</v>
      </c>
      <c r="C373" t="s">
        <v>12</v>
      </c>
      <c r="D373">
        <v>0</v>
      </c>
    </row>
    <row r="374" spans="1:4" x14ac:dyDescent="0.35">
      <c r="A374" t="s">
        <v>16</v>
      </c>
      <c r="B374" t="s">
        <v>5</v>
      </c>
      <c r="C374" t="s">
        <v>12</v>
      </c>
      <c r="D374">
        <v>0</v>
      </c>
    </row>
    <row r="375" spans="1:4" x14ac:dyDescent="0.35">
      <c r="A375" t="s">
        <v>17</v>
      </c>
      <c r="B375" t="s">
        <v>5</v>
      </c>
      <c r="C375" t="s">
        <v>12</v>
      </c>
      <c r="D375">
        <v>0</v>
      </c>
    </row>
    <row r="376" spans="1:4" x14ac:dyDescent="0.35">
      <c r="A376" t="s">
        <v>18</v>
      </c>
      <c r="B376" t="s">
        <v>5</v>
      </c>
      <c r="C376" t="s">
        <v>12</v>
      </c>
      <c r="D376">
        <v>0</v>
      </c>
    </row>
    <row r="377" spans="1:4" x14ac:dyDescent="0.35">
      <c r="A377" t="s">
        <v>19</v>
      </c>
      <c r="B377" t="s">
        <v>5</v>
      </c>
      <c r="C377" t="s">
        <v>12</v>
      </c>
      <c r="D377">
        <v>0</v>
      </c>
    </row>
    <row r="378" spans="1:4" x14ac:dyDescent="0.35">
      <c r="A378" t="s">
        <v>20</v>
      </c>
      <c r="B378" t="s">
        <v>5</v>
      </c>
      <c r="C378" t="s">
        <v>12</v>
      </c>
      <c r="D378">
        <v>0</v>
      </c>
    </row>
    <row r="379" spans="1:4" x14ac:dyDescent="0.35">
      <c r="A379" t="s">
        <v>21</v>
      </c>
      <c r="B379" t="s">
        <v>5</v>
      </c>
      <c r="C379" t="s">
        <v>12</v>
      </c>
      <c r="D379">
        <v>0</v>
      </c>
    </row>
    <row r="380" spans="1:4" x14ac:dyDescent="0.35">
      <c r="A380" t="s">
        <v>22</v>
      </c>
      <c r="B380" t="s">
        <v>5</v>
      </c>
      <c r="C380" t="s">
        <v>12</v>
      </c>
      <c r="D380">
        <v>0</v>
      </c>
    </row>
    <row r="381" spans="1:4" x14ac:dyDescent="0.35">
      <c r="A381" t="s">
        <v>23</v>
      </c>
      <c r="B381" t="s">
        <v>5</v>
      </c>
      <c r="C381" t="s">
        <v>12</v>
      </c>
      <c r="D381">
        <v>0</v>
      </c>
    </row>
    <row r="382" spans="1:4" x14ac:dyDescent="0.35">
      <c r="A382" t="s">
        <v>24</v>
      </c>
      <c r="B382" t="s">
        <v>5</v>
      </c>
      <c r="C382" t="s">
        <v>12</v>
      </c>
      <c r="D382">
        <v>0</v>
      </c>
    </row>
    <row r="383" spans="1:4" x14ac:dyDescent="0.35">
      <c r="A383" t="s">
        <v>25</v>
      </c>
      <c r="B383" t="s">
        <v>5</v>
      </c>
      <c r="C383" t="s">
        <v>12</v>
      </c>
      <c r="D383">
        <v>0</v>
      </c>
    </row>
    <row r="384" spans="1:4" x14ac:dyDescent="0.35">
      <c r="A384" t="s">
        <v>26</v>
      </c>
      <c r="B384" t="s">
        <v>5</v>
      </c>
      <c r="C384" t="s">
        <v>12</v>
      </c>
      <c r="D384">
        <v>0</v>
      </c>
    </row>
    <row r="385" spans="1:4" x14ac:dyDescent="0.35">
      <c r="A385" t="s">
        <v>27</v>
      </c>
      <c r="B385" t="s">
        <v>5</v>
      </c>
      <c r="C385" t="s">
        <v>12</v>
      </c>
      <c r="D385">
        <v>0</v>
      </c>
    </row>
    <row r="386" spans="1:4" x14ac:dyDescent="0.35">
      <c r="A386" t="s">
        <v>28</v>
      </c>
      <c r="B386" t="s">
        <v>5</v>
      </c>
      <c r="C386" t="s">
        <v>12</v>
      </c>
      <c r="D386">
        <v>0</v>
      </c>
    </row>
    <row r="387" spans="1:4" x14ac:dyDescent="0.35">
      <c r="A387" t="s">
        <v>29</v>
      </c>
      <c r="B387" t="s">
        <v>5</v>
      </c>
      <c r="C387" t="s">
        <v>12</v>
      </c>
      <c r="D387">
        <v>0</v>
      </c>
    </row>
    <row r="388" spans="1:4" x14ac:dyDescent="0.35">
      <c r="A388" t="s">
        <v>30</v>
      </c>
      <c r="B388" t="s">
        <v>5</v>
      </c>
      <c r="C388" t="s">
        <v>12</v>
      </c>
      <c r="D388">
        <v>0</v>
      </c>
    </row>
    <row r="389" spans="1:4" x14ac:dyDescent="0.35">
      <c r="A389" t="s">
        <v>31</v>
      </c>
      <c r="B389" t="s">
        <v>5</v>
      </c>
      <c r="C389" t="s">
        <v>12</v>
      </c>
      <c r="D389">
        <v>0</v>
      </c>
    </row>
    <row r="390" spans="1:4" x14ac:dyDescent="0.35">
      <c r="A390" t="s">
        <v>32</v>
      </c>
      <c r="B390" t="s">
        <v>5</v>
      </c>
      <c r="C390" t="s">
        <v>12</v>
      </c>
      <c r="D390">
        <v>0</v>
      </c>
    </row>
    <row r="391" spans="1:4" x14ac:dyDescent="0.35">
      <c r="A391" t="s">
        <v>33</v>
      </c>
      <c r="B391" t="s">
        <v>5</v>
      </c>
      <c r="C391" t="s">
        <v>12</v>
      </c>
      <c r="D391">
        <v>0</v>
      </c>
    </row>
    <row r="392" spans="1:4" x14ac:dyDescent="0.35">
      <c r="A392" t="s">
        <v>34</v>
      </c>
      <c r="B392" t="s">
        <v>5</v>
      </c>
      <c r="C392" t="s">
        <v>12</v>
      </c>
      <c r="D392">
        <v>0</v>
      </c>
    </row>
    <row r="393" spans="1:4" x14ac:dyDescent="0.35">
      <c r="A393" t="s">
        <v>35</v>
      </c>
      <c r="B393" t="s">
        <v>5</v>
      </c>
      <c r="C393" t="s">
        <v>12</v>
      </c>
      <c r="D393">
        <v>0</v>
      </c>
    </row>
    <row r="394" spans="1:4" x14ac:dyDescent="0.35">
      <c r="A394" t="s">
        <v>36</v>
      </c>
      <c r="B394" t="s">
        <v>5</v>
      </c>
      <c r="C394" t="s">
        <v>12</v>
      </c>
      <c r="D394">
        <v>0</v>
      </c>
    </row>
    <row r="395" spans="1:4" x14ac:dyDescent="0.35">
      <c r="A395" t="s">
        <v>37</v>
      </c>
      <c r="B395" t="s">
        <v>5</v>
      </c>
      <c r="C395" t="s">
        <v>12</v>
      </c>
      <c r="D395">
        <v>0</v>
      </c>
    </row>
    <row r="396" spans="1:4" x14ac:dyDescent="0.35">
      <c r="A396" t="s">
        <v>38</v>
      </c>
      <c r="B396" t="s">
        <v>5</v>
      </c>
      <c r="C396" t="s">
        <v>12</v>
      </c>
      <c r="D396">
        <v>0</v>
      </c>
    </row>
    <row r="397" spans="1:4" x14ac:dyDescent="0.35">
      <c r="A397" t="s">
        <v>39</v>
      </c>
      <c r="B397" t="s">
        <v>5</v>
      </c>
      <c r="C397" t="s">
        <v>12</v>
      </c>
      <c r="D397">
        <v>0</v>
      </c>
    </row>
    <row r="398" spans="1:4" x14ac:dyDescent="0.35">
      <c r="A398" t="s">
        <v>7</v>
      </c>
      <c r="B398" t="s">
        <v>4</v>
      </c>
      <c r="C398" t="s">
        <v>13</v>
      </c>
      <c r="D398">
        <v>0</v>
      </c>
    </row>
    <row r="399" spans="1:4" x14ac:dyDescent="0.35">
      <c r="A399" t="s">
        <v>8</v>
      </c>
      <c r="B399" t="s">
        <v>4</v>
      </c>
      <c r="C399" t="s">
        <v>13</v>
      </c>
      <c r="D399">
        <v>0</v>
      </c>
    </row>
    <row r="400" spans="1:4" x14ac:dyDescent="0.35">
      <c r="A400" t="s">
        <v>9</v>
      </c>
      <c r="B400" t="s">
        <v>4</v>
      </c>
      <c r="C400" t="s">
        <v>13</v>
      </c>
      <c r="D400">
        <v>0</v>
      </c>
    </row>
    <row r="401" spans="1:4" x14ac:dyDescent="0.35">
      <c r="A401" t="s">
        <v>10</v>
      </c>
      <c r="B401" t="s">
        <v>4</v>
      </c>
      <c r="C401" t="s">
        <v>13</v>
      </c>
      <c r="D401">
        <v>0</v>
      </c>
    </row>
    <row r="402" spans="1:4" x14ac:dyDescent="0.35">
      <c r="A402" t="s">
        <v>11</v>
      </c>
      <c r="B402" t="s">
        <v>4</v>
      </c>
      <c r="C402" t="s">
        <v>13</v>
      </c>
      <c r="D402">
        <v>0</v>
      </c>
    </row>
    <row r="403" spans="1:4" x14ac:dyDescent="0.35">
      <c r="A403" t="s">
        <v>12</v>
      </c>
      <c r="B403" t="s">
        <v>4</v>
      </c>
      <c r="C403" t="s">
        <v>13</v>
      </c>
      <c r="D403">
        <v>0</v>
      </c>
    </row>
    <row r="404" spans="1:4" x14ac:dyDescent="0.35">
      <c r="A404" t="s">
        <v>13</v>
      </c>
      <c r="B404" t="s">
        <v>4</v>
      </c>
      <c r="C404" t="s">
        <v>13</v>
      </c>
      <c r="D404">
        <v>0</v>
      </c>
    </row>
    <row r="405" spans="1:4" x14ac:dyDescent="0.35">
      <c r="A405" t="s">
        <v>14</v>
      </c>
      <c r="B405" t="s">
        <v>4</v>
      </c>
      <c r="C405" t="s">
        <v>13</v>
      </c>
      <c r="D405">
        <v>0</v>
      </c>
    </row>
    <row r="406" spans="1:4" x14ac:dyDescent="0.35">
      <c r="A406" t="s">
        <v>15</v>
      </c>
      <c r="B406" t="s">
        <v>4</v>
      </c>
      <c r="C406" t="s">
        <v>13</v>
      </c>
      <c r="D406">
        <v>0</v>
      </c>
    </row>
    <row r="407" spans="1:4" x14ac:dyDescent="0.35">
      <c r="A407" t="s">
        <v>16</v>
      </c>
      <c r="B407" t="s">
        <v>4</v>
      </c>
      <c r="C407" t="s">
        <v>13</v>
      </c>
      <c r="D407">
        <v>0</v>
      </c>
    </row>
    <row r="408" spans="1:4" x14ac:dyDescent="0.35">
      <c r="A408" t="s">
        <v>17</v>
      </c>
      <c r="B408" t="s">
        <v>4</v>
      </c>
      <c r="C408" t="s">
        <v>13</v>
      </c>
      <c r="D408">
        <v>0</v>
      </c>
    </row>
    <row r="409" spans="1:4" x14ac:dyDescent="0.35">
      <c r="A409" t="s">
        <v>18</v>
      </c>
      <c r="B409" t="s">
        <v>4</v>
      </c>
      <c r="C409" t="s">
        <v>13</v>
      </c>
      <c r="D409">
        <v>0</v>
      </c>
    </row>
    <row r="410" spans="1:4" x14ac:dyDescent="0.35">
      <c r="A410" t="s">
        <v>19</v>
      </c>
      <c r="B410" t="s">
        <v>4</v>
      </c>
      <c r="C410" t="s">
        <v>13</v>
      </c>
      <c r="D410">
        <v>0</v>
      </c>
    </row>
    <row r="411" spans="1:4" x14ac:dyDescent="0.35">
      <c r="A411" t="s">
        <v>20</v>
      </c>
      <c r="B411" t="s">
        <v>4</v>
      </c>
      <c r="C411" t="s">
        <v>13</v>
      </c>
      <c r="D411">
        <v>0</v>
      </c>
    </row>
    <row r="412" spans="1:4" x14ac:dyDescent="0.35">
      <c r="A412" t="s">
        <v>21</v>
      </c>
      <c r="B412" t="s">
        <v>4</v>
      </c>
      <c r="C412" t="s">
        <v>13</v>
      </c>
      <c r="D412">
        <v>0</v>
      </c>
    </row>
    <row r="413" spans="1:4" x14ac:dyDescent="0.35">
      <c r="A413" t="s">
        <v>22</v>
      </c>
      <c r="B413" t="s">
        <v>4</v>
      </c>
      <c r="C413" t="s">
        <v>13</v>
      </c>
      <c r="D413">
        <v>0</v>
      </c>
    </row>
    <row r="414" spans="1:4" x14ac:dyDescent="0.35">
      <c r="A414" t="s">
        <v>23</v>
      </c>
      <c r="B414" t="s">
        <v>4</v>
      </c>
      <c r="C414" t="s">
        <v>13</v>
      </c>
      <c r="D414">
        <v>0</v>
      </c>
    </row>
    <row r="415" spans="1:4" x14ac:dyDescent="0.35">
      <c r="A415" t="s">
        <v>24</v>
      </c>
      <c r="B415" t="s">
        <v>4</v>
      </c>
      <c r="C415" t="s">
        <v>13</v>
      </c>
      <c r="D415">
        <v>0</v>
      </c>
    </row>
    <row r="416" spans="1:4" x14ac:dyDescent="0.35">
      <c r="A416" t="s">
        <v>25</v>
      </c>
      <c r="B416" t="s">
        <v>4</v>
      </c>
      <c r="C416" t="s">
        <v>13</v>
      </c>
      <c r="D416">
        <v>0</v>
      </c>
    </row>
    <row r="417" spans="1:4" x14ac:dyDescent="0.35">
      <c r="A417" t="s">
        <v>26</v>
      </c>
      <c r="B417" t="s">
        <v>4</v>
      </c>
      <c r="C417" t="s">
        <v>13</v>
      </c>
      <c r="D417">
        <v>0</v>
      </c>
    </row>
    <row r="418" spans="1:4" x14ac:dyDescent="0.35">
      <c r="A418" t="s">
        <v>27</v>
      </c>
      <c r="B418" t="s">
        <v>4</v>
      </c>
      <c r="C418" t="s">
        <v>13</v>
      </c>
      <c r="D418">
        <v>0</v>
      </c>
    </row>
    <row r="419" spans="1:4" x14ac:dyDescent="0.35">
      <c r="A419" t="s">
        <v>28</v>
      </c>
      <c r="B419" t="s">
        <v>4</v>
      </c>
      <c r="C419" t="s">
        <v>13</v>
      </c>
      <c r="D419">
        <v>0</v>
      </c>
    </row>
    <row r="420" spans="1:4" x14ac:dyDescent="0.35">
      <c r="A420" t="s">
        <v>29</v>
      </c>
      <c r="B420" t="s">
        <v>4</v>
      </c>
      <c r="C420" t="s">
        <v>13</v>
      </c>
      <c r="D420">
        <v>0</v>
      </c>
    </row>
    <row r="421" spans="1:4" x14ac:dyDescent="0.35">
      <c r="A421" t="s">
        <v>30</v>
      </c>
      <c r="B421" t="s">
        <v>4</v>
      </c>
      <c r="C421" t="s">
        <v>13</v>
      </c>
      <c r="D421">
        <v>0</v>
      </c>
    </row>
    <row r="422" spans="1:4" x14ac:dyDescent="0.35">
      <c r="A422" t="s">
        <v>31</v>
      </c>
      <c r="B422" t="s">
        <v>4</v>
      </c>
      <c r="C422" t="s">
        <v>13</v>
      </c>
      <c r="D422">
        <v>0</v>
      </c>
    </row>
    <row r="423" spans="1:4" x14ac:dyDescent="0.35">
      <c r="A423" t="s">
        <v>32</v>
      </c>
      <c r="B423" t="s">
        <v>4</v>
      </c>
      <c r="C423" t="s">
        <v>13</v>
      </c>
      <c r="D423">
        <v>0</v>
      </c>
    </row>
    <row r="424" spans="1:4" x14ac:dyDescent="0.35">
      <c r="A424" t="s">
        <v>33</v>
      </c>
      <c r="B424" t="s">
        <v>4</v>
      </c>
      <c r="C424" t="s">
        <v>13</v>
      </c>
      <c r="D424">
        <v>0</v>
      </c>
    </row>
    <row r="425" spans="1:4" x14ac:dyDescent="0.35">
      <c r="A425" t="s">
        <v>34</v>
      </c>
      <c r="B425" t="s">
        <v>4</v>
      </c>
      <c r="C425" t="s">
        <v>13</v>
      </c>
      <c r="D425">
        <v>0</v>
      </c>
    </row>
    <row r="426" spans="1:4" x14ac:dyDescent="0.35">
      <c r="A426" t="s">
        <v>35</v>
      </c>
      <c r="B426" t="s">
        <v>4</v>
      </c>
      <c r="C426" t="s">
        <v>13</v>
      </c>
      <c r="D426">
        <v>0</v>
      </c>
    </row>
    <row r="427" spans="1:4" x14ac:dyDescent="0.35">
      <c r="A427" t="s">
        <v>36</v>
      </c>
      <c r="B427" t="s">
        <v>4</v>
      </c>
      <c r="C427" t="s">
        <v>13</v>
      </c>
      <c r="D427">
        <v>0</v>
      </c>
    </row>
    <row r="428" spans="1:4" x14ac:dyDescent="0.35">
      <c r="A428" t="s">
        <v>37</v>
      </c>
      <c r="B428" t="s">
        <v>4</v>
      </c>
      <c r="C428" t="s">
        <v>13</v>
      </c>
      <c r="D428">
        <v>0</v>
      </c>
    </row>
    <row r="429" spans="1:4" x14ac:dyDescent="0.35">
      <c r="A429" t="s">
        <v>38</v>
      </c>
      <c r="B429" t="s">
        <v>4</v>
      </c>
      <c r="C429" t="s">
        <v>13</v>
      </c>
      <c r="D429">
        <v>0</v>
      </c>
    </row>
    <row r="430" spans="1:4" x14ac:dyDescent="0.35">
      <c r="A430" t="s">
        <v>39</v>
      </c>
      <c r="B430" t="s">
        <v>4</v>
      </c>
      <c r="C430" t="s">
        <v>13</v>
      </c>
      <c r="D430">
        <v>0</v>
      </c>
    </row>
    <row r="431" spans="1:4" x14ac:dyDescent="0.35">
      <c r="A431" t="s">
        <v>7</v>
      </c>
      <c r="B431" t="s">
        <v>5</v>
      </c>
      <c r="C431" t="s">
        <v>13</v>
      </c>
      <c r="D431">
        <v>0</v>
      </c>
    </row>
    <row r="432" spans="1:4" x14ac:dyDescent="0.35">
      <c r="A432" t="s">
        <v>8</v>
      </c>
      <c r="B432" t="s">
        <v>5</v>
      </c>
      <c r="C432" t="s">
        <v>13</v>
      </c>
      <c r="D432">
        <v>0</v>
      </c>
    </row>
    <row r="433" spans="1:4" x14ac:dyDescent="0.35">
      <c r="A433" t="s">
        <v>9</v>
      </c>
      <c r="B433" t="s">
        <v>5</v>
      </c>
      <c r="C433" t="s">
        <v>13</v>
      </c>
      <c r="D433">
        <v>0</v>
      </c>
    </row>
    <row r="434" spans="1:4" x14ac:dyDescent="0.35">
      <c r="A434" t="s">
        <v>10</v>
      </c>
      <c r="B434" t="s">
        <v>5</v>
      </c>
      <c r="C434" t="s">
        <v>13</v>
      </c>
      <c r="D434">
        <v>0</v>
      </c>
    </row>
    <row r="435" spans="1:4" x14ac:dyDescent="0.35">
      <c r="A435" t="s">
        <v>11</v>
      </c>
      <c r="B435" t="s">
        <v>5</v>
      </c>
      <c r="C435" t="s">
        <v>13</v>
      </c>
      <c r="D435">
        <v>0</v>
      </c>
    </row>
    <row r="436" spans="1:4" x14ac:dyDescent="0.35">
      <c r="A436" t="s">
        <v>12</v>
      </c>
      <c r="B436" t="s">
        <v>5</v>
      </c>
      <c r="C436" t="s">
        <v>13</v>
      </c>
      <c r="D436">
        <v>0</v>
      </c>
    </row>
    <row r="437" spans="1:4" x14ac:dyDescent="0.35">
      <c r="A437" t="s">
        <v>13</v>
      </c>
      <c r="B437" t="s">
        <v>5</v>
      </c>
      <c r="C437" t="s">
        <v>13</v>
      </c>
      <c r="D437">
        <v>0</v>
      </c>
    </row>
    <row r="438" spans="1:4" x14ac:dyDescent="0.35">
      <c r="A438" t="s">
        <v>14</v>
      </c>
      <c r="B438" t="s">
        <v>5</v>
      </c>
      <c r="C438" t="s">
        <v>13</v>
      </c>
      <c r="D438">
        <v>0</v>
      </c>
    </row>
    <row r="439" spans="1:4" x14ac:dyDescent="0.35">
      <c r="A439" t="s">
        <v>15</v>
      </c>
      <c r="B439" t="s">
        <v>5</v>
      </c>
      <c r="C439" t="s">
        <v>13</v>
      </c>
      <c r="D439">
        <v>0</v>
      </c>
    </row>
    <row r="440" spans="1:4" x14ac:dyDescent="0.35">
      <c r="A440" t="s">
        <v>16</v>
      </c>
      <c r="B440" t="s">
        <v>5</v>
      </c>
      <c r="C440" t="s">
        <v>13</v>
      </c>
      <c r="D440">
        <v>0</v>
      </c>
    </row>
    <row r="441" spans="1:4" x14ac:dyDescent="0.35">
      <c r="A441" t="s">
        <v>17</v>
      </c>
      <c r="B441" t="s">
        <v>5</v>
      </c>
      <c r="C441" t="s">
        <v>13</v>
      </c>
      <c r="D441">
        <v>0</v>
      </c>
    </row>
    <row r="442" spans="1:4" x14ac:dyDescent="0.35">
      <c r="A442" t="s">
        <v>18</v>
      </c>
      <c r="B442" t="s">
        <v>5</v>
      </c>
      <c r="C442" t="s">
        <v>13</v>
      </c>
      <c r="D442">
        <v>0</v>
      </c>
    </row>
    <row r="443" spans="1:4" x14ac:dyDescent="0.35">
      <c r="A443" t="s">
        <v>19</v>
      </c>
      <c r="B443" t="s">
        <v>5</v>
      </c>
      <c r="C443" t="s">
        <v>13</v>
      </c>
      <c r="D443">
        <v>0</v>
      </c>
    </row>
    <row r="444" spans="1:4" x14ac:dyDescent="0.35">
      <c r="A444" t="s">
        <v>20</v>
      </c>
      <c r="B444" t="s">
        <v>5</v>
      </c>
      <c r="C444" t="s">
        <v>13</v>
      </c>
      <c r="D444">
        <v>0</v>
      </c>
    </row>
    <row r="445" spans="1:4" x14ac:dyDescent="0.35">
      <c r="A445" t="s">
        <v>21</v>
      </c>
      <c r="B445" t="s">
        <v>5</v>
      </c>
      <c r="C445" t="s">
        <v>13</v>
      </c>
      <c r="D445">
        <v>0</v>
      </c>
    </row>
    <row r="446" spans="1:4" x14ac:dyDescent="0.35">
      <c r="A446" t="s">
        <v>22</v>
      </c>
      <c r="B446" t="s">
        <v>5</v>
      </c>
      <c r="C446" t="s">
        <v>13</v>
      </c>
      <c r="D446">
        <v>0</v>
      </c>
    </row>
    <row r="447" spans="1:4" x14ac:dyDescent="0.35">
      <c r="A447" t="s">
        <v>23</v>
      </c>
      <c r="B447" t="s">
        <v>5</v>
      </c>
      <c r="C447" t="s">
        <v>13</v>
      </c>
      <c r="D447">
        <v>0</v>
      </c>
    </row>
    <row r="448" spans="1:4" x14ac:dyDescent="0.35">
      <c r="A448" t="s">
        <v>24</v>
      </c>
      <c r="B448" t="s">
        <v>5</v>
      </c>
      <c r="C448" t="s">
        <v>13</v>
      </c>
      <c r="D448">
        <v>0</v>
      </c>
    </row>
    <row r="449" spans="1:4" x14ac:dyDescent="0.35">
      <c r="A449" t="s">
        <v>25</v>
      </c>
      <c r="B449" t="s">
        <v>5</v>
      </c>
      <c r="C449" t="s">
        <v>13</v>
      </c>
      <c r="D449">
        <v>0</v>
      </c>
    </row>
    <row r="450" spans="1:4" x14ac:dyDescent="0.35">
      <c r="A450" t="s">
        <v>26</v>
      </c>
      <c r="B450" t="s">
        <v>5</v>
      </c>
      <c r="C450" t="s">
        <v>13</v>
      </c>
      <c r="D450">
        <v>0</v>
      </c>
    </row>
    <row r="451" spans="1:4" x14ac:dyDescent="0.35">
      <c r="A451" t="s">
        <v>27</v>
      </c>
      <c r="B451" t="s">
        <v>5</v>
      </c>
      <c r="C451" t="s">
        <v>13</v>
      </c>
      <c r="D451">
        <v>0</v>
      </c>
    </row>
    <row r="452" spans="1:4" x14ac:dyDescent="0.35">
      <c r="A452" t="s">
        <v>28</v>
      </c>
      <c r="B452" t="s">
        <v>5</v>
      </c>
      <c r="C452" t="s">
        <v>13</v>
      </c>
      <c r="D452">
        <v>0</v>
      </c>
    </row>
    <row r="453" spans="1:4" x14ac:dyDescent="0.35">
      <c r="A453" t="s">
        <v>29</v>
      </c>
      <c r="B453" t="s">
        <v>5</v>
      </c>
      <c r="C453" t="s">
        <v>13</v>
      </c>
      <c r="D453">
        <v>0</v>
      </c>
    </row>
    <row r="454" spans="1:4" x14ac:dyDescent="0.35">
      <c r="A454" t="s">
        <v>30</v>
      </c>
      <c r="B454" t="s">
        <v>5</v>
      </c>
      <c r="C454" t="s">
        <v>13</v>
      </c>
      <c r="D454">
        <v>0</v>
      </c>
    </row>
    <row r="455" spans="1:4" x14ac:dyDescent="0.35">
      <c r="A455" t="s">
        <v>31</v>
      </c>
      <c r="B455" t="s">
        <v>5</v>
      </c>
      <c r="C455" t="s">
        <v>13</v>
      </c>
      <c r="D455">
        <v>0</v>
      </c>
    </row>
    <row r="456" spans="1:4" x14ac:dyDescent="0.35">
      <c r="A456" t="s">
        <v>32</v>
      </c>
      <c r="B456" t="s">
        <v>5</v>
      </c>
      <c r="C456" t="s">
        <v>13</v>
      </c>
      <c r="D456">
        <v>0</v>
      </c>
    </row>
    <row r="457" spans="1:4" x14ac:dyDescent="0.35">
      <c r="A457" t="s">
        <v>33</v>
      </c>
      <c r="B457" t="s">
        <v>5</v>
      </c>
      <c r="C457" t="s">
        <v>13</v>
      </c>
      <c r="D457">
        <v>0</v>
      </c>
    </row>
    <row r="458" spans="1:4" x14ac:dyDescent="0.35">
      <c r="A458" t="s">
        <v>34</v>
      </c>
      <c r="B458" t="s">
        <v>5</v>
      </c>
      <c r="C458" t="s">
        <v>13</v>
      </c>
      <c r="D458">
        <v>0</v>
      </c>
    </row>
    <row r="459" spans="1:4" x14ac:dyDescent="0.35">
      <c r="A459" t="s">
        <v>35</v>
      </c>
      <c r="B459" t="s">
        <v>5</v>
      </c>
      <c r="C459" t="s">
        <v>13</v>
      </c>
      <c r="D459">
        <v>0</v>
      </c>
    </row>
    <row r="460" spans="1:4" x14ac:dyDescent="0.35">
      <c r="A460" t="s">
        <v>36</v>
      </c>
      <c r="B460" t="s">
        <v>5</v>
      </c>
      <c r="C460" t="s">
        <v>13</v>
      </c>
      <c r="D460">
        <v>0</v>
      </c>
    </row>
    <row r="461" spans="1:4" x14ac:dyDescent="0.35">
      <c r="A461" t="s">
        <v>37</v>
      </c>
      <c r="B461" t="s">
        <v>5</v>
      </c>
      <c r="C461" t="s">
        <v>13</v>
      </c>
      <c r="D461">
        <v>0</v>
      </c>
    </row>
    <row r="462" spans="1:4" x14ac:dyDescent="0.35">
      <c r="A462" t="s">
        <v>38</v>
      </c>
      <c r="B462" t="s">
        <v>5</v>
      </c>
      <c r="C462" t="s">
        <v>13</v>
      </c>
      <c r="D462">
        <v>0</v>
      </c>
    </row>
    <row r="463" spans="1:4" x14ac:dyDescent="0.35">
      <c r="A463" t="s">
        <v>39</v>
      </c>
      <c r="B463" t="s">
        <v>5</v>
      </c>
      <c r="C463" t="s">
        <v>13</v>
      </c>
      <c r="D463">
        <v>0</v>
      </c>
    </row>
    <row r="464" spans="1:4" x14ac:dyDescent="0.35">
      <c r="A464" t="s">
        <v>7</v>
      </c>
      <c r="B464" t="s">
        <v>4</v>
      </c>
      <c r="C464" t="s">
        <v>14</v>
      </c>
      <c r="D464">
        <v>0</v>
      </c>
    </row>
    <row r="465" spans="1:4" x14ac:dyDescent="0.35">
      <c r="A465" t="s">
        <v>8</v>
      </c>
      <c r="B465" t="s">
        <v>4</v>
      </c>
      <c r="C465" t="s">
        <v>14</v>
      </c>
      <c r="D465">
        <v>0</v>
      </c>
    </row>
    <row r="466" spans="1:4" x14ac:dyDescent="0.35">
      <c r="A466" t="s">
        <v>9</v>
      </c>
      <c r="B466" t="s">
        <v>4</v>
      </c>
      <c r="C466" t="s">
        <v>14</v>
      </c>
      <c r="D466">
        <v>0</v>
      </c>
    </row>
    <row r="467" spans="1:4" x14ac:dyDescent="0.35">
      <c r="A467" t="s">
        <v>10</v>
      </c>
      <c r="B467" t="s">
        <v>4</v>
      </c>
      <c r="C467" t="s">
        <v>14</v>
      </c>
      <c r="D467">
        <v>0</v>
      </c>
    </row>
    <row r="468" spans="1:4" x14ac:dyDescent="0.35">
      <c r="A468" t="s">
        <v>11</v>
      </c>
      <c r="B468" t="s">
        <v>4</v>
      </c>
      <c r="C468" t="s">
        <v>14</v>
      </c>
      <c r="D468">
        <v>0</v>
      </c>
    </row>
    <row r="469" spans="1:4" x14ac:dyDescent="0.35">
      <c r="A469" t="s">
        <v>12</v>
      </c>
      <c r="B469" t="s">
        <v>4</v>
      </c>
      <c r="C469" t="s">
        <v>14</v>
      </c>
      <c r="D469">
        <v>0</v>
      </c>
    </row>
    <row r="470" spans="1:4" x14ac:dyDescent="0.35">
      <c r="A470" t="s">
        <v>13</v>
      </c>
      <c r="B470" t="s">
        <v>4</v>
      </c>
      <c r="C470" t="s">
        <v>14</v>
      </c>
      <c r="D470">
        <v>0</v>
      </c>
    </row>
    <row r="471" spans="1:4" x14ac:dyDescent="0.35">
      <c r="A471" t="s">
        <v>14</v>
      </c>
      <c r="B471" t="s">
        <v>4</v>
      </c>
      <c r="C471" t="s">
        <v>14</v>
      </c>
      <c r="D471">
        <v>0</v>
      </c>
    </row>
    <row r="472" spans="1:4" x14ac:dyDescent="0.35">
      <c r="A472" t="s">
        <v>15</v>
      </c>
      <c r="B472" t="s">
        <v>4</v>
      </c>
      <c r="C472" t="s">
        <v>14</v>
      </c>
      <c r="D472">
        <v>0</v>
      </c>
    </row>
    <row r="473" spans="1:4" x14ac:dyDescent="0.35">
      <c r="A473" t="s">
        <v>16</v>
      </c>
      <c r="B473" t="s">
        <v>4</v>
      </c>
      <c r="C473" t="s">
        <v>14</v>
      </c>
      <c r="D473">
        <v>0</v>
      </c>
    </row>
    <row r="474" spans="1:4" x14ac:dyDescent="0.35">
      <c r="A474" t="s">
        <v>17</v>
      </c>
      <c r="B474" t="s">
        <v>4</v>
      </c>
      <c r="C474" t="s">
        <v>14</v>
      </c>
      <c r="D474">
        <v>0</v>
      </c>
    </row>
    <row r="475" spans="1:4" x14ac:dyDescent="0.35">
      <c r="A475" t="s">
        <v>18</v>
      </c>
      <c r="B475" t="s">
        <v>4</v>
      </c>
      <c r="C475" t="s">
        <v>14</v>
      </c>
      <c r="D475">
        <v>0</v>
      </c>
    </row>
    <row r="476" spans="1:4" x14ac:dyDescent="0.35">
      <c r="A476" t="s">
        <v>19</v>
      </c>
      <c r="B476" t="s">
        <v>4</v>
      </c>
      <c r="C476" t="s">
        <v>14</v>
      </c>
      <c r="D476">
        <v>0</v>
      </c>
    </row>
    <row r="477" spans="1:4" x14ac:dyDescent="0.35">
      <c r="A477" t="s">
        <v>20</v>
      </c>
      <c r="B477" t="s">
        <v>4</v>
      </c>
      <c r="C477" t="s">
        <v>14</v>
      </c>
      <c r="D477">
        <v>0</v>
      </c>
    </row>
    <row r="478" spans="1:4" x14ac:dyDescent="0.35">
      <c r="A478" t="s">
        <v>21</v>
      </c>
      <c r="B478" t="s">
        <v>4</v>
      </c>
      <c r="C478" t="s">
        <v>14</v>
      </c>
      <c r="D478">
        <v>0</v>
      </c>
    </row>
    <row r="479" spans="1:4" x14ac:dyDescent="0.35">
      <c r="A479" t="s">
        <v>22</v>
      </c>
      <c r="B479" t="s">
        <v>4</v>
      </c>
      <c r="C479" t="s">
        <v>14</v>
      </c>
      <c r="D479">
        <v>0</v>
      </c>
    </row>
    <row r="480" spans="1:4" x14ac:dyDescent="0.35">
      <c r="A480" t="s">
        <v>23</v>
      </c>
      <c r="B480" t="s">
        <v>4</v>
      </c>
      <c r="C480" t="s">
        <v>14</v>
      </c>
      <c r="D480">
        <v>0</v>
      </c>
    </row>
    <row r="481" spans="1:4" x14ac:dyDescent="0.35">
      <c r="A481" t="s">
        <v>24</v>
      </c>
      <c r="B481" t="s">
        <v>4</v>
      </c>
      <c r="C481" t="s">
        <v>14</v>
      </c>
      <c r="D481">
        <v>0</v>
      </c>
    </row>
    <row r="482" spans="1:4" x14ac:dyDescent="0.35">
      <c r="A482" t="s">
        <v>25</v>
      </c>
      <c r="B482" t="s">
        <v>4</v>
      </c>
      <c r="C482" t="s">
        <v>14</v>
      </c>
      <c r="D482">
        <v>0</v>
      </c>
    </row>
    <row r="483" spans="1:4" x14ac:dyDescent="0.35">
      <c r="A483" t="s">
        <v>26</v>
      </c>
      <c r="B483" t="s">
        <v>4</v>
      </c>
      <c r="C483" t="s">
        <v>14</v>
      </c>
      <c r="D483">
        <v>0</v>
      </c>
    </row>
    <row r="484" spans="1:4" x14ac:dyDescent="0.35">
      <c r="A484" t="s">
        <v>27</v>
      </c>
      <c r="B484" t="s">
        <v>4</v>
      </c>
      <c r="C484" t="s">
        <v>14</v>
      </c>
      <c r="D484">
        <v>0</v>
      </c>
    </row>
    <row r="485" spans="1:4" x14ac:dyDescent="0.35">
      <c r="A485" t="s">
        <v>28</v>
      </c>
      <c r="B485" t="s">
        <v>4</v>
      </c>
      <c r="C485" t="s">
        <v>14</v>
      </c>
      <c r="D485">
        <v>0</v>
      </c>
    </row>
    <row r="486" spans="1:4" x14ac:dyDescent="0.35">
      <c r="A486" t="s">
        <v>29</v>
      </c>
      <c r="B486" t="s">
        <v>4</v>
      </c>
      <c r="C486" t="s">
        <v>14</v>
      </c>
      <c r="D486">
        <v>0</v>
      </c>
    </row>
    <row r="487" spans="1:4" x14ac:dyDescent="0.35">
      <c r="A487" t="s">
        <v>30</v>
      </c>
      <c r="B487" t="s">
        <v>4</v>
      </c>
      <c r="C487" t="s">
        <v>14</v>
      </c>
      <c r="D487">
        <v>0</v>
      </c>
    </row>
    <row r="488" spans="1:4" x14ac:dyDescent="0.35">
      <c r="A488" t="s">
        <v>31</v>
      </c>
      <c r="B488" t="s">
        <v>4</v>
      </c>
      <c r="C488" t="s">
        <v>14</v>
      </c>
      <c r="D488">
        <v>0</v>
      </c>
    </row>
    <row r="489" spans="1:4" x14ac:dyDescent="0.35">
      <c r="A489" t="s">
        <v>32</v>
      </c>
      <c r="B489" t="s">
        <v>4</v>
      </c>
      <c r="C489" t="s">
        <v>14</v>
      </c>
      <c r="D489">
        <v>0</v>
      </c>
    </row>
    <row r="490" spans="1:4" x14ac:dyDescent="0.35">
      <c r="A490" t="s">
        <v>33</v>
      </c>
      <c r="B490" t="s">
        <v>4</v>
      </c>
      <c r="C490" t="s">
        <v>14</v>
      </c>
      <c r="D490">
        <v>0</v>
      </c>
    </row>
    <row r="491" spans="1:4" x14ac:dyDescent="0.35">
      <c r="A491" t="s">
        <v>34</v>
      </c>
      <c r="B491" t="s">
        <v>4</v>
      </c>
      <c r="C491" t="s">
        <v>14</v>
      </c>
      <c r="D491">
        <v>0</v>
      </c>
    </row>
    <row r="492" spans="1:4" x14ac:dyDescent="0.35">
      <c r="A492" t="s">
        <v>35</v>
      </c>
      <c r="B492" t="s">
        <v>4</v>
      </c>
      <c r="C492" t="s">
        <v>14</v>
      </c>
      <c r="D492">
        <v>0</v>
      </c>
    </row>
    <row r="493" spans="1:4" x14ac:dyDescent="0.35">
      <c r="A493" t="s">
        <v>36</v>
      </c>
      <c r="B493" t="s">
        <v>4</v>
      </c>
      <c r="C493" t="s">
        <v>14</v>
      </c>
      <c r="D493">
        <v>0</v>
      </c>
    </row>
    <row r="494" spans="1:4" x14ac:dyDescent="0.35">
      <c r="A494" t="s">
        <v>37</v>
      </c>
      <c r="B494" t="s">
        <v>4</v>
      </c>
      <c r="C494" t="s">
        <v>14</v>
      </c>
      <c r="D494">
        <v>0</v>
      </c>
    </row>
    <row r="495" spans="1:4" x14ac:dyDescent="0.35">
      <c r="A495" t="s">
        <v>38</v>
      </c>
      <c r="B495" t="s">
        <v>4</v>
      </c>
      <c r="C495" t="s">
        <v>14</v>
      </c>
      <c r="D495">
        <v>0</v>
      </c>
    </row>
    <row r="496" spans="1:4" x14ac:dyDescent="0.35">
      <c r="A496" t="s">
        <v>39</v>
      </c>
      <c r="B496" t="s">
        <v>4</v>
      </c>
      <c r="C496" t="s">
        <v>14</v>
      </c>
      <c r="D496">
        <v>0</v>
      </c>
    </row>
    <row r="497" spans="1:4" x14ac:dyDescent="0.35">
      <c r="A497" t="s">
        <v>7</v>
      </c>
      <c r="B497" t="s">
        <v>5</v>
      </c>
      <c r="C497" t="s">
        <v>14</v>
      </c>
      <c r="D497">
        <v>0</v>
      </c>
    </row>
    <row r="498" spans="1:4" x14ac:dyDescent="0.35">
      <c r="A498" t="s">
        <v>8</v>
      </c>
      <c r="B498" t="s">
        <v>5</v>
      </c>
      <c r="C498" t="s">
        <v>14</v>
      </c>
      <c r="D498">
        <v>0</v>
      </c>
    </row>
    <row r="499" spans="1:4" x14ac:dyDescent="0.35">
      <c r="A499" t="s">
        <v>9</v>
      </c>
      <c r="B499" t="s">
        <v>5</v>
      </c>
      <c r="C499" t="s">
        <v>14</v>
      </c>
      <c r="D499">
        <v>0</v>
      </c>
    </row>
    <row r="500" spans="1:4" x14ac:dyDescent="0.35">
      <c r="A500" t="s">
        <v>10</v>
      </c>
      <c r="B500" t="s">
        <v>5</v>
      </c>
      <c r="C500" t="s">
        <v>14</v>
      </c>
      <c r="D500">
        <v>0</v>
      </c>
    </row>
    <row r="501" spans="1:4" x14ac:dyDescent="0.35">
      <c r="A501" t="s">
        <v>11</v>
      </c>
      <c r="B501" t="s">
        <v>5</v>
      </c>
      <c r="C501" t="s">
        <v>14</v>
      </c>
      <c r="D501">
        <v>0</v>
      </c>
    </row>
    <row r="502" spans="1:4" x14ac:dyDescent="0.35">
      <c r="A502" t="s">
        <v>12</v>
      </c>
      <c r="B502" t="s">
        <v>5</v>
      </c>
      <c r="C502" t="s">
        <v>14</v>
      </c>
      <c r="D502">
        <v>0</v>
      </c>
    </row>
    <row r="503" spans="1:4" x14ac:dyDescent="0.35">
      <c r="A503" t="s">
        <v>13</v>
      </c>
      <c r="B503" t="s">
        <v>5</v>
      </c>
      <c r="C503" t="s">
        <v>14</v>
      </c>
      <c r="D503">
        <v>0</v>
      </c>
    </row>
    <row r="504" spans="1:4" x14ac:dyDescent="0.35">
      <c r="A504" t="s">
        <v>14</v>
      </c>
      <c r="B504" t="s">
        <v>5</v>
      </c>
      <c r="C504" t="s">
        <v>14</v>
      </c>
      <c r="D504">
        <v>0</v>
      </c>
    </row>
    <row r="505" spans="1:4" x14ac:dyDescent="0.35">
      <c r="A505" t="s">
        <v>15</v>
      </c>
      <c r="B505" t="s">
        <v>5</v>
      </c>
      <c r="C505" t="s">
        <v>14</v>
      </c>
      <c r="D505">
        <v>0</v>
      </c>
    </row>
    <row r="506" spans="1:4" x14ac:dyDescent="0.35">
      <c r="A506" t="s">
        <v>16</v>
      </c>
      <c r="B506" t="s">
        <v>5</v>
      </c>
      <c r="C506" t="s">
        <v>14</v>
      </c>
      <c r="D506">
        <v>0</v>
      </c>
    </row>
    <row r="507" spans="1:4" x14ac:dyDescent="0.35">
      <c r="A507" t="s">
        <v>17</v>
      </c>
      <c r="B507" t="s">
        <v>5</v>
      </c>
      <c r="C507" t="s">
        <v>14</v>
      </c>
      <c r="D507">
        <v>0</v>
      </c>
    </row>
    <row r="508" spans="1:4" x14ac:dyDescent="0.35">
      <c r="A508" t="s">
        <v>18</v>
      </c>
      <c r="B508" t="s">
        <v>5</v>
      </c>
      <c r="C508" t="s">
        <v>14</v>
      </c>
      <c r="D508">
        <v>0</v>
      </c>
    </row>
    <row r="509" spans="1:4" x14ac:dyDescent="0.35">
      <c r="A509" t="s">
        <v>19</v>
      </c>
      <c r="B509" t="s">
        <v>5</v>
      </c>
      <c r="C509" t="s">
        <v>14</v>
      </c>
      <c r="D509">
        <v>0</v>
      </c>
    </row>
    <row r="510" spans="1:4" x14ac:dyDescent="0.35">
      <c r="A510" t="s">
        <v>20</v>
      </c>
      <c r="B510" t="s">
        <v>5</v>
      </c>
      <c r="C510" t="s">
        <v>14</v>
      </c>
      <c r="D510">
        <v>0</v>
      </c>
    </row>
    <row r="511" spans="1:4" x14ac:dyDescent="0.35">
      <c r="A511" t="s">
        <v>21</v>
      </c>
      <c r="B511" t="s">
        <v>5</v>
      </c>
      <c r="C511" t="s">
        <v>14</v>
      </c>
      <c r="D511">
        <v>0</v>
      </c>
    </row>
    <row r="512" spans="1:4" x14ac:dyDescent="0.35">
      <c r="A512" t="s">
        <v>22</v>
      </c>
      <c r="B512" t="s">
        <v>5</v>
      </c>
      <c r="C512" t="s">
        <v>14</v>
      </c>
      <c r="D512">
        <v>0</v>
      </c>
    </row>
    <row r="513" spans="1:4" x14ac:dyDescent="0.35">
      <c r="A513" t="s">
        <v>23</v>
      </c>
      <c r="B513" t="s">
        <v>5</v>
      </c>
      <c r="C513" t="s">
        <v>14</v>
      </c>
      <c r="D513">
        <v>0</v>
      </c>
    </row>
    <row r="514" spans="1:4" x14ac:dyDescent="0.35">
      <c r="A514" t="s">
        <v>24</v>
      </c>
      <c r="B514" t="s">
        <v>5</v>
      </c>
      <c r="C514" t="s">
        <v>14</v>
      </c>
      <c r="D514">
        <v>0</v>
      </c>
    </row>
    <row r="515" spans="1:4" x14ac:dyDescent="0.35">
      <c r="A515" t="s">
        <v>25</v>
      </c>
      <c r="B515" t="s">
        <v>5</v>
      </c>
      <c r="C515" t="s">
        <v>14</v>
      </c>
      <c r="D515">
        <v>0</v>
      </c>
    </row>
    <row r="516" spans="1:4" x14ac:dyDescent="0.35">
      <c r="A516" t="s">
        <v>26</v>
      </c>
      <c r="B516" t="s">
        <v>5</v>
      </c>
      <c r="C516" t="s">
        <v>14</v>
      </c>
      <c r="D516">
        <v>0</v>
      </c>
    </row>
    <row r="517" spans="1:4" x14ac:dyDescent="0.35">
      <c r="A517" t="s">
        <v>27</v>
      </c>
      <c r="B517" t="s">
        <v>5</v>
      </c>
      <c r="C517" t="s">
        <v>14</v>
      </c>
      <c r="D517">
        <v>0</v>
      </c>
    </row>
    <row r="518" spans="1:4" x14ac:dyDescent="0.35">
      <c r="A518" t="s">
        <v>28</v>
      </c>
      <c r="B518" t="s">
        <v>5</v>
      </c>
      <c r="C518" t="s">
        <v>14</v>
      </c>
      <c r="D518">
        <v>0</v>
      </c>
    </row>
    <row r="519" spans="1:4" x14ac:dyDescent="0.35">
      <c r="A519" t="s">
        <v>29</v>
      </c>
      <c r="B519" t="s">
        <v>5</v>
      </c>
      <c r="C519" t="s">
        <v>14</v>
      </c>
      <c r="D519">
        <v>0</v>
      </c>
    </row>
    <row r="520" spans="1:4" x14ac:dyDescent="0.35">
      <c r="A520" t="s">
        <v>30</v>
      </c>
      <c r="B520" t="s">
        <v>5</v>
      </c>
      <c r="C520" t="s">
        <v>14</v>
      </c>
      <c r="D520">
        <v>0</v>
      </c>
    </row>
    <row r="521" spans="1:4" x14ac:dyDescent="0.35">
      <c r="A521" t="s">
        <v>31</v>
      </c>
      <c r="B521" t="s">
        <v>5</v>
      </c>
      <c r="C521" t="s">
        <v>14</v>
      </c>
      <c r="D521">
        <v>0</v>
      </c>
    </row>
    <row r="522" spans="1:4" x14ac:dyDescent="0.35">
      <c r="A522" t="s">
        <v>32</v>
      </c>
      <c r="B522" t="s">
        <v>5</v>
      </c>
      <c r="C522" t="s">
        <v>14</v>
      </c>
      <c r="D522">
        <v>0</v>
      </c>
    </row>
    <row r="523" spans="1:4" x14ac:dyDescent="0.35">
      <c r="A523" t="s">
        <v>33</v>
      </c>
      <c r="B523" t="s">
        <v>5</v>
      </c>
      <c r="C523" t="s">
        <v>14</v>
      </c>
      <c r="D523">
        <v>0</v>
      </c>
    </row>
    <row r="524" spans="1:4" x14ac:dyDescent="0.35">
      <c r="A524" t="s">
        <v>34</v>
      </c>
      <c r="B524" t="s">
        <v>5</v>
      </c>
      <c r="C524" t="s">
        <v>14</v>
      </c>
      <c r="D524">
        <v>0</v>
      </c>
    </row>
    <row r="525" spans="1:4" x14ac:dyDescent="0.35">
      <c r="A525" t="s">
        <v>35</v>
      </c>
      <c r="B525" t="s">
        <v>5</v>
      </c>
      <c r="C525" t="s">
        <v>14</v>
      </c>
      <c r="D525">
        <v>0</v>
      </c>
    </row>
    <row r="526" spans="1:4" x14ac:dyDescent="0.35">
      <c r="A526" t="s">
        <v>36</v>
      </c>
      <c r="B526" t="s">
        <v>5</v>
      </c>
      <c r="C526" t="s">
        <v>14</v>
      </c>
      <c r="D526">
        <v>0</v>
      </c>
    </row>
    <row r="527" spans="1:4" x14ac:dyDescent="0.35">
      <c r="A527" t="s">
        <v>37</v>
      </c>
      <c r="B527" t="s">
        <v>5</v>
      </c>
      <c r="C527" t="s">
        <v>14</v>
      </c>
      <c r="D527">
        <v>0</v>
      </c>
    </row>
    <row r="528" spans="1:4" x14ac:dyDescent="0.35">
      <c r="A528" t="s">
        <v>38</v>
      </c>
      <c r="B528" t="s">
        <v>5</v>
      </c>
      <c r="C528" t="s">
        <v>14</v>
      </c>
      <c r="D528">
        <v>0</v>
      </c>
    </row>
    <row r="529" spans="1:4" x14ac:dyDescent="0.35">
      <c r="A529" t="s">
        <v>39</v>
      </c>
      <c r="B529" t="s">
        <v>5</v>
      </c>
      <c r="C529" t="s">
        <v>14</v>
      </c>
      <c r="D529">
        <v>0</v>
      </c>
    </row>
    <row r="530" spans="1:4" x14ac:dyDescent="0.35">
      <c r="A530" t="s">
        <v>7</v>
      </c>
      <c r="B530" t="s">
        <v>4</v>
      </c>
      <c r="C530" t="s">
        <v>15</v>
      </c>
      <c r="D530">
        <v>0</v>
      </c>
    </row>
    <row r="531" spans="1:4" x14ac:dyDescent="0.35">
      <c r="A531" t="s">
        <v>8</v>
      </c>
      <c r="B531" t="s">
        <v>4</v>
      </c>
      <c r="C531" t="s">
        <v>15</v>
      </c>
      <c r="D531">
        <v>0</v>
      </c>
    </row>
    <row r="532" spans="1:4" x14ac:dyDescent="0.35">
      <c r="A532" t="s">
        <v>9</v>
      </c>
      <c r="B532" t="s">
        <v>4</v>
      </c>
      <c r="C532" t="s">
        <v>15</v>
      </c>
      <c r="D532">
        <v>0</v>
      </c>
    </row>
    <row r="533" spans="1:4" x14ac:dyDescent="0.35">
      <c r="A533" t="s">
        <v>10</v>
      </c>
      <c r="B533" t="s">
        <v>4</v>
      </c>
      <c r="C533" t="s">
        <v>15</v>
      </c>
      <c r="D533">
        <v>0</v>
      </c>
    </row>
    <row r="534" spans="1:4" x14ac:dyDescent="0.35">
      <c r="A534" t="s">
        <v>11</v>
      </c>
      <c r="B534" t="s">
        <v>4</v>
      </c>
      <c r="C534" t="s">
        <v>15</v>
      </c>
      <c r="D534">
        <v>0</v>
      </c>
    </row>
    <row r="535" spans="1:4" x14ac:dyDescent="0.35">
      <c r="A535" t="s">
        <v>12</v>
      </c>
      <c r="B535" t="s">
        <v>4</v>
      </c>
      <c r="C535" t="s">
        <v>15</v>
      </c>
      <c r="D535">
        <v>0</v>
      </c>
    </row>
    <row r="536" spans="1:4" x14ac:dyDescent="0.35">
      <c r="A536" t="s">
        <v>13</v>
      </c>
      <c r="B536" t="s">
        <v>4</v>
      </c>
      <c r="C536" t="s">
        <v>15</v>
      </c>
      <c r="D536">
        <v>0</v>
      </c>
    </row>
    <row r="537" spans="1:4" x14ac:dyDescent="0.35">
      <c r="A537" t="s">
        <v>14</v>
      </c>
      <c r="B537" t="s">
        <v>4</v>
      </c>
      <c r="C537" t="s">
        <v>15</v>
      </c>
      <c r="D537">
        <v>0</v>
      </c>
    </row>
    <row r="538" spans="1:4" x14ac:dyDescent="0.35">
      <c r="A538" t="s">
        <v>15</v>
      </c>
      <c r="B538" t="s">
        <v>4</v>
      </c>
      <c r="C538" t="s">
        <v>15</v>
      </c>
      <c r="D538">
        <v>0</v>
      </c>
    </row>
    <row r="539" spans="1:4" x14ac:dyDescent="0.35">
      <c r="A539" t="s">
        <v>16</v>
      </c>
      <c r="B539" t="s">
        <v>4</v>
      </c>
      <c r="C539" t="s">
        <v>15</v>
      </c>
      <c r="D539">
        <v>0</v>
      </c>
    </row>
    <row r="540" spans="1:4" x14ac:dyDescent="0.35">
      <c r="A540" t="s">
        <v>17</v>
      </c>
      <c r="B540" t="s">
        <v>4</v>
      </c>
      <c r="C540" t="s">
        <v>15</v>
      </c>
      <c r="D540">
        <v>0</v>
      </c>
    </row>
    <row r="541" spans="1:4" x14ac:dyDescent="0.35">
      <c r="A541" t="s">
        <v>18</v>
      </c>
      <c r="B541" t="s">
        <v>4</v>
      </c>
      <c r="C541" t="s">
        <v>15</v>
      </c>
      <c r="D541">
        <v>0</v>
      </c>
    </row>
    <row r="542" spans="1:4" x14ac:dyDescent="0.35">
      <c r="A542" t="s">
        <v>19</v>
      </c>
      <c r="B542" t="s">
        <v>4</v>
      </c>
      <c r="C542" t="s">
        <v>15</v>
      </c>
      <c r="D542">
        <v>0</v>
      </c>
    </row>
    <row r="543" spans="1:4" x14ac:dyDescent="0.35">
      <c r="A543" t="s">
        <v>20</v>
      </c>
      <c r="B543" t="s">
        <v>4</v>
      </c>
      <c r="C543" t="s">
        <v>15</v>
      </c>
      <c r="D543">
        <v>0</v>
      </c>
    </row>
    <row r="544" spans="1:4" x14ac:dyDescent="0.35">
      <c r="A544" t="s">
        <v>21</v>
      </c>
      <c r="B544" t="s">
        <v>4</v>
      </c>
      <c r="C544" t="s">
        <v>15</v>
      </c>
      <c r="D544">
        <v>0</v>
      </c>
    </row>
    <row r="545" spans="1:4" x14ac:dyDescent="0.35">
      <c r="A545" t="s">
        <v>22</v>
      </c>
      <c r="B545" t="s">
        <v>4</v>
      </c>
      <c r="C545" t="s">
        <v>15</v>
      </c>
      <c r="D545">
        <v>0</v>
      </c>
    </row>
    <row r="546" spans="1:4" x14ac:dyDescent="0.35">
      <c r="A546" t="s">
        <v>23</v>
      </c>
      <c r="B546" t="s">
        <v>4</v>
      </c>
      <c r="C546" t="s">
        <v>15</v>
      </c>
      <c r="D546">
        <v>0</v>
      </c>
    </row>
    <row r="547" spans="1:4" x14ac:dyDescent="0.35">
      <c r="A547" t="s">
        <v>24</v>
      </c>
      <c r="B547" t="s">
        <v>4</v>
      </c>
      <c r="C547" t="s">
        <v>15</v>
      </c>
      <c r="D547">
        <v>0</v>
      </c>
    </row>
    <row r="548" spans="1:4" x14ac:dyDescent="0.35">
      <c r="A548" t="s">
        <v>25</v>
      </c>
      <c r="B548" t="s">
        <v>4</v>
      </c>
      <c r="C548" t="s">
        <v>15</v>
      </c>
      <c r="D548">
        <v>0</v>
      </c>
    </row>
    <row r="549" spans="1:4" x14ac:dyDescent="0.35">
      <c r="A549" t="s">
        <v>26</v>
      </c>
      <c r="B549" t="s">
        <v>4</v>
      </c>
      <c r="C549" t="s">
        <v>15</v>
      </c>
      <c r="D549">
        <v>0</v>
      </c>
    </row>
    <row r="550" spans="1:4" x14ac:dyDescent="0.35">
      <c r="A550" t="s">
        <v>27</v>
      </c>
      <c r="B550" t="s">
        <v>4</v>
      </c>
      <c r="C550" t="s">
        <v>15</v>
      </c>
      <c r="D550">
        <v>0</v>
      </c>
    </row>
    <row r="551" spans="1:4" x14ac:dyDescent="0.35">
      <c r="A551" t="s">
        <v>28</v>
      </c>
      <c r="B551" t="s">
        <v>4</v>
      </c>
      <c r="C551" t="s">
        <v>15</v>
      </c>
      <c r="D551">
        <v>0</v>
      </c>
    </row>
    <row r="552" spans="1:4" x14ac:dyDescent="0.35">
      <c r="A552" t="s">
        <v>29</v>
      </c>
      <c r="B552" t="s">
        <v>4</v>
      </c>
      <c r="C552" t="s">
        <v>15</v>
      </c>
      <c r="D552">
        <v>0</v>
      </c>
    </row>
    <row r="553" spans="1:4" x14ac:dyDescent="0.35">
      <c r="A553" t="s">
        <v>30</v>
      </c>
      <c r="B553" t="s">
        <v>4</v>
      </c>
      <c r="C553" t="s">
        <v>15</v>
      </c>
      <c r="D553">
        <v>0</v>
      </c>
    </row>
    <row r="554" spans="1:4" x14ac:dyDescent="0.35">
      <c r="A554" t="s">
        <v>31</v>
      </c>
      <c r="B554" t="s">
        <v>4</v>
      </c>
      <c r="C554" t="s">
        <v>15</v>
      </c>
      <c r="D554">
        <v>0</v>
      </c>
    </row>
    <row r="555" spans="1:4" x14ac:dyDescent="0.35">
      <c r="A555" t="s">
        <v>32</v>
      </c>
      <c r="B555" t="s">
        <v>4</v>
      </c>
      <c r="C555" t="s">
        <v>15</v>
      </c>
      <c r="D555">
        <v>0</v>
      </c>
    </row>
    <row r="556" spans="1:4" x14ac:dyDescent="0.35">
      <c r="A556" t="s">
        <v>33</v>
      </c>
      <c r="B556" t="s">
        <v>4</v>
      </c>
      <c r="C556" t="s">
        <v>15</v>
      </c>
      <c r="D556">
        <v>0</v>
      </c>
    </row>
    <row r="557" spans="1:4" x14ac:dyDescent="0.35">
      <c r="A557" t="s">
        <v>34</v>
      </c>
      <c r="B557" t="s">
        <v>4</v>
      </c>
      <c r="C557" t="s">
        <v>15</v>
      </c>
      <c r="D557">
        <v>0</v>
      </c>
    </row>
    <row r="558" spans="1:4" x14ac:dyDescent="0.35">
      <c r="A558" t="s">
        <v>35</v>
      </c>
      <c r="B558" t="s">
        <v>4</v>
      </c>
      <c r="C558" t="s">
        <v>15</v>
      </c>
      <c r="D558">
        <v>0</v>
      </c>
    </row>
    <row r="559" spans="1:4" x14ac:dyDescent="0.35">
      <c r="A559" t="s">
        <v>36</v>
      </c>
      <c r="B559" t="s">
        <v>4</v>
      </c>
      <c r="C559" t="s">
        <v>15</v>
      </c>
      <c r="D559">
        <v>0</v>
      </c>
    </row>
    <row r="560" spans="1:4" x14ac:dyDescent="0.35">
      <c r="A560" t="s">
        <v>37</v>
      </c>
      <c r="B560" t="s">
        <v>4</v>
      </c>
      <c r="C560" t="s">
        <v>15</v>
      </c>
      <c r="D560">
        <v>0</v>
      </c>
    </row>
    <row r="561" spans="1:4" x14ac:dyDescent="0.35">
      <c r="A561" t="s">
        <v>38</v>
      </c>
      <c r="B561" t="s">
        <v>4</v>
      </c>
      <c r="C561" t="s">
        <v>15</v>
      </c>
      <c r="D561">
        <v>0</v>
      </c>
    </row>
    <row r="562" spans="1:4" x14ac:dyDescent="0.35">
      <c r="A562" t="s">
        <v>39</v>
      </c>
      <c r="B562" t="s">
        <v>4</v>
      </c>
      <c r="C562" t="s">
        <v>15</v>
      </c>
      <c r="D562">
        <v>0</v>
      </c>
    </row>
    <row r="563" spans="1:4" x14ac:dyDescent="0.35">
      <c r="A563" t="s">
        <v>7</v>
      </c>
      <c r="B563" t="s">
        <v>5</v>
      </c>
      <c r="C563" t="s">
        <v>15</v>
      </c>
      <c r="D563">
        <v>0</v>
      </c>
    </row>
    <row r="564" spans="1:4" x14ac:dyDescent="0.35">
      <c r="A564" t="s">
        <v>8</v>
      </c>
      <c r="B564" t="s">
        <v>5</v>
      </c>
      <c r="C564" t="s">
        <v>15</v>
      </c>
      <c r="D564">
        <v>0</v>
      </c>
    </row>
    <row r="565" spans="1:4" x14ac:dyDescent="0.35">
      <c r="A565" t="s">
        <v>9</v>
      </c>
      <c r="B565" t="s">
        <v>5</v>
      </c>
      <c r="C565" t="s">
        <v>15</v>
      </c>
      <c r="D565">
        <v>0</v>
      </c>
    </row>
    <row r="566" spans="1:4" x14ac:dyDescent="0.35">
      <c r="A566" t="s">
        <v>10</v>
      </c>
      <c r="B566" t="s">
        <v>5</v>
      </c>
      <c r="C566" t="s">
        <v>15</v>
      </c>
      <c r="D566">
        <v>0</v>
      </c>
    </row>
    <row r="567" spans="1:4" x14ac:dyDescent="0.35">
      <c r="A567" t="s">
        <v>11</v>
      </c>
      <c r="B567" t="s">
        <v>5</v>
      </c>
      <c r="C567" t="s">
        <v>15</v>
      </c>
      <c r="D567">
        <v>0</v>
      </c>
    </row>
    <row r="568" spans="1:4" x14ac:dyDescent="0.35">
      <c r="A568" t="s">
        <v>12</v>
      </c>
      <c r="B568" t="s">
        <v>5</v>
      </c>
      <c r="C568" t="s">
        <v>15</v>
      </c>
      <c r="D568">
        <v>0</v>
      </c>
    </row>
    <row r="569" spans="1:4" x14ac:dyDescent="0.35">
      <c r="A569" t="s">
        <v>13</v>
      </c>
      <c r="B569" t="s">
        <v>5</v>
      </c>
      <c r="C569" t="s">
        <v>15</v>
      </c>
      <c r="D569">
        <v>0</v>
      </c>
    </row>
    <row r="570" spans="1:4" x14ac:dyDescent="0.35">
      <c r="A570" t="s">
        <v>14</v>
      </c>
      <c r="B570" t="s">
        <v>5</v>
      </c>
      <c r="C570" t="s">
        <v>15</v>
      </c>
      <c r="D570">
        <v>0</v>
      </c>
    </row>
    <row r="571" spans="1:4" x14ac:dyDescent="0.35">
      <c r="A571" t="s">
        <v>15</v>
      </c>
      <c r="B571" t="s">
        <v>5</v>
      </c>
      <c r="C571" t="s">
        <v>15</v>
      </c>
      <c r="D571">
        <v>0</v>
      </c>
    </row>
    <row r="572" spans="1:4" x14ac:dyDescent="0.35">
      <c r="A572" t="s">
        <v>16</v>
      </c>
      <c r="B572" t="s">
        <v>5</v>
      </c>
      <c r="C572" t="s">
        <v>15</v>
      </c>
      <c r="D572">
        <v>0</v>
      </c>
    </row>
    <row r="573" spans="1:4" x14ac:dyDescent="0.35">
      <c r="A573" t="s">
        <v>17</v>
      </c>
      <c r="B573" t="s">
        <v>5</v>
      </c>
      <c r="C573" t="s">
        <v>15</v>
      </c>
      <c r="D573">
        <v>0</v>
      </c>
    </row>
    <row r="574" spans="1:4" x14ac:dyDescent="0.35">
      <c r="A574" t="s">
        <v>18</v>
      </c>
      <c r="B574" t="s">
        <v>5</v>
      </c>
      <c r="C574" t="s">
        <v>15</v>
      </c>
      <c r="D574">
        <v>0</v>
      </c>
    </row>
    <row r="575" spans="1:4" x14ac:dyDescent="0.35">
      <c r="A575" t="s">
        <v>19</v>
      </c>
      <c r="B575" t="s">
        <v>5</v>
      </c>
      <c r="C575" t="s">
        <v>15</v>
      </c>
      <c r="D575">
        <v>0</v>
      </c>
    </row>
    <row r="576" spans="1:4" x14ac:dyDescent="0.35">
      <c r="A576" t="s">
        <v>20</v>
      </c>
      <c r="B576" t="s">
        <v>5</v>
      </c>
      <c r="C576" t="s">
        <v>15</v>
      </c>
      <c r="D576">
        <v>0</v>
      </c>
    </row>
    <row r="577" spans="1:4" x14ac:dyDescent="0.35">
      <c r="A577" t="s">
        <v>21</v>
      </c>
      <c r="B577" t="s">
        <v>5</v>
      </c>
      <c r="C577" t="s">
        <v>15</v>
      </c>
      <c r="D577">
        <v>0</v>
      </c>
    </row>
    <row r="578" spans="1:4" x14ac:dyDescent="0.35">
      <c r="A578" t="s">
        <v>22</v>
      </c>
      <c r="B578" t="s">
        <v>5</v>
      </c>
      <c r="C578" t="s">
        <v>15</v>
      </c>
      <c r="D578">
        <v>0</v>
      </c>
    </row>
    <row r="579" spans="1:4" x14ac:dyDescent="0.35">
      <c r="A579" t="s">
        <v>23</v>
      </c>
      <c r="B579" t="s">
        <v>5</v>
      </c>
      <c r="C579" t="s">
        <v>15</v>
      </c>
      <c r="D579">
        <v>0</v>
      </c>
    </row>
    <row r="580" spans="1:4" x14ac:dyDescent="0.35">
      <c r="A580" t="s">
        <v>24</v>
      </c>
      <c r="B580" t="s">
        <v>5</v>
      </c>
      <c r="C580" t="s">
        <v>15</v>
      </c>
      <c r="D580">
        <v>0</v>
      </c>
    </row>
    <row r="581" spans="1:4" x14ac:dyDescent="0.35">
      <c r="A581" t="s">
        <v>25</v>
      </c>
      <c r="B581" t="s">
        <v>5</v>
      </c>
      <c r="C581" t="s">
        <v>15</v>
      </c>
      <c r="D581">
        <v>0</v>
      </c>
    </row>
    <row r="582" spans="1:4" x14ac:dyDescent="0.35">
      <c r="A582" t="s">
        <v>26</v>
      </c>
      <c r="B582" t="s">
        <v>5</v>
      </c>
      <c r="C582" t="s">
        <v>15</v>
      </c>
      <c r="D582">
        <v>0</v>
      </c>
    </row>
    <row r="583" spans="1:4" x14ac:dyDescent="0.35">
      <c r="A583" t="s">
        <v>27</v>
      </c>
      <c r="B583" t="s">
        <v>5</v>
      </c>
      <c r="C583" t="s">
        <v>15</v>
      </c>
      <c r="D583">
        <v>0</v>
      </c>
    </row>
    <row r="584" spans="1:4" x14ac:dyDescent="0.35">
      <c r="A584" t="s">
        <v>28</v>
      </c>
      <c r="B584" t="s">
        <v>5</v>
      </c>
      <c r="C584" t="s">
        <v>15</v>
      </c>
      <c r="D584">
        <v>0</v>
      </c>
    </row>
    <row r="585" spans="1:4" x14ac:dyDescent="0.35">
      <c r="A585" t="s">
        <v>29</v>
      </c>
      <c r="B585" t="s">
        <v>5</v>
      </c>
      <c r="C585" t="s">
        <v>15</v>
      </c>
      <c r="D585">
        <v>0</v>
      </c>
    </row>
    <row r="586" spans="1:4" x14ac:dyDescent="0.35">
      <c r="A586" t="s">
        <v>30</v>
      </c>
      <c r="B586" t="s">
        <v>5</v>
      </c>
      <c r="C586" t="s">
        <v>15</v>
      </c>
      <c r="D586">
        <v>0</v>
      </c>
    </row>
    <row r="587" spans="1:4" x14ac:dyDescent="0.35">
      <c r="A587" t="s">
        <v>31</v>
      </c>
      <c r="B587" t="s">
        <v>5</v>
      </c>
      <c r="C587" t="s">
        <v>15</v>
      </c>
      <c r="D587">
        <v>0</v>
      </c>
    </row>
    <row r="588" spans="1:4" x14ac:dyDescent="0.35">
      <c r="A588" t="s">
        <v>32</v>
      </c>
      <c r="B588" t="s">
        <v>5</v>
      </c>
      <c r="C588" t="s">
        <v>15</v>
      </c>
      <c r="D588">
        <v>0</v>
      </c>
    </row>
    <row r="589" spans="1:4" x14ac:dyDescent="0.35">
      <c r="A589" t="s">
        <v>33</v>
      </c>
      <c r="B589" t="s">
        <v>5</v>
      </c>
      <c r="C589" t="s">
        <v>15</v>
      </c>
      <c r="D589">
        <v>0</v>
      </c>
    </row>
    <row r="590" spans="1:4" x14ac:dyDescent="0.35">
      <c r="A590" t="s">
        <v>34</v>
      </c>
      <c r="B590" t="s">
        <v>5</v>
      </c>
      <c r="C590" t="s">
        <v>15</v>
      </c>
      <c r="D590">
        <v>0</v>
      </c>
    </row>
    <row r="591" spans="1:4" x14ac:dyDescent="0.35">
      <c r="A591" t="s">
        <v>35</v>
      </c>
      <c r="B591" t="s">
        <v>5</v>
      </c>
      <c r="C591" t="s">
        <v>15</v>
      </c>
      <c r="D591">
        <v>0</v>
      </c>
    </row>
    <row r="592" spans="1:4" x14ac:dyDescent="0.35">
      <c r="A592" t="s">
        <v>36</v>
      </c>
      <c r="B592" t="s">
        <v>5</v>
      </c>
      <c r="C592" t="s">
        <v>15</v>
      </c>
      <c r="D592">
        <v>0</v>
      </c>
    </row>
    <row r="593" spans="1:4" x14ac:dyDescent="0.35">
      <c r="A593" t="s">
        <v>37</v>
      </c>
      <c r="B593" t="s">
        <v>5</v>
      </c>
      <c r="C593" t="s">
        <v>15</v>
      </c>
      <c r="D593">
        <v>0</v>
      </c>
    </row>
    <row r="594" spans="1:4" x14ac:dyDescent="0.35">
      <c r="A594" t="s">
        <v>38</v>
      </c>
      <c r="B594" t="s">
        <v>5</v>
      </c>
      <c r="C594" t="s">
        <v>15</v>
      </c>
      <c r="D594">
        <v>0</v>
      </c>
    </row>
    <row r="595" spans="1:4" x14ac:dyDescent="0.35">
      <c r="A595" t="s">
        <v>39</v>
      </c>
      <c r="B595" t="s">
        <v>5</v>
      </c>
      <c r="C595" t="s">
        <v>15</v>
      </c>
      <c r="D595">
        <v>0</v>
      </c>
    </row>
    <row r="596" spans="1:4" x14ac:dyDescent="0.35">
      <c r="A596" t="s">
        <v>7</v>
      </c>
      <c r="B596" t="s">
        <v>4</v>
      </c>
      <c r="C596" t="s">
        <v>16</v>
      </c>
      <c r="D596">
        <v>0</v>
      </c>
    </row>
    <row r="597" spans="1:4" x14ac:dyDescent="0.35">
      <c r="A597" t="s">
        <v>8</v>
      </c>
      <c r="B597" t="s">
        <v>4</v>
      </c>
      <c r="C597" t="s">
        <v>16</v>
      </c>
      <c r="D597">
        <v>0</v>
      </c>
    </row>
    <row r="598" spans="1:4" x14ac:dyDescent="0.35">
      <c r="A598" t="s">
        <v>9</v>
      </c>
      <c r="B598" t="s">
        <v>4</v>
      </c>
      <c r="C598" t="s">
        <v>16</v>
      </c>
      <c r="D598">
        <v>0</v>
      </c>
    </row>
    <row r="599" spans="1:4" x14ac:dyDescent="0.35">
      <c r="A599" t="s">
        <v>10</v>
      </c>
      <c r="B599" t="s">
        <v>4</v>
      </c>
      <c r="C599" t="s">
        <v>16</v>
      </c>
      <c r="D599">
        <v>0</v>
      </c>
    </row>
    <row r="600" spans="1:4" x14ac:dyDescent="0.35">
      <c r="A600" t="s">
        <v>11</v>
      </c>
      <c r="B600" t="s">
        <v>4</v>
      </c>
      <c r="C600" t="s">
        <v>16</v>
      </c>
      <c r="D600">
        <v>0</v>
      </c>
    </row>
    <row r="601" spans="1:4" x14ac:dyDescent="0.35">
      <c r="A601" t="s">
        <v>12</v>
      </c>
      <c r="B601" t="s">
        <v>4</v>
      </c>
      <c r="C601" t="s">
        <v>16</v>
      </c>
      <c r="D601">
        <v>0</v>
      </c>
    </row>
    <row r="602" spans="1:4" x14ac:dyDescent="0.35">
      <c r="A602" t="s">
        <v>13</v>
      </c>
      <c r="B602" t="s">
        <v>4</v>
      </c>
      <c r="C602" t="s">
        <v>16</v>
      </c>
      <c r="D602">
        <v>0</v>
      </c>
    </row>
    <row r="603" spans="1:4" x14ac:dyDescent="0.35">
      <c r="A603" t="s">
        <v>14</v>
      </c>
      <c r="B603" t="s">
        <v>4</v>
      </c>
      <c r="C603" t="s">
        <v>16</v>
      </c>
      <c r="D603">
        <v>0</v>
      </c>
    </row>
    <row r="604" spans="1:4" x14ac:dyDescent="0.35">
      <c r="A604" t="s">
        <v>15</v>
      </c>
      <c r="B604" t="s">
        <v>4</v>
      </c>
      <c r="C604" t="s">
        <v>16</v>
      </c>
      <c r="D604">
        <v>0</v>
      </c>
    </row>
    <row r="605" spans="1:4" x14ac:dyDescent="0.35">
      <c r="A605" t="s">
        <v>16</v>
      </c>
      <c r="B605" t="s">
        <v>4</v>
      </c>
      <c r="C605" t="s">
        <v>16</v>
      </c>
      <c r="D605">
        <v>0</v>
      </c>
    </row>
    <row r="606" spans="1:4" x14ac:dyDescent="0.35">
      <c r="A606" t="s">
        <v>17</v>
      </c>
      <c r="B606" t="s">
        <v>4</v>
      </c>
      <c r="C606" t="s">
        <v>16</v>
      </c>
      <c r="D606">
        <v>0</v>
      </c>
    </row>
    <row r="607" spans="1:4" x14ac:dyDescent="0.35">
      <c r="A607" t="s">
        <v>18</v>
      </c>
      <c r="B607" t="s">
        <v>4</v>
      </c>
      <c r="C607" t="s">
        <v>16</v>
      </c>
      <c r="D607">
        <v>0</v>
      </c>
    </row>
    <row r="608" spans="1:4" x14ac:dyDescent="0.35">
      <c r="A608" t="s">
        <v>19</v>
      </c>
      <c r="B608" t="s">
        <v>4</v>
      </c>
      <c r="C608" t="s">
        <v>16</v>
      </c>
      <c r="D608">
        <v>0</v>
      </c>
    </row>
    <row r="609" spans="1:4" x14ac:dyDescent="0.35">
      <c r="A609" t="s">
        <v>20</v>
      </c>
      <c r="B609" t="s">
        <v>4</v>
      </c>
      <c r="C609" t="s">
        <v>16</v>
      </c>
      <c r="D609">
        <v>0</v>
      </c>
    </row>
    <row r="610" spans="1:4" x14ac:dyDescent="0.35">
      <c r="A610" t="s">
        <v>21</v>
      </c>
      <c r="B610" t="s">
        <v>4</v>
      </c>
      <c r="C610" t="s">
        <v>16</v>
      </c>
      <c r="D610">
        <v>0</v>
      </c>
    </row>
    <row r="611" spans="1:4" x14ac:dyDescent="0.35">
      <c r="A611" t="s">
        <v>22</v>
      </c>
      <c r="B611" t="s">
        <v>4</v>
      </c>
      <c r="C611" t="s">
        <v>16</v>
      </c>
      <c r="D611">
        <v>0</v>
      </c>
    </row>
    <row r="612" spans="1:4" x14ac:dyDescent="0.35">
      <c r="A612" t="s">
        <v>23</v>
      </c>
      <c r="B612" t="s">
        <v>4</v>
      </c>
      <c r="C612" t="s">
        <v>16</v>
      </c>
      <c r="D612">
        <v>0</v>
      </c>
    </row>
    <row r="613" spans="1:4" x14ac:dyDescent="0.35">
      <c r="A613" t="s">
        <v>24</v>
      </c>
      <c r="B613" t="s">
        <v>4</v>
      </c>
      <c r="C613" t="s">
        <v>16</v>
      </c>
      <c r="D613">
        <v>0</v>
      </c>
    </row>
    <row r="614" spans="1:4" x14ac:dyDescent="0.35">
      <c r="A614" t="s">
        <v>25</v>
      </c>
      <c r="B614" t="s">
        <v>4</v>
      </c>
      <c r="C614" t="s">
        <v>16</v>
      </c>
      <c r="D614">
        <v>0</v>
      </c>
    </row>
    <row r="615" spans="1:4" x14ac:dyDescent="0.35">
      <c r="A615" t="s">
        <v>26</v>
      </c>
      <c r="B615" t="s">
        <v>4</v>
      </c>
      <c r="C615" t="s">
        <v>16</v>
      </c>
      <c r="D615">
        <v>0</v>
      </c>
    </row>
    <row r="616" spans="1:4" x14ac:dyDescent="0.35">
      <c r="A616" t="s">
        <v>27</v>
      </c>
      <c r="B616" t="s">
        <v>4</v>
      </c>
      <c r="C616" t="s">
        <v>16</v>
      </c>
      <c r="D616">
        <v>0</v>
      </c>
    </row>
    <row r="617" spans="1:4" x14ac:dyDescent="0.35">
      <c r="A617" t="s">
        <v>28</v>
      </c>
      <c r="B617" t="s">
        <v>4</v>
      </c>
      <c r="C617" t="s">
        <v>16</v>
      </c>
      <c r="D617">
        <v>0</v>
      </c>
    </row>
    <row r="618" spans="1:4" x14ac:dyDescent="0.35">
      <c r="A618" t="s">
        <v>29</v>
      </c>
      <c r="B618" t="s">
        <v>4</v>
      </c>
      <c r="C618" t="s">
        <v>16</v>
      </c>
      <c r="D618">
        <v>0</v>
      </c>
    </row>
    <row r="619" spans="1:4" x14ac:dyDescent="0.35">
      <c r="A619" t="s">
        <v>30</v>
      </c>
      <c r="B619" t="s">
        <v>4</v>
      </c>
      <c r="C619" t="s">
        <v>16</v>
      </c>
      <c r="D619">
        <v>0</v>
      </c>
    </row>
    <row r="620" spans="1:4" x14ac:dyDescent="0.35">
      <c r="A620" t="s">
        <v>31</v>
      </c>
      <c r="B620" t="s">
        <v>4</v>
      </c>
      <c r="C620" t="s">
        <v>16</v>
      </c>
      <c r="D620">
        <v>0</v>
      </c>
    </row>
    <row r="621" spans="1:4" x14ac:dyDescent="0.35">
      <c r="A621" t="s">
        <v>32</v>
      </c>
      <c r="B621" t="s">
        <v>4</v>
      </c>
      <c r="C621" t="s">
        <v>16</v>
      </c>
      <c r="D621">
        <v>0</v>
      </c>
    </row>
    <row r="622" spans="1:4" x14ac:dyDescent="0.35">
      <c r="A622" t="s">
        <v>33</v>
      </c>
      <c r="B622" t="s">
        <v>4</v>
      </c>
      <c r="C622" t="s">
        <v>16</v>
      </c>
      <c r="D622">
        <v>0</v>
      </c>
    </row>
    <row r="623" spans="1:4" x14ac:dyDescent="0.35">
      <c r="A623" t="s">
        <v>34</v>
      </c>
      <c r="B623" t="s">
        <v>4</v>
      </c>
      <c r="C623" t="s">
        <v>16</v>
      </c>
      <c r="D623">
        <v>0</v>
      </c>
    </row>
    <row r="624" spans="1:4" x14ac:dyDescent="0.35">
      <c r="A624" t="s">
        <v>35</v>
      </c>
      <c r="B624" t="s">
        <v>4</v>
      </c>
      <c r="C624" t="s">
        <v>16</v>
      </c>
      <c r="D624">
        <v>0</v>
      </c>
    </row>
    <row r="625" spans="1:4" x14ac:dyDescent="0.35">
      <c r="A625" t="s">
        <v>36</v>
      </c>
      <c r="B625" t="s">
        <v>4</v>
      </c>
      <c r="C625" t="s">
        <v>16</v>
      </c>
      <c r="D625">
        <v>0</v>
      </c>
    </row>
    <row r="626" spans="1:4" x14ac:dyDescent="0.35">
      <c r="A626" t="s">
        <v>37</v>
      </c>
      <c r="B626" t="s">
        <v>4</v>
      </c>
      <c r="C626" t="s">
        <v>16</v>
      </c>
      <c r="D626">
        <v>0</v>
      </c>
    </row>
    <row r="627" spans="1:4" x14ac:dyDescent="0.35">
      <c r="A627" t="s">
        <v>38</v>
      </c>
      <c r="B627" t="s">
        <v>4</v>
      </c>
      <c r="C627" t="s">
        <v>16</v>
      </c>
      <c r="D627">
        <v>0</v>
      </c>
    </row>
    <row r="628" spans="1:4" x14ac:dyDescent="0.35">
      <c r="A628" t="s">
        <v>39</v>
      </c>
      <c r="B628" t="s">
        <v>4</v>
      </c>
      <c r="C628" t="s">
        <v>16</v>
      </c>
      <c r="D628">
        <v>0</v>
      </c>
    </row>
    <row r="629" spans="1:4" x14ac:dyDescent="0.35">
      <c r="A629" t="s">
        <v>7</v>
      </c>
      <c r="B629" t="s">
        <v>5</v>
      </c>
      <c r="C629" t="s">
        <v>16</v>
      </c>
      <c r="D629">
        <v>0</v>
      </c>
    </row>
    <row r="630" spans="1:4" x14ac:dyDescent="0.35">
      <c r="A630" t="s">
        <v>8</v>
      </c>
      <c r="B630" t="s">
        <v>5</v>
      </c>
      <c r="C630" t="s">
        <v>16</v>
      </c>
      <c r="D630">
        <v>0</v>
      </c>
    </row>
    <row r="631" spans="1:4" x14ac:dyDescent="0.35">
      <c r="A631" t="s">
        <v>9</v>
      </c>
      <c r="B631" t="s">
        <v>5</v>
      </c>
      <c r="C631" t="s">
        <v>16</v>
      </c>
      <c r="D631">
        <v>0</v>
      </c>
    </row>
    <row r="632" spans="1:4" x14ac:dyDescent="0.35">
      <c r="A632" t="s">
        <v>10</v>
      </c>
      <c r="B632" t="s">
        <v>5</v>
      </c>
      <c r="C632" t="s">
        <v>16</v>
      </c>
      <c r="D632">
        <v>0</v>
      </c>
    </row>
    <row r="633" spans="1:4" x14ac:dyDescent="0.35">
      <c r="A633" t="s">
        <v>11</v>
      </c>
      <c r="B633" t="s">
        <v>5</v>
      </c>
      <c r="C633" t="s">
        <v>16</v>
      </c>
      <c r="D633">
        <v>0</v>
      </c>
    </row>
    <row r="634" spans="1:4" x14ac:dyDescent="0.35">
      <c r="A634" t="s">
        <v>12</v>
      </c>
      <c r="B634" t="s">
        <v>5</v>
      </c>
      <c r="C634" t="s">
        <v>16</v>
      </c>
      <c r="D634">
        <v>0</v>
      </c>
    </row>
    <row r="635" spans="1:4" x14ac:dyDescent="0.35">
      <c r="A635" t="s">
        <v>13</v>
      </c>
      <c r="B635" t="s">
        <v>5</v>
      </c>
      <c r="C635" t="s">
        <v>16</v>
      </c>
      <c r="D635">
        <v>0</v>
      </c>
    </row>
    <row r="636" spans="1:4" x14ac:dyDescent="0.35">
      <c r="A636" t="s">
        <v>14</v>
      </c>
      <c r="B636" t="s">
        <v>5</v>
      </c>
      <c r="C636" t="s">
        <v>16</v>
      </c>
      <c r="D636">
        <v>0</v>
      </c>
    </row>
    <row r="637" spans="1:4" x14ac:dyDescent="0.35">
      <c r="A637" t="s">
        <v>15</v>
      </c>
      <c r="B637" t="s">
        <v>5</v>
      </c>
      <c r="C637" t="s">
        <v>16</v>
      </c>
      <c r="D637">
        <v>0</v>
      </c>
    </row>
    <row r="638" spans="1:4" x14ac:dyDescent="0.35">
      <c r="A638" t="s">
        <v>16</v>
      </c>
      <c r="B638" t="s">
        <v>5</v>
      </c>
      <c r="C638" t="s">
        <v>16</v>
      </c>
      <c r="D638">
        <v>0</v>
      </c>
    </row>
    <row r="639" spans="1:4" x14ac:dyDescent="0.35">
      <c r="A639" t="s">
        <v>17</v>
      </c>
      <c r="B639" t="s">
        <v>5</v>
      </c>
      <c r="C639" t="s">
        <v>16</v>
      </c>
      <c r="D639">
        <v>0</v>
      </c>
    </row>
    <row r="640" spans="1:4" x14ac:dyDescent="0.35">
      <c r="A640" t="s">
        <v>18</v>
      </c>
      <c r="B640" t="s">
        <v>5</v>
      </c>
      <c r="C640" t="s">
        <v>16</v>
      </c>
      <c r="D640">
        <v>0</v>
      </c>
    </row>
    <row r="641" spans="1:4" x14ac:dyDescent="0.35">
      <c r="A641" t="s">
        <v>19</v>
      </c>
      <c r="B641" t="s">
        <v>5</v>
      </c>
      <c r="C641" t="s">
        <v>16</v>
      </c>
      <c r="D641">
        <v>0</v>
      </c>
    </row>
    <row r="642" spans="1:4" x14ac:dyDescent="0.35">
      <c r="A642" t="s">
        <v>20</v>
      </c>
      <c r="B642" t="s">
        <v>5</v>
      </c>
      <c r="C642" t="s">
        <v>16</v>
      </c>
      <c r="D642">
        <v>0</v>
      </c>
    </row>
    <row r="643" spans="1:4" x14ac:dyDescent="0.35">
      <c r="A643" t="s">
        <v>21</v>
      </c>
      <c r="B643" t="s">
        <v>5</v>
      </c>
      <c r="C643" t="s">
        <v>16</v>
      </c>
      <c r="D643">
        <v>0</v>
      </c>
    </row>
    <row r="644" spans="1:4" x14ac:dyDescent="0.35">
      <c r="A644" t="s">
        <v>22</v>
      </c>
      <c r="B644" t="s">
        <v>5</v>
      </c>
      <c r="C644" t="s">
        <v>16</v>
      </c>
      <c r="D644">
        <v>0</v>
      </c>
    </row>
    <row r="645" spans="1:4" x14ac:dyDescent="0.35">
      <c r="A645" t="s">
        <v>23</v>
      </c>
      <c r="B645" t="s">
        <v>5</v>
      </c>
      <c r="C645" t="s">
        <v>16</v>
      </c>
      <c r="D645">
        <v>0</v>
      </c>
    </row>
    <row r="646" spans="1:4" x14ac:dyDescent="0.35">
      <c r="A646" t="s">
        <v>24</v>
      </c>
      <c r="B646" t="s">
        <v>5</v>
      </c>
      <c r="C646" t="s">
        <v>16</v>
      </c>
      <c r="D646">
        <v>0</v>
      </c>
    </row>
    <row r="647" spans="1:4" x14ac:dyDescent="0.35">
      <c r="A647" t="s">
        <v>25</v>
      </c>
      <c r="B647" t="s">
        <v>5</v>
      </c>
      <c r="C647" t="s">
        <v>16</v>
      </c>
      <c r="D647">
        <v>0</v>
      </c>
    </row>
    <row r="648" spans="1:4" x14ac:dyDescent="0.35">
      <c r="A648" t="s">
        <v>26</v>
      </c>
      <c r="B648" t="s">
        <v>5</v>
      </c>
      <c r="C648" t="s">
        <v>16</v>
      </c>
      <c r="D648">
        <v>0</v>
      </c>
    </row>
    <row r="649" spans="1:4" x14ac:dyDescent="0.35">
      <c r="A649" t="s">
        <v>27</v>
      </c>
      <c r="B649" t="s">
        <v>5</v>
      </c>
      <c r="C649" t="s">
        <v>16</v>
      </c>
      <c r="D649">
        <v>0</v>
      </c>
    </row>
    <row r="650" spans="1:4" x14ac:dyDescent="0.35">
      <c r="A650" t="s">
        <v>28</v>
      </c>
      <c r="B650" t="s">
        <v>5</v>
      </c>
      <c r="C650" t="s">
        <v>16</v>
      </c>
      <c r="D650">
        <v>0</v>
      </c>
    </row>
    <row r="651" spans="1:4" x14ac:dyDescent="0.35">
      <c r="A651" t="s">
        <v>29</v>
      </c>
      <c r="B651" t="s">
        <v>5</v>
      </c>
      <c r="C651" t="s">
        <v>16</v>
      </c>
      <c r="D651">
        <v>0</v>
      </c>
    </row>
    <row r="652" spans="1:4" x14ac:dyDescent="0.35">
      <c r="A652" t="s">
        <v>30</v>
      </c>
      <c r="B652" t="s">
        <v>5</v>
      </c>
      <c r="C652" t="s">
        <v>16</v>
      </c>
      <c r="D652">
        <v>0</v>
      </c>
    </row>
    <row r="653" spans="1:4" x14ac:dyDescent="0.35">
      <c r="A653" t="s">
        <v>31</v>
      </c>
      <c r="B653" t="s">
        <v>5</v>
      </c>
      <c r="C653" t="s">
        <v>16</v>
      </c>
      <c r="D653">
        <v>0</v>
      </c>
    </row>
    <row r="654" spans="1:4" x14ac:dyDescent="0.35">
      <c r="A654" t="s">
        <v>32</v>
      </c>
      <c r="B654" t="s">
        <v>5</v>
      </c>
      <c r="C654" t="s">
        <v>16</v>
      </c>
      <c r="D654">
        <v>0</v>
      </c>
    </row>
    <row r="655" spans="1:4" x14ac:dyDescent="0.35">
      <c r="A655" t="s">
        <v>33</v>
      </c>
      <c r="B655" t="s">
        <v>5</v>
      </c>
      <c r="C655" t="s">
        <v>16</v>
      </c>
      <c r="D655">
        <v>0</v>
      </c>
    </row>
    <row r="656" spans="1:4" x14ac:dyDescent="0.35">
      <c r="A656" t="s">
        <v>34</v>
      </c>
      <c r="B656" t="s">
        <v>5</v>
      </c>
      <c r="C656" t="s">
        <v>16</v>
      </c>
      <c r="D656">
        <v>0</v>
      </c>
    </row>
    <row r="657" spans="1:4" x14ac:dyDescent="0.35">
      <c r="A657" t="s">
        <v>35</v>
      </c>
      <c r="B657" t="s">
        <v>5</v>
      </c>
      <c r="C657" t="s">
        <v>16</v>
      </c>
      <c r="D657">
        <v>0</v>
      </c>
    </row>
    <row r="658" spans="1:4" x14ac:dyDescent="0.35">
      <c r="A658" t="s">
        <v>36</v>
      </c>
      <c r="B658" t="s">
        <v>5</v>
      </c>
      <c r="C658" t="s">
        <v>16</v>
      </c>
      <c r="D658">
        <v>0</v>
      </c>
    </row>
    <row r="659" spans="1:4" x14ac:dyDescent="0.35">
      <c r="A659" t="s">
        <v>37</v>
      </c>
      <c r="B659" t="s">
        <v>5</v>
      </c>
      <c r="C659" t="s">
        <v>16</v>
      </c>
      <c r="D659">
        <v>0</v>
      </c>
    </row>
    <row r="660" spans="1:4" x14ac:dyDescent="0.35">
      <c r="A660" t="s">
        <v>38</v>
      </c>
      <c r="B660" t="s">
        <v>5</v>
      </c>
      <c r="C660" t="s">
        <v>16</v>
      </c>
      <c r="D660">
        <v>0</v>
      </c>
    </row>
    <row r="661" spans="1:4" x14ac:dyDescent="0.35">
      <c r="A661" t="s">
        <v>39</v>
      </c>
      <c r="B661" t="s">
        <v>5</v>
      </c>
      <c r="C661" t="s">
        <v>16</v>
      </c>
      <c r="D661">
        <v>0</v>
      </c>
    </row>
    <row r="662" spans="1:4" x14ac:dyDescent="0.35">
      <c r="A662" t="s">
        <v>7</v>
      </c>
      <c r="B662" t="s">
        <v>4</v>
      </c>
      <c r="C662" t="s">
        <v>17</v>
      </c>
      <c r="D662">
        <v>0</v>
      </c>
    </row>
    <row r="663" spans="1:4" x14ac:dyDescent="0.35">
      <c r="A663" t="s">
        <v>8</v>
      </c>
      <c r="B663" t="s">
        <v>4</v>
      </c>
      <c r="C663" t="s">
        <v>17</v>
      </c>
      <c r="D663">
        <v>0</v>
      </c>
    </row>
    <row r="664" spans="1:4" x14ac:dyDescent="0.35">
      <c r="A664" t="s">
        <v>9</v>
      </c>
      <c r="B664" t="s">
        <v>4</v>
      </c>
      <c r="C664" t="s">
        <v>17</v>
      </c>
      <c r="D664">
        <v>0</v>
      </c>
    </row>
    <row r="665" spans="1:4" x14ac:dyDescent="0.35">
      <c r="A665" t="s">
        <v>10</v>
      </c>
      <c r="B665" t="s">
        <v>4</v>
      </c>
      <c r="C665" t="s">
        <v>17</v>
      </c>
      <c r="D665">
        <v>0</v>
      </c>
    </row>
    <row r="666" spans="1:4" x14ac:dyDescent="0.35">
      <c r="A666" t="s">
        <v>11</v>
      </c>
      <c r="B666" t="s">
        <v>4</v>
      </c>
      <c r="C666" t="s">
        <v>17</v>
      </c>
      <c r="D666">
        <v>0</v>
      </c>
    </row>
    <row r="667" spans="1:4" x14ac:dyDescent="0.35">
      <c r="A667" t="s">
        <v>12</v>
      </c>
      <c r="B667" t="s">
        <v>4</v>
      </c>
      <c r="C667" t="s">
        <v>17</v>
      </c>
      <c r="D667">
        <v>0</v>
      </c>
    </row>
    <row r="668" spans="1:4" x14ac:dyDescent="0.35">
      <c r="A668" t="s">
        <v>13</v>
      </c>
      <c r="B668" t="s">
        <v>4</v>
      </c>
      <c r="C668" t="s">
        <v>17</v>
      </c>
      <c r="D668">
        <v>0</v>
      </c>
    </row>
    <row r="669" spans="1:4" x14ac:dyDescent="0.35">
      <c r="A669" t="s">
        <v>14</v>
      </c>
      <c r="B669" t="s">
        <v>4</v>
      </c>
      <c r="C669" t="s">
        <v>17</v>
      </c>
      <c r="D669">
        <v>0</v>
      </c>
    </row>
    <row r="670" spans="1:4" x14ac:dyDescent="0.35">
      <c r="A670" t="s">
        <v>15</v>
      </c>
      <c r="B670" t="s">
        <v>4</v>
      </c>
      <c r="C670" t="s">
        <v>17</v>
      </c>
      <c r="D670">
        <v>0</v>
      </c>
    </row>
    <row r="671" spans="1:4" x14ac:dyDescent="0.35">
      <c r="A671" t="s">
        <v>16</v>
      </c>
      <c r="B671" t="s">
        <v>4</v>
      </c>
      <c r="C671" t="s">
        <v>17</v>
      </c>
      <c r="D671">
        <v>0</v>
      </c>
    </row>
    <row r="672" spans="1:4" x14ac:dyDescent="0.35">
      <c r="A672" t="s">
        <v>17</v>
      </c>
      <c r="B672" t="s">
        <v>4</v>
      </c>
      <c r="C672" t="s">
        <v>17</v>
      </c>
      <c r="D672">
        <v>0</v>
      </c>
    </row>
    <row r="673" spans="1:4" x14ac:dyDescent="0.35">
      <c r="A673" t="s">
        <v>18</v>
      </c>
      <c r="B673" t="s">
        <v>4</v>
      </c>
      <c r="C673" t="s">
        <v>17</v>
      </c>
      <c r="D673">
        <v>0</v>
      </c>
    </row>
    <row r="674" spans="1:4" x14ac:dyDescent="0.35">
      <c r="A674" t="s">
        <v>19</v>
      </c>
      <c r="B674" t="s">
        <v>4</v>
      </c>
      <c r="C674" t="s">
        <v>17</v>
      </c>
      <c r="D674">
        <v>0</v>
      </c>
    </row>
    <row r="675" spans="1:4" x14ac:dyDescent="0.35">
      <c r="A675" t="s">
        <v>20</v>
      </c>
      <c r="B675" t="s">
        <v>4</v>
      </c>
      <c r="C675" t="s">
        <v>17</v>
      </c>
      <c r="D675">
        <v>0</v>
      </c>
    </row>
    <row r="676" spans="1:4" x14ac:dyDescent="0.35">
      <c r="A676" t="s">
        <v>21</v>
      </c>
      <c r="B676" t="s">
        <v>4</v>
      </c>
      <c r="C676" t="s">
        <v>17</v>
      </c>
      <c r="D676">
        <v>0</v>
      </c>
    </row>
    <row r="677" spans="1:4" x14ac:dyDescent="0.35">
      <c r="A677" t="s">
        <v>22</v>
      </c>
      <c r="B677" t="s">
        <v>4</v>
      </c>
      <c r="C677" t="s">
        <v>17</v>
      </c>
      <c r="D677">
        <v>0</v>
      </c>
    </row>
    <row r="678" spans="1:4" x14ac:dyDescent="0.35">
      <c r="A678" t="s">
        <v>23</v>
      </c>
      <c r="B678" t="s">
        <v>4</v>
      </c>
      <c r="C678" t="s">
        <v>17</v>
      </c>
      <c r="D678">
        <v>0</v>
      </c>
    </row>
    <row r="679" spans="1:4" x14ac:dyDescent="0.35">
      <c r="A679" t="s">
        <v>24</v>
      </c>
      <c r="B679" t="s">
        <v>4</v>
      </c>
      <c r="C679" t="s">
        <v>17</v>
      </c>
      <c r="D679">
        <v>0</v>
      </c>
    </row>
    <row r="680" spans="1:4" x14ac:dyDescent="0.35">
      <c r="A680" t="s">
        <v>25</v>
      </c>
      <c r="B680" t="s">
        <v>4</v>
      </c>
      <c r="C680" t="s">
        <v>17</v>
      </c>
      <c r="D680">
        <v>0</v>
      </c>
    </row>
    <row r="681" spans="1:4" x14ac:dyDescent="0.35">
      <c r="A681" t="s">
        <v>26</v>
      </c>
      <c r="B681" t="s">
        <v>4</v>
      </c>
      <c r="C681" t="s">
        <v>17</v>
      </c>
      <c r="D681">
        <v>0</v>
      </c>
    </row>
    <row r="682" spans="1:4" x14ac:dyDescent="0.35">
      <c r="A682" t="s">
        <v>27</v>
      </c>
      <c r="B682" t="s">
        <v>4</v>
      </c>
      <c r="C682" t="s">
        <v>17</v>
      </c>
      <c r="D682">
        <v>0</v>
      </c>
    </row>
    <row r="683" spans="1:4" x14ac:dyDescent="0.35">
      <c r="A683" t="s">
        <v>28</v>
      </c>
      <c r="B683" t="s">
        <v>4</v>
      </c>
      <c r="C683" t="s">
        <v>17</v>
      </c>
      <c r="D683">
        <v>0</v>
      </c>
    </row>
    <row r="684" spans="1:4" x14ac:dyDescent="0.35">
      <c r="A684" t="s">
        <v>29</v>
      </c>
      <c r="B684" t="s">
        <v>4</v>
      </c>
      <c r="C684" t="s">
        <v>17</v>
      </c>
      <c r="D684">
        <v>0</v>
      </c>
    </row>
    <row r="685" spans="1:4" x14ac:dyDescent="0.35">
      <c r="A685" t="s">
        <v>30</v>
      </c>
      <c r="B685" t="s">
        <v>4</v>
      </c>
      <c r="C685" t="s">
        <v>17</v>
      </c>
      <c r="D685">
        <v>0</v>
      </c>
    </row>
    <row r="686" spans="1:4" x14ac:dyDescent="0.35">
      <c r="A686" t="s">
        <v>31</v>
      </c>
      <c r="B686" t="s">
        <v>4</v>
      </c>
      <c r="C686" t="s">
        <v>17</v>
      </c>
      <c r="D686">
        <v>0</v>
      </c>
    </row>
    <row r="687" spans="1:4" x14ac:dyDescent="0.35">
      <c r="A687" t="s">
        <v>32</v>
      </c>
      <c r="B687" t="s">
        <v>4</v>
      </c>
      <c r="C687" t="s">
        <v>17</v>
      </c>
      <c r="D687">
        <v>0</v>
      </c>
    </row>
    <row r="688" spans="1:4" x14ac:dyDescent="0.35">
      <c r="A688" t="s">
        <v>33</v>
      </c>
      <c r="B688" t="s">
        <v>4</v>
      </c>
      <c r="C688" t="s">
        <v>17</v>
      </c>
      <c r="D688">
        <v>0</v>
      </c>
    </row>
    <row r="689" spans="1:4" x14ac:dyDescent="0.35">
      <c r="A689" t="s">
        <v>34</v>
      </c>
      <c r="B689" t="s">
        <v>4</v>
      </c>
      <c r="C689" t="s">
        <v>17</v>
      </c>
      <c r="D689">
        <v>0</v>
      </c>
    </row>
    <row r="690" spans="1:4" x14ac:dyDescent="0.35">
      <c r="A690" t="s">
        <v>35</v>
      </c>
      <c r="B690" t="s">
        <v>4</v>
      </c>
      <c r="C690" t="s">
        <v>17</v>
      </c>
      <c r="D690">
        <v>0</v>
      </c>
    </row>
    <row r="691" spans="1:4" x14ac:dyDescent="0.35">
      <c r="A691" t="s">
        <v>36</v>
      </c>
      <c r="B691" t="s">
        <v>4</v>
      </c>
      <c r="C691" t="s">
        <v>17</v>
      </c>
      <c r="D691">
        <v>0</v>
      </c>
    </row>
    <row r="692" spans="1:4" x14ac:dyDescent="0.35">
      <c r="A692" t="s">
        <v>37</v>
      </c>
      <c r="B692" t="s">
        <v>4</v>
      </c>
      <c r="C692" t="s">
        <v>17</v>
      </c>
      <c r="D692">
        <v>0</v>
      </c>
    </row>
    <row r="693" spans="1:4" x14ac:dyDescent="0.35">
      <c r="A693" t="s">
        <v>38</v>
      </c>
      <c r="B693" t="s">
        <v>4</v>
      </c>
      <c r="C693" t="s">
        <v>17</v>
      </c>
      <c r="D693">
        <v>0</v>
      </c>
    </row>
    <row r="694" spans="1:4" x14ac:dyDescent="0.35">
      <c r="A694" t="s">
        <v>39</v>
      </c>
      <c r="B694" t="s">
        <v>4</v>
      </c>
      <c r="C694" t="s">
        <v>17</v>
      </c>
      <c r="D694">
        <v>0</v>
      </c>
    </row>
    <row r="695" spans="1:4" x14ac:dyDescent="0.35">
      <c r="A695" t="s">
        <v>7</v>
      </c>
      <c r="B695" t="s">
        <v>5</v>
      </c>
      <c r="C695" t="s">
        <v>17</v>
      </c>
      <c r="D695">
        <v>0</v>
      </c>
    </row>
    <row r="696" spans="1:4" x14ac:dyDescent="0.35">
      <c r="A696" t="s">
        <v>8</v>
      </c>
      <c r="B696" t="s">
        <v>5</v>
      </c>
      <c r="C696" t="s">
        <v>17</v>
      </c>
      <c r="D696">
        <v>0</v>
      </c>
    </row>
    <row r="697" spans="1:4" x14ac:dyDescent="0.35">
      <c r="A697" t="s">
        <v>9</v>
      </c>
      <c r="B697" t="s">
        <v>5</v>
      </c>
      <c r="C697" t="s">
        <v>17</v>
      </c>
      <c r="D697">
        <v>0</v>
      </c>
    </row>
    <row r="698" spans="1:4" x14ac:dyDescent="0.35">
      <c r="A698" t="s">
        <v>10</v>
      </c>
      <c r="B698" t="s">
        <v>5</v>
      </c>
      <c r="C698" t="s">
        <v>17</v>
      </c>
      <c r="D698">
        <v>0</v>
      </c>
    </row>
    <row r="699" spans="1:4" x14ac:dyDescent="0.35">
      <c r="A699" t="s">
        <v>11</v>
      </c>
      <c r="B699" t="s">
        <v>5</v>
      </c>
      <c r="C699" t="s">
        <v>17</v>
      </c>
      <c r="D699">
        <v>0</v>
      </c>
    </row>
    <row r="700" spans="1:4" x14ac:dyDescent="0.35">
      <c r="A700" t="s">
        <v>12</v>
      </c>
      <c r="B700" t="s">
        <v>5</v>
      </c>
      <c r="C700" t="s">
        <v>17</v>
      </c>
      <c r="D700">
        <v>0</v>
      </c>
    </row>
    <row r="701" spans="1:4" x14ac:dyDescent="0.35">
      <c r="A701" t="s">
        <v>13</v>
      </c>
      <c r="B701" t="s">
        <v>5</v>
      </c>
      <c r="C701" t="s">
        <v>17</v>
      </c>
      <c r="D701">
        <v>0</v>
      </c>
    </row>
    <row r="702" spans="1:4" x14ac:dyDescent="0.35">
      <c r="A702" t="s">
        <v>14</v>
      </c>
      <c r="B702" t="s">
        <v>5</v>
      </c>
      <c r="C702" t="s">
        <v>17</v>
      </c>
      <c r="D702">
        <v>0</v>
      </c>
    </row>
    <row r="703" spans="1:4" x14ac:dyDescent="0.35">
      <c r="A703" t="s">
        <v>15</v>
      </c>
      <c r="B703" t="s">
        <v>5</v>
      </c>
      <c r="C703" t="s">
        <v>17</v>
      </c>
      <c r="D703">
        <v>0</v>
      </c>
    </row>
    <row r="704" spans="1:4" x14ac:dyDescent="0.35">
      <c r="A704" t="s">
        <v>16</v>
      </c>
      <c r="B704" t="s">
        <v>5</v>
      </c>
      <c r="C704" t="s">
        <v>17</v>
      </c>
      <c r="D704">
        <v>0</v>
      </c>
    </row>
    <row r="705" spans="1:4" x14ac:dyDescent="0.35">
      <c r="A705" t="s">
        <v>17</v>
      </c>
      <c r="B705" t="s">
        <v>5</v>
      </c>
      <c r="C705" t="s">
        <v>17</v>
      </c>
      <c r="D705">
        <v>0</v>
      </c>
    </row>
    <row r="706" spans="1:4" x14ac:dyDescent="0.35">
      <c r="A706" t="s">
        <v>18</v>
      </c>
      <c r="B706" t="s">
        <v>5</v>
      </c>
      <c r="C706" t="s">
        <v>17</v>
      </c>
      <c r="D706">
        <v>0</v>
      </c>
    </row>
    <row r="707" spans="1:4" x14ac:dyDescent="0.35">
      <c r="A707" t="s">
        <v>19</v>
      </c>
      <c r="B707" t="s">
        <v>5</v>
      </c>
      <c r="C707" t="s">
        <v>17</v>
      </c>
      <c r="D707">
        <v>0</v>
      </c>
    </row>
    <row r="708" spans="1:4" x14ac:dyDescent="0.35">
      <c r="A708" t="s">
        <v>20</v>
      </c>
      <c r="B708" t="s">
        <v>5</v>
      </c>
      <c r="C708" t="s">
        <v>17</v>
      </c>
      <c r="D708">
        <v>0</v>
      </c>
    </row>
    <row r="709" spans="1:4" x14ac:dyDescent="0.35">
      <c r="A709" t="s">
        <v>21</v>
      </c>
      <c r="B709" t="s">
        <v>5</v>
      </c>
      <c r="C709" t="s">
        <v>17</v>
      </c>
      <c r="D709">
        <v>0</v>
      </c>
    </row>
    <row r="710" spans="1:4" x14ac:dyDescent="0.35">
      <c r="A710" t="s">
        <v>22</v>
      </c>
      <c r="B710" t="s">
        <v>5</v>
      </c>
      <c r="C710" t="s">
        <v>17</v>
      </c>
      <c r="D710">
        <v>0</v>
      </c>
    </row>
    <row r="711" spans="1:4" x14ac:dyDescent="0.35">
      <c r="A711" t="s">
        <v>23</v>
      </c>
      <c r="B711" t="s">
        <v>5</v>
      </c>
      <c r="C711" t="s">
        <v>17</v>
      </c>
      <c r="D711">
        <v>0</v>
      </c>
    </row>
    <row r="712" spans="1:4" x14ac:dyDescent="0.35">
      <c r="A712" t="s">
        <v>24</v>
      </c>
      <c r="B712" t="s">
        <v>5</v>
      </c>
      <c r="C712" t="s">
        <v>17</v>
      </c>
      <c r="D712">
        <v>0</v>
      </c>
    </row>
    <row r="713" spans="1:4" x14ac:dyDescent="0.35">
      <c r="A713" t="s">
        <v>25</v>
      </c>
      <c r="B713" t="s">
        <v>5</v>
      </c>
      <c r="C713" t="s">
        <v>17</v>
      </c>
      <c r="D713">
        <v>0</v>
      </c>
    </row>
    <row r="714" spans="1:4" x14ac:dyDescent="0.35">
      <c r="A714" t="s">
        <v>26</v>
      </c>
      <c r="B714" t="s">
        <v>5</v>
      </c>
      <c r="C714" t="s">
        <v>17</v>
      </c>
      <c r="D714">
        <v>0</v>
      </c>
    </row>
    <row r="715" spans="1:4" x14ac:dyDescent="0.35">
      <c r="A715" t="s">
        <v>27</v>
      </c>
      <c r="B715" t="s">
        <v>5</v>
      </c>
      <c r="C715" t="s">
        <v>17</v>
      </c>
      <c r="D715">
        <v>0</v>
      </c>
    </row>
    <row r="716" spans="1:4" x14ac:dyDescent="0.35">
      <c r="A716" t="s">
        <v>28</v>
      </c>
      <c r="B716" t="s">
        <v>5</v>
      </c>
      <c r="C716" t="s">
        <v>17</v>
      </c>
      <c r="D716">
        <v>0</v>
      </c>
    </row>
    <row r="717" spans="1:4" x14ac:dyDescent="0.35">
      <c r="A717" t="s">
        <v>29</v>
      </c>
      <c r="B717" t="s">
        <v>5</v>
      </c>
      <c r="C717" t="s">
        <v>17</v>
      </c>
      <c r="D717">
        <v>0</v>
      </c>
    </row>
    <row r="718" spans="1:4" x14ac:dyDescent="0.35">
      <c r="A718" t="s">
        <v>30</v>
      </c>
      <c r="B718" t="s">
        <v>5</v>
      </c>
      <c r="C718" t="s">
        <v>17</v>
      </c>
      <c r="D718">
        <v>0</v>
      </c>
    </row>
    <row r="719" spans="1:4" x14ac:dyDescent="0.35">
      <c r="A719" t="s">
        <v>31</v>
      </c>
      <c r="B719" t="s">
        <v>5</v>
      </c>
      <c r="C719" t="s">
        <v>17</v>
      </c>
      <c r="D719">
        <v>0</v>
      </c>
    </row>
    <row r="720" spans="1:4" x14ac:dyDescent="0.35">
      <c r="A720" t="s">
        <v>32</v>
      </c>
      <c r="B720" t="s">
        <v>5</v>
      </c>
      <c r="C720" t="s">
        <v>17</v>
      </c>
      <c r="D720">
        <v>0</v>
      </c>
    </row>
    <row r="721" spans="1:4" x14ac:dyDescent="0.35">
      <c r="A721" t="s">
        <v>33</v>
      </c>
      <c r="B721" t="s">
        <v>5</v>
      </c>
      <c r="C721" t="s">
        <v>17</v>
      </c>
      <c r="D721">
        <v>0</v>
      </c>
    </row>
    <row r="722" spans="1:4" x14ac:dyDescent="0.35">
      <c r="A722" t="s">
        <v>34</v>
      </c>
      <c r="B722" t="s">
        <v>5</v>
      </c>
      <c r="C722" t="s">
        <v>17</v>
      </c>
      <c r="D722">
        <v>0</v>
      </c>
    </row>
    <row r="723" spans="1:4" x14ac:dyDescent="0.35">
      <c r="A723" t="s">
        <v>35</v>
      </c>
      <c r="B723" t="s">
        <v>5</v>
      </c>
      <c r="C723" t="s">
        <v>17</v>
      </c>
      <c r="D723">
        <v>0</v>
      </c>
    </row>
    <row r="724" spans="1:4" x14ac:dyDescent="0.35">
      <c r="A724" t="s">
        <v>36</v>
      </c>
      <c r="B724" t="s">
        <v>5</v>
      </c>
      <c r="C724" t="s">
        <v>17</v>
      </c>
      <c r="D724">
        <v>0</v>
      </c>
    </row>
    <row r="725" spans="1:4" x14ac:dyDescent="0.35">
      <c r="A725" t="s">
        <v>37</v>
      </c>
      <c r="B725" t="s">
        <v>5</v>
      </c>
      <c r="C725" t="s">
        <v>17</v>
      </c>
      <c r="D725">
        <v>0</v>
      </c>
    </row>
    <row r="726" spans="1:4" x14ac:dyDescent="0.35">
      <c r="A726" t="s">
        <v>38</v>
      </c>
      <c r="B726" t="s">
        <v>5</v>
      </c>
      <c r="C726" t="s">
        <v>17</v>
      </c>
      <c r="D726">
        <v>0</v>
      </c>
    </row>
    <row r="727" spans="1:4" x14ac:dyDescent="0.35">
      <c r="A727" t="s">
        <v>39</v>
      </c>
      <c r="B727" t="s">
        <v>5</v>
      </c>
      <c r="C727" t="s">
        <v>17</v>
      </c>
      <c r="D727">
        <v>0</v>
      </c>
    </row>
    <row r="728" spans="1:4" x14ac:dyDescent="0.35">
      <c r="A728" t="s">
        <v>7</v>
      </c>
      <c r="B728" t="s">
        <v>4</v>
      </c>
      <c r="C728" t="s">
        <v>18</v>
      </c>
      <c r="D728">
        <v>0</v>
      </c>
    </row>
    <row r="729" spans="1:4" x14ac:dyDescent="0.35">
      <c r="A729" t="s">
        <v>8</v>
      </c>
      <c r="B729" t="s">
        <v>4</v>
      </c>
      <c r="C729" t="s">
        <v>18</v>
      </c>
      <c r="D729">
        <v>0</v>
      </c>
    </row>
    <row r="730" spans="1:4" x14ac:dyDescent="0.35">
      <c r="A730" t="s">
        <v>9</v>
      </c>
      <c r="B730" t="s">
        <v>4</v>
      </c>
      <c r="C730" t="s">
        <v>18</v>
      </c>
      <c r="D730">
        <v>0</v>
      </c>
    </row>
    <row r="731" spans="1:4" x14ac:dyDescent="0.35">
      <c r="A731" t="s">
        <v>10</v>
      </c>
      <c r="B731" t="s">
        <v>4</v>
      </c>
      <c r="C731" t="s">
        <v>18</v>
      </c>
      <c r="D731">
        <v>0</v>
      </c>
    </row>
    <row r="732" spans="1:4" x14ac:dyDescent="0.35">
      <c r="A732" t="s">
        <v>11</v>
      </c>
      <c r="B732" t="s">
        <v>4</v>
      </c>
      <c r="C732" t="s">
        <v>18</v>
      </c>
      <c r="D732">
        <v>0</v>
      </c>
    </row>
    <row r="733" spans="1:4" x14ac:dyDescent="0.35">
      <c r="A733" t="s">
        <v>12</v>
      </c>
      <c r="B733" t="s">
        <v>4</v>
      </c>
      <c r="C733" t="s">
        <v>18</v>
      </c>
      <c r="D733">
        <v>0</v>
      </c>
    </row>
    <row r="734" spans="1:4" x14ac:dyDescent="0.35">
      <c r="A734" t="s">
        <v>13</v>
      </c>
      <c r="B734" t="s">
        <v>4</v>
      </c>
      <c r="C734" t="s">
        <v>18</v>
      </c>
      <c r="D734">
        <v>0</v>
      </c>
    </row>
    <row r="735" spans="1:4" x14ac:dyDescent="0.35">
      <c r="A735" t="s">
        <v>14</v>
      </c>
      <c r="B735" t="s">
        <v>4</v>
      </c>
      <c r="C735" t="s">
        <v>18</v>
      </c>
      <c r="D735">
        <v>0</v>
      </c>
    </row>
    <row r="736" spans="1:4" x14ac:dyDescent="0.35">
      <c r="A736" t="s">
        <v>15</v>
      </c>
      <c r="B736" t="s">
        <v>4</v>
      </c>
      <c r="C736" t="s">
        <v>18</v>
      </c>
      <c r="D736">
        <v>0</v>
      </c>
    </row>
    <row r="737" spans="1:4" x14ac:dyDescent="0.35">
      <c r="A737" t="s">
        <v>16</v>
      </c>
      <c r="B737" t="s">
        <v>4</v>
      </c>
      <c r="C737" t="s">
        <v>18</v>
      </c>
      <c r="D737">
        <v>0</v>
      </c>
    </row>
    <row r="738" spans="1:4" x14ac:dyDescent="0.35">
      <c r="A738" t="s">
        <v>17</v>
      </c>
      <c r="B738" t="s">
        <v>4</v>
      </c>
      <c r="C738" t="s">
        <v>18</v>
      </c>
      <c r="D738">
        <v>0</v>
      </c>
    </row>
    <row r="739" spans="1:4" x14ac:dyDescent="0.35">
      <c r="A739" t="s">
        <v>18</v>
      </c>
      <c r="B739" t="s">
        <v>4</v>
      </c>
      <c r="C739" t="s">
        <v>18</v>
      </c>
      <c r="D739">
        <v>0</v>
      </c>
    </row>
    <row r="740" spans="1:4" x14ac:dyDescent="0.35">
      <c r="A740" t="s">
        <v>19</v>
      </c>
      <c r="B740" t="s">
        <v>4</v>
      </c>
      <c r="C740" t="s">
        <v>18</v>
      </c>
      <c r="D740">
        <v>0</v>
      </c>
    </row>
    <row r="741" spans="1:4" x14ac:dyDescent="0.35">
      <c r="A741" t="s">
        <v>20</v>
      </c>
      <c r="B741" t="s">
        <v>4</v>
      </c>
      <c r="C741" t="s">
        <v>18</v>
      </c>
      <c r="D741">
        <v>0</v>
      </c>
    </row>
    <row r="742" spans="1:4" x14ac:dyDescent="0.35">
      <c r="A742" t="s">
        <v>21</v>
      </c>
      <c r="B742" t="s">
        <v>4</v>
      </c>
      <c r="C742" t="s">
        <v>18</v>
      </c>
      <c r="D742">
        <v>0</v>
      </c>
    </row>
    <row r="743" spans="1:4" x14ac:dyDescent="0.35">
      <c r="A743" t="s">
        <v>22</v>
      </c>
      <c r="B743" t="s">
        <v>4</v>
      </c>
      <c r="C743" t="s">
        <v>18</v>
      </c>
      <c r="D743">
        <v>0</v>
      </c>
    </row>
    <row r="744" spans="1:4" x14ac:dyDescent="0.35">
      <c r="A744" t="s">
        <v>23</v>
      </c>
      <c r="B744" t="s">
        <v>4</v>
      </c>
      <c r="C744" t="s">
        <v>18</v>
      </c>
      <c r="D744">
        <v>0</v>
      </c>
    </row>
    <row r="745" spans="1:4" x14ac:dyDescent="0.35">
      <c r="A745" t="s">
        <v>24</v>
      </c>
      <c r="B745" t="s">
        <v>4</v>
      </c>
      <c r="C745" t="s">
        <v>18</v>
      </c>
      <c r="D745">
        <v>0</v>
      </c>
    </row>
    <row r="746" spans="1:4" x14ac:dyDescent="0.35">
      <c r="A746" t="s">
        <v>25</v>
      </c>
      <c r="B746" t="s">
        <v>4</v>
      </c>
      <c r="C746" t="s">
        <v>18</v>
      </c>
      <c r="D746">
        <v>0</v>
      </c>
    </row>
    <row r="747" spans="1:4" x14ac:dyDescent="0.35">
      <c r="A747" t="s">
        <v>26</v>
      </c>
      <c r="B747" t="s">
        <v>4</v>
      </c>
      <c r="C747" t="s">
        <v>18</v>
      </c>
      <c r="D747">
        <v>0</v>
      </c>
    </row>
    <row r="748" spans="1:4" x14ac:dyDescent="0.35">
      <c r="A748" t="s">
        <v>27</v>
      </c>
      <c r="B748" t="s">
        <v>4</v>
      </c>
      <c r="C748" t="s">
        <v>18</v>
      </c>
      <c r="D748">
        <v>0</v>
      </c>
    </row>
    <row r="749" spans="1:4" x14ac:dyDescent="0.35">
      <c r="A749" t="s">
        <v>28</v>
      </c>
      <c r="B749" t="s">
        <v>4</v>
      </c>
      <c r="C749" t="s">
        <v>18</v>
      </c>
      <c r="D749">
        <v>0</v>
      </c>
    </row>
    <row r="750" spans="1:4" x14ac:dyDescent="0.35">
      <c r="A750" t="s">
        <v>29</v>
      </c>
      <c r="B750" t="s">
        <v>4</v>
      </c>
      <c r="C750" t="s">
        <v>18</v>
      </c>
      <c r="D750">
        <v>0</v>
      </c>
    </row>
    <row r="751" spans="1:4" x14ac:dyDescent="0.35">
      <c r="A751" t="s">
        <v>30</v>
      </c>
      <c r="B751" t="s">
        <v>4</v>
      </c>
      <c r="C751" t="s">
        <v>18</v>
      </c>
      <c r="D751">
        <v>0</v>
      </c>
    </row>
    <row r="752" spans="1:4" x14ac:dyDescent="0.35">
      <c r="A752" t="s">
        <v>31</v>
      </c>
      <c r="B752" t="s">
        <v>4</v>
      </c>
      <c r="C752" t="s">
        <v>18</v>
      </c>
      <c r="D752">
        <v>0</v>
      </c>
    </row>
    <row r="753" spans="1:4" x14ac:dyDescent="0.35">
      <c r="A753" t="s">
        <v>32</v>
      </c>
      <c r="B753" t="s">
        <v>4</v>
      </c>
      <c r="C753" t="s">
        <v>18</v>
      </c>
      <c r="D753">
        <v>0</v>
      </c>
    </row>
    <row r="754" spans="1:4" x14ac:dyDescent="0.35">
      <c r="A754" t="s">
        <v>33</v>
      </c>
      <c r="B754" t="s">
        <v>4</v>
      </c>
      <c r="C754" t="s">
        <v>18</v>
      </c>
      <c r="D754">
        <v>0</v>
      </c>
    </row>
    <row r="755" spans="1:4" x14ac:dyDescent="0.35">
      <c r="A755" t="s">
        <v>34</v>
      </c>
      <c r="B755" t="s">
        <v>4</v>
      </c>
      <c r="C755" t="s">
        <v>18</v>
      </c>
      <c r="D755">
        <v>0</v>
      </c>
    </row>
    <row r="756" spans="1:4" x14ac:dyDescent="0.35">
      <c r="A756" t="s">
        <v>35</v>
      </c>
      <c r="B756" t="s">
        <v>4</v>
      </c>
      <c r="C756" t="s">
        <v>18</v>
      </c>
      <c r="D756">
        <v>0</v>
      </c>
    </row>
    <row r="757" spans="1:4" x14ac:dyDescent="0.35">
      <c r="A757" t="s">
        <v>36</v>
      </c>
      <c r="B757" t="s">
        <v>4</v>
      </c>
      <c r="C757" t="s">
        <v>18</v>
      </c>
      <c r="D757">
        <v>0</v>
      </c>
    </row>
    <row r="758" spans="1:4" x14ac:dyDescent="0.35">
      <c r="A758" t="s">
        <v>37</v>
      </c>
      <c r="B758" t="s">
        <v>4</v>
      </c>
      <c r="C758" t="s">
        <v>18</v>
      </c>
      <c r="D758">
        <v>0</v>
      </c>
    </row>
    <row r="759" spans="1:4" x14ac:dyDescent="0.35">
      <c r="A759" t="s">
        <v>38</v>
      </c>
      <c r="B759" t="s">
        <v>4</v>
      </c>
      <c r="C759" t="s">
        <v>18</v>
      </c>
      <c r="D759">
        <v>0</v>
      </c>
    </row>
    <row r="760" spans="1:4" x14ac:dyDescent="0.35">
      <c r="A760" t="s">
        <v>39</v>
      </c>
      <c r="B760" t="s">
        <v>4</v>
      </c>
      <c r="C760" t="s">
        <v>18</v>
      </c>
      <c r="D760">
        <v>0</v>
      </c>
    </row>
    <row r="761" spans="1:4" x14ac:dyDescent="0.35">
      <c r="A761" t="s">
        <v>7</v>
      </c>
      <c r="B761" t="s">
        <v>5</v>
      </c>
      <c r="C761" t="s">
        <v>18</v>
      </c>
      <c r="D761">
        <v>0</v>
      </c>
    </row>
    <row r="762" spans="1:4" x14ac:dyDescent="0.35">
      <c r="A762" t="s">
        <v>8</v>
      </c>
      <c r="B762" t="s">
        <v>5</v>
      </c>
      <c r="C762" t="s">
        <v>18</v>
      </c>
      <c r="D762">
        <v>0</v>
      </c>
    </row>
    <row r="763" spans="1:4" x14ac:dyDescent="0.35">
      <c r="A763" t="s">
        <v>9</v>
      </c>
      <c r="B763" t="s">
        <v>5</v>
      </c>
      <c r="C763" t="s">
        <v>18</v>
      </c>
      <c r="D763">
        <v>0</v>
      </c>
    </row>
    <row r="764" spans="1:4" x14ac:dyDescent="0.35">
      <c r="A764" t="s">
        <v>10</v>
      </c>
      <c r="B764" t="s">
        <v>5</v>
      </c>
      <c r="C764" t="s">
        <v>18</v>
      </c>
      <c r="D764">
        <v>0</v>
      </c>
    </row>
    <row r="765" spans="1:4" x14ac:dyDescent="0.35">
      <c r="A765" t="s">
        <v>11</v>
      </c>
      <c r="B765" t="s">
        <v>5</v>
      </c>
      <c r="C765" t="s">
        <v>18</v>
      </c>
      <c r="D765">
        <v>0</v>
      </c>
    </row>
    <row r="766" spans="1:4" x14ac:dyDescent="0.35">
      <c r="A766" t="s">
        <v>12</v>
      </c>
      <c r="B766" t="s">
        <v>5</v>
      </c>
      <c r="C766" t="s">
        <v>18</v>
      </c>
      <c r="D766">
        <v>0</v>
      </c>
    </row>
    <row r="767" spans="1:4" x14ac:dyDescent="0.35">
      <c r="A767" t="s">
        <v>13</v>
      </c>
      <c r="B767" t="s">
        <v>5</v>
      </c>
      <c r="C767" t="s">
        <v>18</v>
      </c>
      <c r="D767">
        <v>0</v>
      </c>
    </row>
    <row r="768" spans="1:4" x14ac:dyDescent="0.35">
      <c r="A768" t="s">
        <v>14</v>
      </c>
      <c r="B768" t="s">
        <v>5</v>
      </c>
      <c r="C768" t="s">
        <v>18</v>
      </c>
      <c r="D768">
        <v>0</v>
      </c>
    </row>
    <row r="769" spans="1:4" x14ac:dyDescent="0.35">
      <c r="A769" t="s">
        <v>15</v>
      </c>
      <c r="B769" t="s">
        <v>5</v>
      </c>
      <c r="C769" t="s">
        <v>18</v>
      </c>
      <c r="D769">
        <v>0</v>
      </c>
    </row>
    <row r="770" spans="1:4" x14ac:dyDescent="0.35">
      <c r="A770" t="s">
        <v>16</v>
      </c>
      <c r="B770" t="s">
        <v>5</v>
      </c>
      <c r="C770" t="s">
        <v>18</v>
      </c>
      <c r="D770">
        <v>0</v>
      </c>
    </row>
    <row r="771" spans="1:4" x14ac:dyDescent="0.35">
      <c r="A771" t="s">
        <v>17</v>
      </c>
      <c r="B771" t="s">
        <v>5</v>
      </c>
      <c r="C771" t="s">
        <v>18</v>
      </c>
      <c r="D771">
        <v>0</v>
      </c>
    </row>
    <row r="772" spans="1:4" x14ac:dyDescent="0.35">
      <c r="A772" t="s">
        <v>18</v>
      </c>
      <c r="B772" t="s">
        <v>5</v>
      </c>
      <c r="C772" t="s">
        <v>18</v>
      </c>
      <c r="D772">
        <v>0</v>
      </c>
    </row>
    <row r="773" spans="1:4" x14ac:dyDescent="0.35">
      <c r="A773" t="s">
        <v>19</v>
      </c>
      <c r="B773" t="s">
        <v>5</v>
      </c>
      <c r="C773" t="s">
        <v>18</v>
      </c>
      <c r="D773">
        <v>0</v>
      </c>
    </row>
    <row r="774" spans="1:4" x14ac:dyDescent="0.35">
      <c r="A774" t="s">
        <v>20</v>
      </c>
      <c r="B774" t="s">
        <v>5</v>
      </c>
      <c r="C774" t="s">
        <v>18</v>
      </c>
      <c r="D774">
        <v>0</v>
      </c>
    </row>
    <row r="775" spans="1:4" x14ac:dyDescent="0.35">
      <c r="A775" t="s">
        <v>21</v>
      </c>
      <c r="B775" t="s">
        <v>5</v>
      </c>
      <c r="C775" t="s">
        <v>18</v>
      </c>
      <c r="D775">
        <v>0</v>
      </c>
    </row>
    <row r="776" spans="1:4" x14ac:dyDescent="0.35">
      <c r="A776" t="s">
        <v>22</v>
      </c>
      <c r="B776" t="s">
        <v>5</v>
      </c>
      <c r="C776" t="s">
        <v>18</v>
      </c>
      <c r="D776">
        <v>0</v>
      </c>
    </row>
    <row r="777" spans="1:4" x14ac:dyDescent="0.35">
      <c r="A777" t="s">
        <v>23</v>
      </c>
      <c r="B777" t="s">
        <v>5</v>
      </c>
      <c r="C777" t="s">
        <v>18</v>
      </c>
      <c r="D777">
        <v>0</v>
      </c>
    </row>
    <row r="778" spans="1:4" x14ac:dyDescent="0.35">
      <c r="A778" t="s">
        <v>24</v>
      </c>
      <c r="B778" t="s">
        <v>5</v>
      </c>
      <c r="C778" t="s">
        <v>18</v>
      </c>
      <c r="D778">
        <v>0</v>
      </c>
    </row>
    <row r="779" spans="1:4" x14ac:dyDescent="0.35">
      <c r="A779" t="s">
        <v>25</v>
      </c>
      <c r="B779" t="s">
        <v>5</v>
      </c>
      <c r="C779" t="s">
        <v>18</v>
      </c>
      <c r="D779">
        <v>0</v>
      </c>
    </row>
    <row r="780" spans="1:4" x14ac:dyDescent="0.35">
      <c r="A780" t="s">
        <v>26</v>
      </c>
      <c r="B780" t="s">
        <v>5</v>
      </c>
      <c r="C780" t="s">
        <v>18</v>
      </c>
      <c r="D780">
        <v>0</v>
      </c>
    </row>
    <row r="781" spans="1:4" x14ac:dyDescent="0.35">
      <c r="A781" t="s">
        <v>27</v>
      </c>
      <c r="B781" t="s">
        <v>5</v>
      </c>
      <c r="C781" t="s">
        <v>18</v>
      </c>
      <c r="D781">
        <v>0</v>
      </c>
    </row>
    <row r="782" spans="1:4" x14ac:dyDescent="0.35">
      <c r="A782" t="s">
        <v>28</v>
      </c>
      <c r="B782" t="s">
        <v>5</v>
      </c>
      <c r="C782" t="s">
        <v>18</v>
      </c>
      <c r="D782">
        <v>0</v>
      </c>
    </row>
    <row r="783" spans="1:4" x14ac:dyDescent="0.35">
      <c r="A783" t="s">
        <v>29</v>
      </c>
      <c r="B783" t="s">
        <v>5</v>
      </c>
      <c r="C783" t="s">
        <v>18</v>
      </c>
      <c r="D783">
        <v>0</v>
      </c>
    </row>
    <row r="784" spans="1:4" x14ac:dyDescent="0.35">
      <c r="A784" t="s">
        <v>30</v>
      </c>
      <c r="B784" t="s">
        <v>5</v>
      </c>
      <c r="C784" t="s">
        <v>18</v>
      </c>
      <c r="D784">
        <v>0</v>
      </c>
    </row>
    <row r="785" spans="1:4" x14ac:dyDescent="0.35">
      <c r="A785" t="s">
        <v>31</v>
      </c>
      <c r="B785" t="s">
        <v>5</v>
      </c>
      <c r="C785" t="s">
        <v>18</v>
      </c>
      <c r="D785">
        <v>0</v>
      </c>
    </row>
    <row r="786" spans="1:4" x14ac:dyDescent="0.35">
      <c r="A786" t="s">
        <v>32</v>
      </c>
      <c r="B786" t="s">
        <v>5</v>
      </c>
      <c r="C786" t="s">
        <v>18</v>
      </c>
      <c r="D786">
        <v>0</v>
      </c>
    </row>
    <row r="787" spans="1:4" x14ac:dyDescent="0.35">
      <c r="A787" t="s">
        <v>33</v>
      </c>
      <c r="B787" t="s">
        <v>5</v>
      </c>
      <c r="C787" t="s">
        <v>18</v>
      </c>
      <c r="D787">
        <v>0</v>
      </c>
    </row>
    <row r="788" spans="1:4" x14ac:dyDescent="0.35">
      <c r="A788" t="s">
        <v>34</v>
      </c>
      <c r="B788" t="s">
        <v>5</v>
      </c>
      <c r="C788" t="s">
        <v>18</v>
      </c>
      <c r="D788">
        <v>0</v>
      </c>
    </row>
    <row r="789" spans="1:4" x14ac:dyDescent="0.35">
      <c r="A789" t="s">
        <v>35</v>
      </c>
      <c r="B789" t="s">
        <v>5</v>
      </c>
      <c r="C789" t="s">
        <v>18</v>
      </c>
      <c r="D789">
        <v>0</v>
      </c>
    </row>
    <row r="790" spans="1:4" x14ac:dyDescent="0.35">
      <c r="A790" t="s">
        <v>36</v>
      </c>
      <c r="B790" t="s">
        <v>5</v>
      </c>
      <c r="C790" t="s">
        <v>18</v>
      </c>
      <c r="D790">
        <v>0</v>
      </c>
    </row>
    <row r="791" spans="1:4" x14ac:dyDescent="0.35">
      <c r="A791" t="s">
        <v>37</v>
      </c>
      <c r="B791" t="s">
        <v>5</v>
      </c>
      <c r="C791" t="s">
        <v>18</v>
      </c>
      <c r="D791">
        <v>0</v>
      </c>
    </row>
    <row r="792" spans="1:4" x14ac:dyDescent="0.35">
      <c r="A792" t="s">
        <v>38</v>
      </c>
      <c r="B792" t="s">
        <v>5</v>
      </c>
      <c r="C792" t="s">
        <v>18</v>
      </c>
      <c r="D792">
        <v>0</v>
      </c>
    </row>
    <row r="793" spans="1:4" x14ac:dyDescent="0.35">
      <c r="A793" t="s">
        <v>39</v>
      </c>
      <c r="B793" t="s">
        <v>5</v>
      </c>
      <c r="C793" t="s">
        <v>18</v>
      </c>
      <c r="D793">
        <v>0</v>
      </c>
    </row>
    <row r="794" spans="1:4" x14ac:dyDescent="0.35">
      <c r="A794" t="s">
        <v>7</v>
      </c>
      <c r="B794" t="s">
        <v>4</v>
      </c>
      <c r="C794" t="s">
        <v>19</v>
      </c>
      <c r="D794">
        <v>0</v>
      </c>
    </row>
    <row r="795" spans="1:4" x14ac:dyDescent="0.35">
      <c r="A795" t="s">
        <v>8</v>
      </c>
      <c r="B795" t="s">
        <v>4</v>
      </c>
      <c r="C795" t="s">
        <v>19</v>
      </c>
      <c r="D795">
        <v>0</v>
      </c>
    </row>
    <row r="796" spans="1:4" x14ac:dyDescent="0.35">
      <c r="A796" t="s">
        <v>9</v>
      </c>
      <c r="B796" t="s">
        <v>4</v>
      </c>
      <c r="C796" t="s">
        <v>19</v>
      </c>
      <c r="D796">
        <v>0</v>
      </c>
    </row>
    <row r="797" spans="1:4" x14ac:dyDescent="0.35">
      <c r="A797" t="s">
        <v>10</v>
      </c>
      <c r="B797" t="s">
        <v>4</v>
      </c>
      <c r="C797" t="s">
        <v>19</v>
      </c>
      <c r="D797">
        <v>0</v>
      </c>
    </row>
    <row r="798" spans="1:4" x14ac:dyDescent="0.35">
      <c r="A798" t="s">
        <v>11</v>
      </c>
      <c r="B798" t="s">
        <v>4</v>
      </c>
      <c r="C798" t="s">
        <v>19</v>
      </c>
      <c r="D798">
        <v>0</v>
      </c>
    </row>
    <row r="799" spans="1:4" x14ac:dyDescent="0.35">
      <c r="A799" t="s">
        <v>12</v>
      </c>
      <c r="B799" t="s">
        <v>4</v>
      </c>
      <c r="C799" t="s">
        <v>19</v>
      </c>
      <c r="D799">
        <v>0</v>
      </c>
    </row>
    <row r="800" spans="1:4" x14ac:dyDescent="0.35">
      <c r="A800" t="s">
        <v>13</v>
      </c>
      <c r="B800" t="s">
        <v>4</v>
      </c>
      <c r="C800" t="s">
        <v>19</v>
      </c>
      <c r="D800">
        <v>0</v>
      </c>
    </row>
    <row r="801" spans="1:4" x14ac:dyDescent="0.35">
      <c r="A801" t="s">
        <v>14</v>
      </c>
      <c r="B801" t="s">
        <v>4</v>
      </c>
      <c r="C801" t="s">
        <v>19</v>
      </c>
      <c r="D801">
        <v>0</v>
      </c>
    </row>
    <row r="802" spans="1:4" x14ac:dyDescent="0.35">
      <c r="A802" t="s">
        <v>15</v>
      </c>
      <c r="B802" t="s">
        <v>4</v>
      </c>
      <c r="C802" t="s">
        <v>19</v>
      </c>
      <c r="D802">
        <v>0</v>
      </c>
    </row>
    <row r="803" spans="1:4" x14ac:dyDescent="0.35">
      <c r="A803" t="s">
        <v>16</v>
      </c>
      <c r="B803" t="s">
        <v>4</v>
      </c>
      <c r="C803" t="s">
        <v>19</v>
      </c>
      <c r="D803">
        <v>0</v>
      </c>
    </row>
    <row r="804" spans="1:4" x14ac:dyDescent="0.35">
      <c r="A804" t="s">
        <v>17</v>
      </c>
      <c r="B804" t="s">
        <v>4</v>
      </c>
      <c r="C804" t="s">
        <v>19</v>
      </c>
      <c r="D804">
        <v>0</v>
      </c>
    </row>
    <row r="805" spans="1:4" x14ac:dyDescent="0.35">
      <c r="A805" t="s">
        <v>18</v>
      </c>
      <c r="B805" t="s">
        <v>4</v>
      </c>
      <c r="C805" t="s">
        <v>19</v>
      </c>
      <c r="D805">
        <v>0</v>
      </c>
    </row>
    <row r="806" spans="1:4" x14ac:dyDescent="0.35">
      <c r="A806" t="s">
        <v>19</v>
      </c>
      <c r="B806" t="s">
        <v>4</v>
      </c>
      <c r="C806" t="s">
        <v>19</v>
      </c>
      <c r="D806">
        <v>0</v>
      </c>
    </row>
    <row r="807" spans="1:4" x14ac:dyDescent="0.35">
      <c r="A807" t="s">
        <v>20</v>
      </c>
      <c r="B807" t="s">
        <v>4</v>
      </c>
      <c r="C807" t="s">
        <v>19</v>
      </c>
      <c r="D807">
        <v>0</v>
      </c>
    </row>
    <row r="808" spans="1:4" x14ac:dyDescent="0.35">
      <c r="A808" t="s">
        <v>21</v>
      </c>
      <c r="B808" t="s">
        <v>4</v>
      </c>
      <c r="C808" t="s">
        <v>19</v>
      </c>
      <c r="D808">
        <v>0</v>
      </c>
    </row>
    <row r="809" spans="1:4" x14ac:dyDescent="0.35">
      <c r="A809" t="s">
        <v>22</v>
      </c>
      <c r="B809" t="s">
        <v>4</v>
      </c>
      <c r="C809" t="s">
        <v>19</v>
      </c>
      <c r="D809">
        <v>0</v>
      </c>
    </row>
    <row r="810" spans="1:4" x14ac:dyDescent="0.35">
      <c r="A810" t="s">
        <v>23</v>
      </c>
      <c r="B810" t="s">
        <v>4</v>
      </c>
      <c r="C810" t="s">
        <v>19</v>
      </c>
      <c r="D810">
        <v>0</v>
      </c>
    </row>
    <row r="811" spans="1:4" x14ac:dyDescent="0.35">
      <c r="A811" t="s">
        <v>24</v>
      </c>
      <c r="B811" t="s">
        <v>4</v>
      </c>
      <c r="C811" t="s">
        <v>19</v>
      </c>
      <c r="D811">
        <v>0</v>
      </c>
    </row>
    <row r="812" spans="1:4" x14ac:dyDescent="0.35">
      <c r="A812" t="s">
        <v>25</v>
      </c>
      <c r="B812" t="s">
        <v>4</v>
      </c>
      <c r="C812" t="s">
        <v>19</v>
      </c>
      <c r="D812">
        <v>0</v>
      </c>
    </row>
    <row r="813" spans="1:4" x14ac:dyDescent="0.35">
      <c r="A813" t="s">
        <v>26</v>
      </c>
      <c r="B813" t="s">
        <v>4</v>
      </c>
      <c r="C813" t="s">
        <v>19</v>
      </c>
      <c r="D813">
        <v>0</v>
      </c>
    </row>
    <row r="814" spans="1:4" x14ac:dyDescent="0.35">
      <c r="A814" t="s">
        <v>27</v>
      </c>
      <c r="B814" t="s">
        <v>4</v>
      </c>
      <c r="C814" t="s">
        <v>19</v>
      </c>
      <c r="D814">
        <v>0</v>
      </c>
    </row>
    <row r="815" spans="1:4" x14ac:dyDescent="0.35">
      <c r="A815" t="s">
        <v>28</v>
      </c>
      <c r="B815" t="s">
        <v>4</v>
      </c>
      <c r="C815" t="s">
        <v>19</v>
      </c>
      <c r="D815">
        <v>0</v>
      </c>
    </row>
    <row r="816" spans="1:4" x14ac:dyDescent="0.35">
      <c r="A816" t="s">
        <v>29</v>
      </c>
      <c r="B816" t="s">
        <v>4</v>
      </c>
      <c r="C816" t="s">
        <v>19</v>
      </c>
      <c r="D816">
        <v>0</v>
      </c>
    </row>
    <row r="817" spans="1:4" x14ac:dyDescent="0.35">
      <c r="A817" t="s">
        <v>30</v>
      </c>
      <c r="B817" t="s">
        <v>4</v>
      </c>
      <c r="C817" t="s">
        <v>19</v>
      </c>
      <c r="D817">
        <v>0</v>
      </c>
    </row>
    <row r="818" spans="1:4" x14ac:dyDescent="0.35">
      <c r="A818" t="s">
        <v>31</v>
      </c>
      <c r="B818" t="s">
        <v>4</v>
      </c>
      <c r="C818" t="s">
        <v>19</v>
      </c>
      <c r="D818">
        <v>0</v>
      </c>
    </row>
    <row r="819" spans="1:4" x14ac:dyDescent="0.35">
      <c r="A819" t="s">
        <v>32</v>
      </c>
      <c r="B819" t="s">
        <v>4</v>
      </c>
      <c r="C819" t="s">
        <v>19</v>
      </c>
      <c r="D819">
        <v>0</v>
      </c>
    </row>
    <row r="820" spans="1:4" x14ac:dyDescent="0.35">
      <c r="A820" t="s">
        <v>33</v>
      </c>
      <c r="B820" t="s">
        <v>4</v>
      </c>
      <c r="C820" t="s">
        <v>19</v>
      </c>
      <c r="D820">
        <v>0</v>
      </c>
    </row>
    <row r="821" spans="1:4" x14ac:dyDescent="0.35">
      <c r="A821" t="s">
        <v>34</v>
      </c>
      <c r="B821" t="s">
        <v>4</v>
      </c>
      <c r="C821" t="s">
        <v>19</v>
      </c>
      <c r="D821">
        <v>0</v>
      </c>
    </row>
    <row r="822" spans="1:4" x14ac:dyDescent="0.35">
      <c r="A822" t="s">
        <v>35</v>
      </c>
      <c r="B822" t="s">
        <v>4</v>
      </c>
      <c r="C822" t="s">
        <v>19</v>
      </c>
      <c r="D822">
        <v>0</v>
      </c>
    </row>
    <row r="823" spans="1:4" x14ac:dyDescent="0.35">
      <c r="A823" t="s">
        <v>36</v>
      </c>
      <c r="B823" t="s">
        <v>4</v>
      </c>
      <c r="C823" t="s">
        <v>19</v>
      </c>
      <c r="D823">
        <v>0</v>
      </c>
    </row>
    <row r="824" spans="1:4" x14ac:dyDescent="0.35">
      <c r="A824" t="s">
        <v>37</v>
      </c>
      <c r="B824" t="s">
        <v>4</v>
      </c>
      <c r="C824" t="s">
        <v>19</v>
      </c>
      <c r="D824">
        <v>0</v>
      </c>
    </row>
    <row r="825" spans="1:4" x14ac:dyDescent="0.35">
      <c r="A825" t="s">
        <v>38</v>
      </c>
      <c r="B825" t="s">
        <v>4</v>
      </c>
      <c r="C825" t="s">
        <v>19</v>
      </c>
      <c r="D825">
        <v>0</v>
      </c>
    </row>
    <row r="826" spans="1:4" x14ac:dyDescent="0.35">
      <c r="A826" t="s">
        <v>39</v>
      </c>
      <c r="B826" t="s">
        <v>4</v>
      </c>
      <c r="C826" t="s">
        <v>19</v>
      </c>
      <c r="D826">
        <v>0</v>
      </c>
    </row>
    <row r="827" spans="1:4" x14ac:dyDescent="0.35">
      <c r="A827" t="s">
        <v>7</v>
      </c>
      <c r="B827" t="s">
        <v>5</v>
      </c>
      <c r="C827" t="s">
        <v>19</v>
      </c>
      <c r="D827">
        <v>0</v>
      </c>
    </row>
    <row r="828" spans="1:4" x14ac:dyDescent="0.35">
      <c r="A828" t="s">
        <v>8</v>
      </c>
      <c r="B828" t="s">
        <v>5</v>
      </c>
      <c r="C828" t="s">
        <v>19</v>
      </c>
      <c r="D828">
        <v>0</v>
      </c>
    </row>
    <row r="829" spans="1:4" x14ac:dyDescent="0.35">
      <c r="A829" t="s">
        <v>9</v>
      </c>
      <c r="B829" t="s">
        <v>5</v>
      </c>
      <c r="C829" t="s">
        <v>19</v>
      </c>
      <c r="D829">
        <v>0</v>
      </c>
    </row>
    <row r="830" spans="1:4" x14ac:dyDescent="0.35">
      <c r="A830" t="s">
        <v>10</v>
      </c>
      <c r="B830" t="s">
        <v>5</v>
      </c>
      <c r="C830" t="s">
        <v>19</v>
      </c>
      <c r="D830">
        <v>0</v>
      </c>
    </row>
    <row r="831" spans="1:4" x14ac:dyDescent="0.35">
      <c r="A831" t="s">
        <v>11</v>
      </c>
      <c r="B831" t="s">
        <v>5</v>
      </c>
      <c r="C831" t="s">
        <v>19</v>
      </c>
      <c r="D831">
        <v>0</v>
      </c>
    </row>
    <row r="832" spans="1:4" x14ac:dyDescent="0.35">
      <c r="A832" t="s">
        <v>12</v>
      </c>
      <c r="B832" t="s">
        <v>5</v>
      </c>
      <c r="C832" t="s">
        <v>19</v>
      </c>
      <c r="D832">
        <v>0</v>
      </c>
    </row>
    <row r="833" spans="1:4" x14ac:dyDescent="0.35">
      <c r="A833" t="s">
        <v>13</v>
      </c>
      <c r="B833" t="s">
        <v>5</v>
      </c>
      <c r="C833" t="s">
        <v>19</v>
      </c>
      <c r="D833">
        <v>0</v>
      </c>
    </row>
    <row r="834" spans="1:4" x14ac:dyDescent="0.35">
      <c r="A834" t="s">
        <v>14</v>
      </c>
      <c r="B834" t="s">
        <v>5</v>
      </c>
      <c r="C834" t="s">
        <v>19</v>
      </c>
      <c r="D834">
        <v>0</v>
      </c>
    </row>
    <row r="835" spans="1:4" x14ac:dyDescent="0.35">
      <c r="A835" t="s">
        <v>15</v>
      </c>
      <c r="B835" t="s">
        <v>5</v>
      </c>
      <c r="C835" t="s">
        <v>19</v>
      </c>
      <c r="D835">
        <v>0</v>
      </c>
    </row>
    <row r="836" spans="1:4" x14ac:dyDescent="0.35">
      <c r="A836" t="s">
        <v>16</v>
      </c>
      <c r="B836" t="s">
        <v>5</v>
      </c>
      <c r="C836" t="s">
        <v>19</v>
      </c>
      <c r="D836">
        <v>0</v>
      </c>
    </row>
    <row r="837" spans="1:4" x14ac:dyDescent="0.35">
      <c r="A837" t="s">
        <v>17</v>
      </c>
      <c r="B837" t="s">
        <v>5</v>
      </c>
      <c r="C837" t="s">
        <v>19</v>
      </c>
      <c r="D837">
        <v>0</v>
      </c>
    </row>
    <row r="838" spans="1:4" x14ac:dyDescent="0.35">
      <c r="A838" t="s">
        <v>18</v>
      </c>
      <c r="B838" t="s">
        <v>5</v>
      </c>
      <c r="C838" t="s">
        <v>19</v>
      </c>
      <c r="D838">
        <v>0</v>
      </c>
    </row>
    <row r="839" spans="1:4" x14ac:dyDescent="0.35">
      <c r="A839" t="s">
        <v>19</v>
      </c>
      <c r="B839" t="s">
        <v>5</v>
      </c>
      <c r="C839" t="s">
        <v>19</v>
      </c>
      <c r="D839">
        <v>0</v>
      </c>
    </row>
    <row r="840" spans="1:4" x14ac:dyDescent="0.35">
      <c r="A840" t="s">
        <v>20</v>
      </c>
      <c r="B840" t="s">
        <v>5</v>
      </c>
      <c r="C840" t="s">
        <v>19</v>
      </c>
      <c r="D840">
        <v>0</v>
      </c>
    </row>
    <row r="841" spans="1:4" x14ac:dyDescent="0.35">
      <c r="A841" t="s">
        <v>21</v>
      </c>
      <c r="B841" t="s">
        <v>5</v>
      </c>
      <c r="C841" t="s">
        <v>19</v>
      </c>
      <c r="D841">
        <v>0</v>
      </c>
    </row>
    <row r="842" spans="1:4" x14ac:dyDescent="0.35">
      <c r="A842" t="s">
        <v>22</v>
      </c>
      <c r="B842" t="s">
        <v>5</v>
      </c>
      <c r="C842" t="s">
        <v>19</v>
      </c>
      <c r="D842">
        <v>0</v>
      </c>
    </row>
    <row r="843" spans="1:4" x14ac:dyDescent="0.35">
      <c r="A843" t="s">
        <v>23</v>
      </c>
      <c r="B843" t="s">
        <v>5</v>
      </c>
      <c r="C843" t="s">
        <v>19</v>
      </c>
      <c r="D843">
        <v>0</v>
      </c>
    </row>
    <row r="844" spans="1:4" x14ac:dyDescent="0.35">
      <c r="A844" t="s">
        <v>24</v>
      </c>
      <c r="B844" t="s">
        <v>5</v>
      </c>
      <c r="C844" t="s">
        <v>19</v>
      </c>
      <c r="D844">
        <v>0</v>
      </c>
    </row>
    <row r="845" spans="1:4" x14ac:dyDescent="0.35">
      <c r="A845" t="s">
        <v>25</v>
      </c>
      <c r="B845" t="s">
        <v>5</v>
      </c>
      <c r="C845" t="s">
        <v>19</v>
      </c>
      <c r="D845">
        <v>0</v>
      </c>
    </row>
    <row r="846" spans="1:4" x14ac:dyDescent="0.35">
      <c r="A846" t="s">
        <v>26</v>
      </c>
      <c r="B846" t="s">
        <v>5</v>
      </c>
      <c r="C846" t="s">
        <v>19</v>
      </c>
      <c r="D846">
        <v>0</v>
      </c>
    </row>
    <row r="847" spans="1:4" x14ac:dyDescent="0.35">
      <c r="A847" t="s">
        <v>27</v>
      </c>
      <c r="B847" t="s">
        <v>5</v>
      </c>
      <c r="C847" t="s">
        <v>19</v>
      </c>
      <c r="D847">
        <v>0</v>
      </c>
    </row>
    <row r="848" spans="1:4" x14ac:dyDescent="0.35">
      <c r="A848" t="s">
        <v>28</v>
      </c>
      <c r="B848" t="s">
        <v>5</v>
      </c>
      <c r="C848" t="s">
        <v>19</v>
      </c>
      <c r="D848">
        <v>0</v>
      </c>
    </row>
    <row r="849" spans="1:4" x14ac:dyDescent="0.35">
      <c r="A849" t="s">
        <v>29</v>
      </c>
      <c r="B849" t="s">
        <v>5</v>
      </c>
      <c r="C849" t="s">
        <v>19</v>
      </c>
      <c r="D849">
        <v>0</v>
      </c>
    </row>
    <row r="850" spans="1:4" x14ac:dyDescent="0.35">
      <c r="A850" t="s">
        <v>30</v>
      </c>
      <c r="B850" t="s">
        <v>5</v>
      </c>
      <c r="C850" t="s">
        <v>19</v>
      </c>
      <c r="D850">
        <v>0</v>
      </c>
    </row>
    <row r="851" spans="1:4" x14ac:dyDescent="0.35">
      <c r="A851" t="s">
        <v>31</v>
      </c>
      <c r="B851" t="s">
        <v>5</v>
      </c>
      <c r="C851" t="s">
        <v>19</v>
      </c>
      <c r="D851">
        <v>0</v>
      </c>
    </row>
    <row r="852" spans="1:4" x14ac:dyDescent="0.35">
      <c r="A852" t="s">
        <v>32</v>
      </c>
      <c r="B852" t="s">
        <v>5</v>
      </c>
      <c r="C852" t="s">
        <v>19</v>
      </c>
      <c r="D852">
        <v>0</v>
      </c>
    </row>
    <row r="853" spans="1:4" x14ac:dyDescent="0.35">
      <c r="A853" t="s">
        <v>33</v>
      </c>
      <c r="B853" t="s">
        <v>5</v>
      </c>
      <c r="C853" t="s">
        <v>19</v>
      </c>
      <c r="D853">
        <v>0</v>
      </c>
    </row>
    <row r="854" spans="1:4" x14ac:dyDescent="0.35">
      <c r="A854" t="s">
        <v>34</v>
      </c>
      <c r="B854" t="s">
        <v>5</v>
      </c>
      <c r="C854" t="s">
        <v>19</v>
      </c>
      <c r="D854">
        <v>0</v>
      </c>
    </row>
    <row r="855" spans="1:4" x14ac:dyDescent="0.35">
      <c r="A855" t="s">
        <v>35</v>
      </c>
      <c r="B855" t="s">
        <v>5</v>
      </c>
      <c r="C855" t="s">
        <v>19</v>
      </c>
      <c r="D855">
        <v>0</v>
      </c>
    </row>
    <row r="856" spans="1:4" x14ac:dyDescent="0.35">
      <c r="A856" t="s">
        <v>36</v>
      </c>
      <c r="B856" t="s">
        <v>5</v>
      </c>
      <c r="C856" t="s">
        <v>19</v>
      </c>
      <c r="D856">
        <v>0</v>
      </c>
    </row>
    <row r="857" spans="1:4" x14ac:dyDescent="0.35">
      <c r="A857" t="s">
        <v>37</v>
      </c>
      <c r="B857" t="s">
        <v>5</v>
      </c>
      <c r="C857" t="s">
        <v>19</v>
      </c>
      <c r="D857">
        <v>0</v>
      </c>
    </row>
    <row r="858" spans="1:4" x14ac:dyDescent="0.35">
      <c r="A858" t="s">
        <v>38</v>
      </c>
      <c r="B858" t="s">
        <v>5</v>
      </c>
      <c r="C858" t="s">
        <v>19</v>
      </c>
      <c r="D858">
        <v>0</v>
      </c>
    </row>
    <row r="859" spans="1:4" x14ac:dyDescent="0.35">
      <c r="A859" t="s">
        <v>39</v>
      </c>
      <c r="B859" t="s">
        <v>5</v>
      </c>
      <c r="C859" t="s">
        <v>19</v>
      </c>
      <c r="D859">
        <v>0</v>
      </c>
    </row>
    <row r="860" spans="1:4" x14ac:dyDescent="0.35">
      <c r="A860" t="s">
        <v>7</v>
      </c>
      <c r="B860" t="s">
        <v>4</v>
      </c>
      <c r="C860" t="s">
        <v>20</v>
      </c>
      <c r="D860">
        <v>0</v>
      </c>
    </row>
    <row r="861" spans="1:4" x14ac:dyDescent="0.35">
      <c r="A861" t="s">
        <v>8</v>
      </c>
      <c r="B861" t="s">
        <v>4</v>
      </c>
      <c r="C861" t="s">
        <v>20</v>
      </c>
      <c r="D861">
        <v>0</v>
      </c>
    </row>
    <row r="862" spans="1:4" x14ac:dyDescent="0.35">
      <c r="A862" t="s">
        <v>9</v>
      </c>
      <c r="B862" t="s">
        <v>4</v>
      </c>
      <c r="C862" t="s">
        <v>20</v>
      </c>
      <c r="D862">
        <v>0</v>
      </c>
    </row>
    <row r="863" spans="1:4" x14ac:dyDescent="0.35">
      <c r="A863" t="s">
        <v>10</v>
      </c>
      <c r="B863" t="s">
        <v>4</v>
      </c>
      <c r="C863" t="s">
        <v>20</v>
      </c>
      <c r="D863">
        <v>0</v>
      </c>
    </row>
    <row r="864" spans="1:4" x14ac:dyDescent="0.35">
      <c r="A864" t="s">
        <v>11</v>
      </c>
      <c r="B864" t="s">
        <v>4</v>
      </c>
      <c r="C864" t="s">
        <v>20</v>
      </c>
      <c r="D864">
        <v>0</v>
      </c>
    </row>
    <row r="865" spans="1:4" x14ac:dyDescent="0.35">
      <c r="A865" t="s">
        <v>12</v>
      </c>
      <c r="B865" t="s">
        <v>4</v>
      </c>
      <c r="C865" t="s">
        <v>20</v>
      </c>
      <c r="D865">
        <v>0</v>
      </c>
    </row>
    <row r="866" spans="1:4" x14ac:dyDescent="0.35">
      <c r="A866" t="s">
        <v>13</v>
      </c>
      <c r="B866" t="s">
        <v>4</v>
      </c>
      <c r="C866" t="s">
        <v>20</v>
      </c>
      <c r="D866">
        <v>0</v>
      </c>
    </row>
    <row r="867" spans="1:4" x14ac:dyDescent="0.35">
      <c r="A867" t="s">
        <v>14</v>
      </c>
      <c r="B867" t="s">
        <v>4</v>
      </c>
      <c r="C867" t="s">
        <v>20</v>
      </c>
      <c r="D867">
        <v>0</v>
      </c>
    </row>
    <row r="868" spans="1:4" x14ac:dyDescent="0.35">
      <c r="A868" t="s">
        <v>15</v>
      </c>
      <c r="B868" t="s">
        <v>4</v>
      </c>
      <c r="C868" t="s">
        <v>20</v>
      </c>
      <c r="D868">
        <v>0</v>
      </c>
    </row>
    <row r="869" spans="1:4" x14ac:dyDescent="0.35">
      <c r="A869" t="s">
        <v>16</v>
      </c>
      <c r="B869" t="s">
        <v>4</v>
      </c>
      <c r="C869" t="s">
        <v>20</v>
      </c>
      <c r="D869">
        <v>0</v>
      </c>
    </row>
    <row r="870" spans="1:4" x14ac:dyDescent="0.35">
      <c r="A870" t="s">
        <v>17</v>
      </c>
      <c r="B870" t="s">
        <v>4</v>
      </c>
      <c r="C870" t="s">
        <v>20</v>
      </c>
      <c r="D870">
        <v>0</v>
      </c>
    </row>
    <row r="871" spans="1:4" x14ac:dyDescent="0.35">
      <c r="A871" t="s">
        <v>18</v>
      </c>
      <c r="B871" t="s">
        <v>4</v>
      </c>
      <c r="C871" t="s">
        <v>20</v>
      </c>
      <c r="D871">
        <v>0</v>
      </c>
    </row>
    <row r="872" spans="1:4" x14ac:dyDescent="0.35">
      <c r="A872" t="s">
        <v>19</v>
      </c>
      <c r="B872" t="s">
        <v>4</v>
      </c>
      <c r="C872" t="s">
        <v>20</v>
      </c>
      <c r="D872">
        <v>0</v>
      </c>
    </row>
    <row r="873" spans="1:4" x14ac:dyDescent="0.35">
      <c r="A873" t="s">
        <v>20</v>
      </c>
      <c r="B873" t="s">
        <v>4</v>
      </c>
      <c r="C873" t="s">
        <v>20</v>
      </c>
      <c r="D873">
        <v>0</v>
      </c>
    </row>
    <row r="874" spans="1:4" x14ac:dyDescent="0.35">
      <c r="A874" t="s">
        <v>21</v>
      </c>
      <c r="B874" t="s">
        <v>4</v>
      </c>
      <c r="C874" t="s">
        <v>20</v>
      </c>
      <c r="D874">
        <v>0</v>
      </c>
    </row>
    <row r="875" spans="1:4" x14ac:dyDescent="0.35">
      <c r="A875" t="s">
        <v>22</v>
      </c>
      <c r="B875" t="s">
        <v>4</v>
      </c>
      <c r="C875" t="s">
        <v>20</v>
      </c>
      <c r="D875">
        <v>0</v>
      </c>
    </row>
    <row r="876" spans="1:4" x14ac:dyDescent="0.35">
      <c r="A876" t="s">
        <v>23</v>
      </c>
      <c r="B876" t="s">
        <v>4</v>
      </c>
      <c r="C876" t="s">
        <v>20</v>
      </c>
      <c r="D876">
        <v>0</v>
      </c>
    </row>
    <row r="877" spans="1:4" x14ac:dyDescent="0.35">
      <c r="A877" t="s">
        <v>24</v>
      </c>
      <c r="B877" t="s">
        <v>4</v>
      </c>
      <c r="C877" t="s">
        <v>20</v>
      </c>
      <c r="D877">
        <v>0</v>
      </c>
    </row>
    <row r="878" spans="1:4" x14ac:dyDescent="0.35">
      <c r="A878" t="s">
        <v>25</v>
      </c>
      <c r="B878" t="s">
        <v>4</v>
      </c>
      <c r="C878" t="s">
        <v>20</v>
      </c>
      <c r="D878">
        <v>0</v>
      </c>
    </row>
    <row r="879" spans="1:4" x14ac:dyDescent="0.35">
      <c r="A879" t="s">
        <v>26</v>
      </c>
      <c r="B879" t="s">
        <v>4</v>
      </c>
      <c r="C879" t="s">
        <v>20</v>
      </c>
      <c r="D879">
        <v>0</v>
      </c>
    </row>
    <row r="880" spans="1:4" x14ac:dyDescent="0.35">
      <c r="A880" t="s">
        <v>27</v>
      </c>
      <c r="B880" t="s">
        <v>4</v>
      </c>
      <c r="C880" t="s">
        <v>20</v>
      </c>
      <c r="D880">
        <v>0</v>
      </c>
    </row>
    <row r="881" spans="1:4" x14ac:dyDescent="0.35">
      <c r="A881" t="s">
        <v>28</v>
      </c>
      <c r="B881" t="s">
        <v>4</v>
      </c>
      <c r="C881" t="s">
        <v>20</v>
      </c>
      <c r="D881">
        <v>0</v>
      </c>
    </row>
    <row r="882" spans="1:4" x14ac:dyDescent="0.35">
      <c r="A882" t="s">
        <v>29</v>
      </c>
      <c r="B882" t="s">
        <v>4</v>
      </c>
      <c r="C882" t="s">
        <v>20</v>
      </c>
      <c r="D882">
        <v>0</v>
      </c>
    </row>
    <row r="883" spans="1:4" x14ac:dyDescent="0.35">
      <c r="A883" t="s">
        <v>30</v>
      </c>
      <c r="B883" t="s">
        <v>4</v>
      </c>
      <c r="C883" t="s">
        <v>20</v>
      </c>
      <c r="D883">
        <v>0</v>
      </c>
    </row>
    <row r="884" spans="1:4" x14ac:dyDescent="0.35">
      <c r="A884" t="s">
        <v>31</v>
      </c>
      <c r="B884" t="s">
        <v>4</v>
      </c>
      <c r="C884" t="s">
        <v>20</v>
      </c>
      <c r="D884">
        <v>0</v>
      </c>
    </row>
    <row r="885" spans="1:4" x14ac:dyDescent="0.35">
      <c r="A885" t="s">
        <v>32</v>
      </c>
      <c r="B885" t="s">
        <v>4</v>
      </c>
      <c r="C885" t="s">
        <v>20</v>
      </c>
      <c r="D885">
        <v>0</v>
      </c>
    </row>
    <row r="886" spans="1:4" x14ac:dyDescent="0.35">
      <c r="A886" t="s">
        <v>33</v>
      </c>
      <c r="B886" t="s">
        <v>4</v>
      </c>
      <c r="C886" t="s">
        <v>20</v>
      </c>
      <c r="D886">
        <v>0</v>
      </c>
    </row>
    <row r="887" spans="1:4" x14ac:dyDescent="0.35">
      <c r="A887" t="s">
        <v>34</v>
      </c>
      <c r="B887" t="s">
        <v>4</v>
      </c>
      <c r="C887" t="s">
        <v>20</v>
      </c>
      <c r="D887">
        <v>0</v>
      </c>
    </row>
    <row r="888" spans="1:4" x14ac:dyDescent="0.35">
      <c r="A888" t="s">
        <v>35</v>
      </c>
      <c r="B888" t="s">
        <v>4</v>
      </c>
      <c r="C888" t="s">
        <v>20</v>
      </c>
      <c r="D888">
        <v>0</v>
      </c>
    </row>
    <row r="889" spans="1:4" x14ac:dyDescent="0.35">
      <c r="A889" t="s">
        <v>36</v>
      </c>
      <c r="B889" t="s">
        <v>4</v>
      </c>
      <c r="C889" t="s">
        <v>20</v>
      </c>
      <c r="D889">
        <v>0</v>
      </c>
    </row>
    <row r="890" spans="1:4" x14ac:dyDescent="0.35">
      <c r="A890" t="s">
        <v>37</v>
      </c>
      <c r="B890" t="s">
        <v>4</v>
      </c>
      <c r="C890" t="s">
        <v>20</v>
      </c>
      <c r="D890">
        <v>0</v>
      </c>
    </row>
    <row r="891" spans="1:4" x14ac:dyDescent="0.35">
      <c r="A891" t="s">
        <v>38</v>
      </c>
      <c r="B891" t="s">
        <v>4</v>
      </c>
      <c r="C891" t="s">
        <v>20</v>
      </c>
      <c r="D891">
        <v>0</v>
      </c>
    </row>
    <row r="892" spans="1:4" x14ac:dyDescent="0.35">
      <c r="A892" t="s">
        <v>39</v>
      </c>
      <c r="B892" t="s">
        <v>4</v>
      </c>
      <c r="C892" t="s">
        <v>20</v>
      </c>
      <c r="D892">
        <v>0</v>
      </c>
    </row>
    <row r="893" spans="1:4" x14ac:dyDescent="0.35">
      <c r="A893" t="s">
        <v>7</v>
      </c>
      <c r="B893" t="s">
        <v>5</v>
      </c>
      <c r="C893" t="s">
        <v>20</v>
      </c>
      <c r="D893">
        <v>0</v>
      </c>
    </row>
    <row r="894" spans="1:4" x14ac:dyDescent="0.35">
      <c r="A894" t="s">
        <v>8</v>
      </c>
      <c r="B894" t="s">
        <v>5</v>
      </c>
      <c r="C894" t="s">
        <v>20</v>
      </c>
      <c r="D894">
        <v>0</v>
      </c>
    </row>
    <row r="895" spans="1:4" x14ac:dyDescent="0.35">
      <c r="A895" t="s">
        <v>9</v>
      </c>
      <c r="B895" t="s">
        <v>5</v>
      </c>
      <c r="C895" t="s">
        <v>20</v>
      </c>
      <c r="D895">
        <v>0</v>
      </c>
    </row>
    <row r="896" spans="1:4" x14ac:dyDescent="0.35">
      <c r="A896" t="s">
        <v>10</v>
      </c>
      <c r="B896" t="s">
        <v>5</v>
      </c>
      <c r="C896" t="s">
        <v>20</v>
      </c>
      <c r="D896">
        <v>0</v>
      </c>
    </row>
    <row r="897" spans="1:4" x14ac:dyDescent="0.35">
      <c r="A897" t="s">
        <v>11</v>
      </c>
      <c r="B897" t="s">
        <v>5</v>
      </c>
      <c r="C897" t="s">
        <v>20</v>
      </c>
      <c r="D897">
        <v>0</v>
      </c>
    </row>
    <row r="898" spans="1:4" x14ac:dyDescent="0.35">
      <c r="A898" t="s">
        <v>12</v>
      </c>
      <c r="B898" t="s">
        <v>5</v>
      </c>
      <c r="C898" t="s">
        <v>20</v>
      </c>
      <c r="D898">
        <v>0</v>
      </c>
    </row>
    <row r="899" spans="1:4" x14ac:dyDescent="0.35">
      <c r="A899" t="s">
        <v>13</v>
      </c>
      <c r="B899" t="s">
        <v>5</v>
      </c>
      <c r="C899" t="s">
        <v>20</v>
      </c>
      <c r="D899">
        <v>0</v>
      </c>
    </row>
    <row r="900" spans="1:4" x14ac:dyDescent="0.35">
      <c r="A900" t="s">
        <v>14</v>
      </c>
      <c r="B900" t="s">
        <v>5</v>
      </c>
      <c r="C900" t="s">
        <v>20</v>
      </c>
      <c r="D900">
        <v>0</v>
      </c>
    </row>
    <row r="901" spans="1:4" x14ac:dyDescent="0.35">
      <c r="A901" t="s">
        <v>15</v>
      </c>
      <c r="B901" t="s">
        <v>5</v>
      </c>
      <c r="C901" t="s">
        <v>20</v>
      </c>
      <c r="D901">
        <v>0</v>
      </c>
    </row>
    <row r="902" spans="1:4" x14ac:dyDescent="0.35">
      <c r="A902" t="s">
        <v>16</v>
      </c>
      <c r="B902" t="s">
        <v>5</v>
      </c>
      <c r="C902" t="s">
        <v>20</v>
      </c>
      <c r="D902">
        <v>0</v>
      </c>
    </row>
    <row r="903" spans="1:4" x14ac:dyDescent="0.35">
      <c r="A903" t="s">
        <v>17</v>
      </c>
      <c r="B903" t="s">
        <v>5</v>
      </c>
      <c r="C903" t="s">
        <v>20</v>
      </c>
      <c r="D903">
        <v>0</v>
      </c>
    </row>
    <row r="904" spans="1:4" x14ac:dyDescent="0.35">
      <c r="A904" t="s">
        <v>18</v>
      </c>
      <c r="B904" t="s">
        <v>5</v>
      </c>
      <c r="C904" t="s">
        <v>20</v>
      </c>
      <c r="D904">
        <v>0</v>
      </c>
    </row>
    <row r="905" spans="1:4" x14ac:dyDescent="0.35">
      <c r="A905" t="s">
        <v>19</v>
      </c>
      <c r="B905" t="s">
        <v>5</v>
      </c>
      <c r="C905" t="s">
        <v>20</v>
      </c>
      <c r="D905">
        <v>0</v>
      </c>
    </row>
    <row r="906" spans="1:4" x14ac:dyDescent="0.35">
      <c r="A906" t="s">
        <v>20</v>
      </c>
      <c r="B906" t="s">
        <v>5</v>
      </c>
      <c r="C906" t="s">
        <v>20</v>
      </c>
      <c r="D906">
        <v>0</v>
      </c>
    </row>
    <row r="907" spans="1:4" x14ac:dyDescent="0.35">
      <c r="A907" t="s">
        <v>21</v>
      </c>
      <c r="B907" t="s">
        <v>5</v>
      </c>
      <c r="C907" t="s">
        <v>20</v>
      </c>
      <c r="D907">
        <v>0</v>
      </c>
    </row>
    <row r="908" spans="1:4" x14ac:dyDescent="0.35">
      <c r="A908" t="s">
        <v>22</v>
      </c>
      <c r="B908" t="s">
        <v>5</v>
      </c>
      <c r="C908" t="s">
        <v>20</v>
      </c>
      <c r="D908">
        <v>0</v>
      </c>
    </row>
    <row r="909" spans="1:4" x14ac:dyDescent="0.35">
      <c r="A909" t="s">
        <v>23</v>
      </c>
      <c r="B909" t="s">
        <v>5</v>
      </c>
      <c r="C909" t="s">
        <v>20</v>
      </c>
      <c r="D909">
        <v>0</v>
      </c>
    </row>
    <row r="910" spans="1:4" x14ac:dyDescent="0.35">
      <c r="A910" t="s">
        <v>24</v>
      </c>
      <c r="B910" t="s">
        <v>5</v>
      </c>
      <c r="C910" t="s">
        <v>20</v>
      </c>
      <c r="D910">
        <v>0</v>
      </c>
    </row>
    <row r="911" spans="1:4" x14ac:dyDescent="0.35">
      <c r="A911" t="s">
        <v>25</v>
      </c>
      <c r="B911" t="s">
        <v>5</v>
      </c>
      <c r="C911" t="s">
        <v>20</v>
      </c>
      <c r="D911">
        <v>0</v>
      </c>
    </row>
    <row r="912" spans="1:4" x14ac:dyDescent="0.35">
      <c r="A912" t="s">
        <v>26</v>
      </c>
      <c r="B912" t="s">
        <v>5</v>
      </c>
      <c r="C912" t="s">
        <v>20</v>
      </c>
      <c r="D912">
        <v>0</v>
      </c>
    </row>
    <row r="913" spans="1:4" x14ac:dyDescent="0.35">
      <c r="A913" t="s">
        <v>27</v>
      </c>
      <c r="B913" t="s">
        <v>5</v>
      </c>
      <c r="C913" t="s">
        <v>20</v>
      </c>
      <c r="D913">
        <v>0</v>
      </c>
    </row>
    <row r="914" spans="1:4" x14ac:dyDescent="0.35">
      <c r="A914" t="s">
        <v>28</v>
      </c>
      <c r="B914" t="s">
        <v>5</v>
      </c>
      <c r="C914" t="s">
        <v>20</v>
      </c>
      <c r="D914">
        <v>0</v>
      </c>
    </row>
    <row r="915" spans="1:4" x14ac:dyDescent="0.35">
      <c r="A915" t="s">
        <v>29</v>
      </c>
      <c r="B915" t="s">
        <v>5</v>
      </c>
      <c r="C915" t="s">
        <v>20</v>
      </c>
      <c r="D915">
        <v>0</v>
      </c>
    </row>
    <row r="916" spans="1:4" x14ac:dyDescent="0.35">
      <c r="A916" t="s">
        <v>30</v>
      </c>
      <c r="B916" t="s">
        <v>5</v>
      </c>
      <c r="C916" t="s">
        <v>20</v>
      </c>
      <c r="D916">
        <v>0</v>
      </c>
    </row>
    <row r="917" spans="1:4" x14ac:dyDescent="0.35">
      <c r="A917" t="s">
        <v>31</v>
      </c>
      <c r="B917" t="s">
        <v>5</v>
      </c>
      <c r="C917" t="s">
        <v>20</v>
      </c>
      <c r="D917">
        <v>0</v>
      </c>
    </row>
    <row r="918" spans="1:4" x14ac:dyDescent="0.35">
      <c r="A918" t="s">
        <v>32</v>
      </c>
      <c r="B918" t="s">
        <v>5</v>
      </c>
      <c r="C918" t="s">
        <v>20</v>
      </c>
      <c r="D918">
        <v>0</v>
      </c>
    </row>
    <row r="919" spans="1:4" x14ac:dyDescent="0.35">
      <c r="A919" t="s">
        <v>33</v>
      </c>
      <c r="B919" t="s">
        <v>5</v>
      </c>
      <c r="C919" t="s">
        <v>20</v>
      </c>
      <c r="D919">
        <v>0</v>
      </c>
    </row>
    <row r="920" spans="1:4" x14ac:dyDescent="0.35">
      <c r="A920" t="s">
        <v>34</v>
      </c>
      <c r="B920" t="s">
        <v>5</v>
      </c>
      <c r="C920" t="s">
        <v>20</v>
      </c>
      <c r="D920">
        <v>0</v>
      </c>
    </row>
    <row r="921" spans="1:4" x14ac:dyDescent="0.35">
      <c r="A921" t="s">
        <v>35</v>
      </c>
      <c r="B921" t="s">
        <v>5</v>
      </c>
      <c r="C921" t="s">
        <v>20</v>
      </c>
      <c r="D921">
        <v>0</v>
      </c>
    </row>
    <row r="922" spans="1:4" x14ac:dyDescent="0.35">
      <c r="A922" t="s">
        <v>36</v>
      </c>
      <c r="B922" t="s">
        <v>5</v>
      </c>
      <c r="C922" t="s">
        <v>20</v>
      </c>
      <c r="D922">
        <v>0</v>
      </c>
    </row>
    <row r="923" spans="1:4" x14ac:dyDescent="0.35">
      <c r="A923" t="s">
        <v>37</v>
      </c>
      <c r="B923" t="s">
        <v>5</v>
      </c>
      <c r="C923" t="s">
        <v>20</v>
      </c>
      <c r="D923">
        <v>0</v>
      </c>
    </row>
    <row r="924" spans="1:4" x14ac:dyDescent="0.35">
      <c r="A924" t="s">
        <v>38</v>
      </c>
      <c r="B924" t="s">
        <v>5</v>
      </c>
      <c r="C924" t="s">
        <v>20</v>
      </c>
      <c r="D924">
        <v>0</v>
      </c>
    </row>
    <row r="925" spans="1:4" x14ac:dyDescent="0.35">
      <c r="A925" t="s">
        <v>39</v>
      </c>
      <c r="B925" t="s">
        <v>5</v>
      </c>
      <c r="C925" t="s">
        <v>20</v>
      </c>
      <c r="D925">
        <v>0</v>
      </c>
    </row>
    <row r="926" spans="1:4" x14ac:dyDescent="0.35">
      <c r="A926" t="s">
        <v>7</v>
      </c>
      <c r="B926" t="s">
        <v>4</v>
      </c>
      <c r="C926" t="s">
        <v>21</v>
      </c>
      <c r="D926">
        <v>0</v>
      </c>
    </row>
    <row r="927" spans="1:4" x14ac:dyDescent="0.35">
      <c r="A927" t="s">
        <v>8</v>
      </c>
      <c r="B927" t="s">
        <v>4</v>
      </c>
      <c r="C927" t="s">
        <v>21</v>
      </c>
      <c r="D927">
        <v>0</v>
      </c>
    </row>
    <row r="928" spans="1:4" x14ac:dyDescent="0.35">
      <c r="A928" t="s">
        <v>9</v>
      </c>
      <c r="B928" t="s">
        <v>4</v>
      </c>
      <c r="C928" t="s">
        <v>21</v>
      </c>
      <c r="D928">
        <v>0</v>
      </c>
    </row>
    <row r="929" spans="1:4" x14ac:dyDescent="0.35">
      <c r="A929" t="s">
        <v>10</v>
      </c>
      <c r="B929" t="s">
        <v>4</v>
      </c>
      <c r="C929" t="s">
        <v>21</v>
      </c>
      <c r="D929">
        <v>0</v>
      </c>
    </row>
    <row r="930" spans="1:4" x14ac:dyDescent="0.35">
      <c r="A930" t="s">
        <v>11</v>
      </c>
      <c r="B930" t="s">
        <v>4</v>
      </c>
      <c r="C930" t="s">
        <v>21</v>
      </c>
      <c r="D930">
        <v>0</v>
      </c>
    </row>
    <row r="931" spans="1:4" x14ac:dyDescent="0.35">
      <c r="A931" t="s">
        <v>12</v>
      </c>
      <c r="B931" t="s">
        <v>4</v>
      </c>
      <c r="C931" t="s">
        <v>21</v>
      </c>
      <c r="D931">
        <v>0</v>
      </c>
    </row>
    <row r="932" spans="1:4" x14ac:dyDescent="0.35">
      <c r="A932" t="s">
        <v>13</v>
      </c>
      <c r="B932" t="s">
        <v>4</v>
      </c>
      <c r="C932" t="s">
        <v>21</v>
      </c>
      <c r="D932">
        <v>0</v>
      </c>
    </row>
    <row r="933" spans="1:4" x14ac:dyDescent="0.35">
      <c r="A933" t="s">
        <v>14</v>
      </c>
      <c r="B933" t="s">
        <v>4</v>
      </c>
      <c r="C933" t="s">
        <v>21</v>
      </c>
      <c r="D933">
        <v>0</v>
      </c>
    </row>
    <row r="934" spans="1:4" x14ac:dyDescent="0.35">
      <c r="A934" t="s">
        <v>15</v>
      </c>
      <c r="B934" t="s">
        <v>4</v>
      </c>
      <c r="C934" t="s">
        <v>21</v>
      </c>
      <c r="D934">
        <v>0</v>
      </c>
    </row>
    <row r="935" spans="1:4" x14ac:dyDescent="0.35">
      <c r="A935" t="s">
        <v>16</v>
      </c>
      <c r="B935" t="s">
        <v>4</v>
      </c>
      <c r="C935" t="s">
        <v>21</v>
      </c>
      <c r="D935">
        <v>0</v>
      </c>
    </row>
    <row r="936" spans="1:4" x14ac:dyDescent="0.35">
      <c r="A936" t="s">
        <v>17</v>
      </c>
      <c r="B936" t="s">
        <v>4</v>
      </c>
      <c r="C936" t="s">
        <v>21</v>
      </c>
      <c r="D936">
        <v>0</v>
      </c>
    </row>
    <row r="937" spans="1:4" x14ac:dyDescent="0.35">
      <c r="A937" t="s">
        <v>18</v>
      </c>
      <c r="B937" t="s">
        <v>4</v>
      </c>
      <c r="C937" t="s">
        <v>21</v>
      </c>
      <c r="D937">
        <v>0</v>
      </c>
    </row>
    <row r="938" spans="1:4" x14ac:dyDescent="0.35">
      <c r="A938" t="s">
        <v>19</v>
      </c>
      <c r="B938" t="s">
        <v>4</v>
      </c>
      <c r="C938" t="s">
        <v>21</v>
      </c>
      <c r="D938">
        <v>0</v>
      </c>
    </row>
    <row r="939" spans="1:4" x14ac:dyDescent="0.35">
      <c r="A939" t="s">
        <v>20</v>
      </c>
      <c r="B939" t="s">
        <v>4</v>
      </c>
      <c r="C939" t="s">
        <v>21</v>
      </c>
      <c r="D939">
        <v>0</v>
      </c>
    </row>
    <row r="940" spans="1:4" x14ac:dyDescent="0.35">
      <c r="A940" t="s">
        <v>21</v>
      </c>
      <c r="B940" t="s">
        <v>4</v>
      </c>
      <c r="C940" t="s">
        <v>21</v>
      </c>
      <c r="D940">
        <v>0</v>
      </c>
    </row>
    <row r="941" spans="1:4" x14ac:dyDescent="0.35">
      <c r="A941" t="s">
        <v>22</v>
      </c>
      <c r="B941" t="s">
        <v>4</v>
      </c>
      <c r="C941" t="s">
        <v>21</v>
      </c>
      <c r="D941">
        <v>0</v>
      </c>
    </row>
    <row r="942" spans="1:4" x14ac:dyDescent="0.35">
      <c r="A942" t="s">
        <v>23</v>
      </c>
      <c r="B942" t="s">
        <v>4</v>
      </c>
      <c r="C942" t="s">
        <v>21</v>
      </c>
      <c r="D942">
        <v>0</v>
      </c>
    </row>
    <row r="943" spans="1:4" x14ac:dyDescent="0.35">
      <c r="A943" t="s">
        <v>24</v>
      </c>
      <c r="B943" t="s">
        <v>4</v>
      </c>
      <c r="C943" t="s">
        <v>21</v>
      </c>
      <c r="D943">
        <v>0</v>
      </c>
    </row>
    <row r="944" spans="1:4" x14ac:dyDescent="0.35">
      <c r="A944" t="s">
        <v>25</v>
      </c>
      <c r="B944" t="s">
        <v>4</v>
      </c>
      <c r="C944" t="s">
        <v>21</v>
      </c>
      <c r="D944">
        <v>0</v>
      </c>
    </row>
    <row r="945" spans="1:4" x14ac:dyDescent="0.35">
      <c r="A945" t="s">
        <v>26</v>
      </c>
      <c r="B945" t="s">
        <v>4</v>
      </c>
      <c r="C945" t="s">
        <v>21</v>
      </c>
      <c r="D945">
        <v>0</v>
      </c>
    </row>
    <row r="946" spans="1:4" x14ac:dyDescent="0.35">
      <c r="A946" t="s">
        <v>27</v>
      </c>
      <c r="B946" t="s">
        <v>4</v>
      </c>
      <c r="C946" t="s">
        <v>21</v>
      </c>
      <c r="D946">
        <v>0</v>
      </c>
    </row>
    <row r="947" spans="1:4" x14ac:dyDescent="0.35">
      <c r="A947" t="s">
        <v>28</v>
      </c>
      <c r="B947" t="s">
        <v>4</v>
      </c>
      <c r="C947" t="s">
        <v>21</v>
      </c>
      <c r="D947">
        <v>0</v>
      </c>
    </row>
    <row r="948" spans="1:4" x14ac:dyDescent="0.35">
      <c r="A948" t="s">
        <v>29</v>
      </c>
      <c r="B948" t="s">
        <v>4</v>
      </c>
      <c r="C948" t="s">
        <v>21</v>
      </c>
      <c r="D948">
        <v>0</v>
      </c>
    </row>
    <row r="949" spans="1:4" x14ac:dyDescent="0.35">
      <c r="A949" t="s">
        <v>30</v>
      </c>
      <c r="B949" t="s">
        <v>4</v>
      </c>
      <c r="C949" t="s">
        <v>21</v>
      </c>
      <c r="D949">
        <v>0</v>
      </c>
    </row>
    <row r="950" spans="1:4" x14ac:dyDescent="0.35">
      <c r="A950" t="s">
        <v>31</v>
      </c>
      <c r="B950" t="s">
        <v>4</v>
      </c>
      <c r="C950" t="s">
        <v>21</v>
      </c>
      <c r="D950">
        <v>0</v>
      </c>
    </row>
    <row r="951" spans="1:4" x14ac:dyDescent="0.35">
      <c r="A951" t="s">
        <v>32</v>
      </c>
      <c r="B951" t="s">
        <v>4</v>
      </c>
      <c r="C951" t="s">
        <v>21</v>
      </c>
      <c r="D951">
        <v>0</v>
      </c>
    </row>
    <row r="952" spans="1:4" x14ac:dyDescent="0.35">
      <c r="A952" t="s">
        <v>33</v>
      </c>
      <c r="B952" t="s">
        <v>4</v>
      </c>
      <c r="C952" t="s">
        <v>21</v>
      </c>
      <c r="D952">
        <v>0</v>
      </c>
    </row>
    <row r="953" spans="1:4" x14ac:dyDescent="0.35">
      <c r="A953" t="s">
        <v>34</v>
      </c>
      <c r="B953" t="s">
        <v>4</v>
      </c>
      <c r="C953" t="s">
        <v>21</v>
      </c>
      <c r="D953">
        <v>0</v>
      </c>
    </row>
    <row r="954" spans="1:4" x14ac:dyDescent="0.35">
      <c r="A954" t="s">
        <v>35</v>
      </c>
      <c r="B954" t="s">
        <v>4</v>
      </c>
      <c r="C954" t="s">
        <v>21</v>
      </c>
      <c r="D954">
        <v>0</v>
      </c>
    </row>
    <row r="955" spans="1:4" x14ac:dyDescent="0.35">
      <c r="A955" t="s">
        <v>36</v>
      </c>
      <c r="B955" t="s">
        <v>4</v>
      </c>
      <c r="C955" t="s">
        <v>21</v>
      </c>
      <c r="D955">
        <v>0</v>
      </c>
    </row>
    <row r="956" spans="1:4" x14ac:dyDescent="0.35">
      <c r="A956" t="s">
        <v>37</v>
      </c>
      <c r="B956" t="s">
        <v>4</v>
      </c>
      <c r="C956" t="s">
        <v>21</v>
      </c>
      <c r="D956">
        <v>0</v>
      </c>
    </row>
    <row r="957" spans="1:4" x14ac:dyDescent="0.35">
      <c r="A957" t="s">
        <v>38</v>
      </c>
      <c r="B957" t="s">
        <v>4</v>
      </c>
      <c r="C957" t="s">
        <v>21</v>
      </c>
      <c r="D957">
        <v>0</v>
      </c>
    </row>
    <row r="958" spans="1:4" x14ac:dyDescent="0.35">
      <c r="A958" t="s">
        <v>39</v>
      </c>
      <c r="B958" t="s">
        <v>4</v>
      </c>
      <c r="C958" t="s">
        <v>21</v>
      </c>
      <c r="D958">
        <v>0</v>
      </c>
    </row>
    <row r="959" spans="1:4" x14ac:dyDescent="0.35">
      <c r="A959" t="s">
        <v>7</v>
      </c>
      <c r="B959" t="s">
        <v>5</v>
      </c>
      <c r="C959" t="s">
        <v>21</v>
      </c>
      <c r="D959">
        <v>0</v>
      </c>
    </row>
    <row r="960" spans="1:4" x14ac:dyDescent="0.35">
      <c r="A960" t="s">
        <v>8</v>
      </c>
      <c r="B960" t="s">
        <v>5</v>
      </c>
      <c r="C960" t="s">
        <v>21</v>
      </c>
      <c r="D960">
        <v>0</v>
      </c>
    </row>
    <row r="961" spans="1:4" x14ac:dyDescent="0.35">
      <c r="A961" t="s">
        <v>9</v>
      </c>
      <c r="B961" t="s">
        <v>5</v>
      </c>
      <c r="C961" t="s">
        <v>21</v>
      </c>
      <c r="D961">
        <v>0</v>
      </c>
    </row>
    <row r="962" spans="1:4" x14ac:dyDescent="0.35">
      <c r="A962" t="s">
        <v>10</v>
      </c>
      <c r="B962" t="s">
        <v>5</v>
      </c>
      <c r="C962" t="s">
        <v>21</v>
      </c>
      <c r="D962">
        <v>0</v>
      </c>
    </row>
    <row r="963" spans="1:4" x14ac:dyDescent="0.35">
      <c r="A963" t="s">
        <v>11</v>
      </c>
      <c r="B963" t="s">
        <v>5</v>
      </c>
      <c r="C963" t="s">
        <v>21</v>
      </c>
      <c r="D963">
        <v>0</v>
      </c>
    </row>
    <row r="964" spans="1:4" x14ac:dyDescent="0.35">
      <c r="A964" t="s">
        <v>12</v>
      </c>
      <c r="B964" t="s">
        <v>5</v>
      </c>
      <c r="C964" t="s">
        <v>21</v>
      </c>
      <c r="D964">
        <v>0</v>
      </c>
    </row>
    <row r="965" spans="1:4" x14ac:dyDescent="0.35">
      <c r="A965" t="s">
        <v>13</v>
      </c>
      <c r="B965" t="s">
        <v>5</v>
      </c>
      <c r="C965" t="s">
        <v>21</v>
      </c>
      <c r="D965">
        <v>0</v>
      </c>
    </row>
    <row r="966" spans="1:4" x14ac:dyDescent="0.35">
      <c r="A966" t="s">
        <v>14</v>
      </c>
      <c r="B966" t="s">
        <v>5</v>
      </c>
      <c r="C966" t="s">
        <v>21</v>
      </c>
      <c r="D966">
        <v>0</v>
      </c>
    </row>
    <row r="967" spans="1:4" x14ac:dyDescent="0.35">
      <c r="A967" t="s">
        <v>15</v>
      </c>
      <c r="B967" t="s">
        <v>5</v>
      </c>
      <c r="C967" t="s">
        <v>21</v>
      </c>
      <c r="D967">
        <v>0</v>
      </c>
    </row>
    <row r="968" spans="1:4" x14ac:dyDescent="0.35">
      <c r="A968" t="s">
        <v>16</v>
      </c>
      <c r="B968" t="s">
        <v>5</v>
      </c>
      <c r="C968" t="s">
        <v>21</v>
      </c>
      <c r="D968">
        <v>0</v>
      </c>
    </row>
    <row r="969" spans="1:4" x14ac:dyDescent="0.35">
      <c r="A969" t="s">
        <v>17</v>
      </c>
      <c r="B969" t="s">
        <v>5</v>
      </c>
      <c r="C969" t="s">
        <v>21</v>
      </c>
      <c r="D969">
        <v>0</v>
      </c>
    </row>
    <row r="970" spans="1:4" x14ac:dyDescent="0.35">
      <c r="A970" t="s">
        <v>18</v>
      </c>
      <c r="B970" t="s">
        <v>5</v>
      </c>
      <c r="C970" t="s">
        <v>21</v>
      </c>
      <c r="D970">
        <v>0</v>
      </c>
    </row>
    <row r="971" spans="1:4" x14ac:dyDescent="0.35">
      <c r="A971" t="s">
        <v>19</v>
      </c>
      <c r="B971" t="s">
        <v>5</v>
      </c>
      <c r="C971" t="s">
        <v>21</v>
      </c>
      <c r="D971">
        <v>0</v>
      </c>
    </row>
    <row r="972" spans="1:4" x14ac:dyDescent="0.35">
      <c r="A972" t="s">
        <v>20</v>
      </c>
      <c r="B972" t="s">
        <v>5</v>
      </c>
      <c r="C972" t="s">
        <v>21</v>
      </c>
      <c r="D972">
        <v>0</v>
      </c>
    </row>
    <row r="973" spans="1:4" x14ac:dyDescent="0.35">
      <c r="A973" t="s">
        <v>21</v>
      </c>
      <c r="B973" t="s">
        <v>5</v>
      </c>
      <c r="C973" t="s">
        <v>21</v>
      </c>
      <c r="D973">
        <v>0</v>
      </c>
    </row>
    <row r="974" spans="1:4" x14ac:dyDescent="0.35">
      <c r="A974" t="s">
        <v>22</v>
      </c>
      <c r="B974" t="s">
        <v>5</v>
      </c>
      <c r="C974" t="s">
        <v>21</v>
      </c>
      <c r="D974">
        <v>0</v>
      </c>
    </row>
    <row r="975" spans="1:4" x14ac:dyDescent="0.35">
      <c r="A975" t="s">
        <v>23</v>
      </c>
      <c r="B975" t="s">
        <v>5</v>
      </c>
      <c r="C975" t="s">
        <v>21</v>
      </c>
      <c r="D975">
        <v>0</v>
      </c>
    </row>
    <row r="976" spans="1:4" x14ac:dyDescent="0.35">
      <c r="A976" t="s">
        <v>24</v>
      </c>
      <c r="B976" t="s">
        <v>5</v>
      </c>
      <c r="C976" t="s">
        <v>21</v>
      </c>
      <c r="D976">
        <v>0</v>
      </c>
    </row>
    <row r="977" spans="1:4" x14ac:dyDescent="0.35">
      <c r="A977" t="s">
        <v>25</v>
      </c>
      <c r="B977" t="s">
        <v>5</v>
      </c>
      <c r="C977" t="s">
        <v>21</v>
      </c>
      <c r="D977">
        <v>0</v>
      </c>
    </row>
    <row r="978" spans="1:4" x14ac:dyDescent="0.35">
      <c r="A978" t="s">
        <v>26</v>
      </c>
      <c r="B978" t="s">
        <v>5</v>
      </c>
      <c r="C978" t="s">
        <v>21</v>
      </c>
      <c r="D978">
        <v>0</v>
      </c>
    </row>
    <row r="979" spans="1:4" x14ac:dyDescent="0.35">
      <c r="A979" t="s">
        <v>27</v>
      </c>
      <c r="B979" t="s">
        <v>5</v>
      </c>
      <c r="C979" t="s">
        <v>21</v>
      </c>
      <c r="D979">
        <v>0</v>
      </c>
    </row>
    <row r="980" spans="1:4" x14ac:dyDescent="0.35">
      <c r="A980" t="s">
        <v>28</v>
      </c>
      <c r="B980" t="s">
        <v>5</v>
      </c>
      <c r="C980" t="s">
        <v>21</v>
      </c>
      <c r="D980">
        <v>0</v>
      </c>
    </row>
    <row r="981" spans="1:4" x14ac:dyDescent="0.35">
      <c r="A981" t="s">
        <v>29</v>
      </c>
      <c r="B981" t="s">
        <v>5</v>
      </c>
      <c r="C981" t="s">
        <v>21</v>
      </c>
      <c r="D981">
        <v>0</v>
      </c>
    </row>
    <row r="982" spans="1:4" x14ac:dyDescent="0.35">
      <c r="A982" t="s">
        <v>30</v>
      </c>
      <c r="B982" t="s">
        <v>5</v>
      </c>
      <c r="C982" t="s">
        <v>21</v>
      </c>
      <c r="D982">
        <v>0</v>
      </c>
    </row>
    <row r="983" spans="1:4" x14ac:dyDescent="0.35">
      <c r="A983" t="s">
        <v>31</v>
      </c>
      <c r="B983" t="s">
        <v>5</v>
      </c>
      <c r="C983" t="s">
        <v>21</v>
      </c>
      <c r="D983">
        <v>0</v>
      </c>
    </row>
    <row r="984" spans="1:4" x14ac:dyDescent="0.35">
      <c r="A984" t="s">
        <v>32</v>
      </c>
      <c r="B984" t="s">
        <v>5</v>
      </c>
      <c r="C984" t="s">
        <v>21</v>
      </c>
      <c r="D984">
        <v>0</v>
      </c>
    </row>
    <row r="985" spans="1:4" x14ac:dyDescent="0.35">
      <c r="A985" t="s">
        <v>33</v>
      </c>
      <c r="B985" t="s">
        <v>5</v>
      </c>
      <c r="C985" t="s">
        <v>21</v>
      </c>
      <c r="D985">
        <v>0</v>
      </c>
    </row>
    <row r="986" spans="1:4" x14ac:dyDescent="0.35">
      <c r="A986" t="s">
        <v>34</v>
      </c>
      <c r="B986" t="s">
        <v>5</v>
      </c>
      <c r="C986" t="s">
        <v>21</v>
      </c>
      <c r="D986">
        <v>0</v>
      </c>
    </row>
    <row r="987" spans="1:4" x14ac:dyDescent="0.35">
      <c r="A987" t="s">
        <v>35</v>
      </c>
      <c r="B987" t="s">
        <v>5</v>
      </c>
      <c r="C987" t="s">
        <v>21</v>
      </c>
      <c r="D987">
        <v>0</v>
      </c>
    </row>
    <row r="988" spans="1:4" x14ac:dyDescent="0.35">
      <c r="A988" t="s">
        <v>36</v>
      </c>
      <c r="B988" t="s">
        <v>5</v>
      </c>
      <c r="C988" t="s">
        <v>21</v>
      </c>
      <c r="D988">
        <v>0</v>
      </c>
    </row>
    <row r="989" spans="1:4" x14ac:dyDescent="0.35">
      <c r="A989" t="s">
        <v>37</v>
      </c>
      <c r="B989" t="s">
        <v>5</v>
      </c>
      <c r="C989" t="s">
        <v>21</v>
      </c>
      <c r="D989">
        <v>0</v>
      </c>
    </row>
    <row r="990" spans="1:4" x14ac:dyDescent="0.35">
      <c r="A990" t="s">
        <v>38</v>
      </c>
      <c r="B990" t="s">
        <v>5</v>
      </c>
      <c r="C990" t="s">
        <v>21</v>
      </c>
      <c r="D990">
        <v>0</v>
      </c>
    </row>
    <row r="991" spans="1:4" x14ac:dyDescent="0.35">
      <c r="A991" t="s">
        <v>39</v>
      </c>
      <c r="B991" t="s">
        <v>5</v>
      </c>
      <c r="C991" t="s">
        <v>21</v>
      </c>
      <c r="D991">
        <v>0</v>
      </c>
    </row>
    <row r="992" spans="1:4" x14ac:dyDescent="0.35">
      <c r="A992" t="s">
        <v>7</v>
      </c>
      <c r="B992" t="s">
        <v>4</v>
      </c>
      <c r="C992" t="s">
        <v>22</v>
      </c>
      <c r="D992">
        <v>0</v>
      </c>
    </row>
    <row r="993" spans="1:4" x14ac:dyDescent="0.35">
      <c r="A993" t="s">
        <v>8</v>
      </c>
      <c r="B993" t="s">
        <v>4</v>
      </c>
      <c r="C993" t="s">
        <v>22</v>
      </c>
      <c r="D993">
        <v>0</v>
      </c>
    </row>
    <row r="994" spans="1:4" x14ac:dyDescent="0.35">
      <c r="A994" t="s">
        <v>9</v>
      </c>
      <c r="B994" t="s">
        <v>4</v>
      </c>
      <c r="C994" t="s">
        <v>22</v>
      </c>
      <c r="D994">
        <v>0</v>
      </c>
    </row>
    <row r="995" spans="1:4" x14ac:dyDescent="0.35">
      <c r="A995" t="s">
        <v>10</v>
      </c>
      <c r="B995" t="s">
        <v>4</v>
      </c>
      <c r="C995" t="s">
        <v>22</v>
      </c>
      <c r="D995">
        <v>0</v>
      </c>
    </row>
    <row r="996" spans="1:4" x14ac:dyDescent="0.35">
      <c r="A996" t="s">
        <v>11</v>
      </c>
      <c r="B996" t="s">
        <v>4</v>
      </c>
      <c r="C996" t="s">
        <v>22</v>
      </c>
      <c r="D996">
        <v>0</v>
      </c>
    </row>
    <row r="997" spans="1:4" x14ac:dyDescent="0.35">
      <c r="A997" t="s">
        <v>12</v>
      </c>
      <c r="B997" t="s">
        <v>4</v>
      </c>
      <c r="C997" t="s">
        <v>22</v>
      </c>
      <c r="D997">
        <v>0</v>
      </c>
    </row>
    <row r="998" spans="1:4" x14ac:dyDescent="0.35">
      <c r="A998" t="s">
        <v>13</v>
      </c>
      <c r="B998" t="s">
        <v>4</v>
      </c>
      <c r="C998" t="s">
        <v>22</v>
      </c>
      <c r="D998">
        <v>0</v>
      </c>
    </row>
    <row r="999" spans="1:4" x14ac:dyDescent="0.35">
      <c r="A999" t="s">
        <v>14</v>
      </c>
      <c r="B999" t="s">
        <v>4</v>
      </c>
      <c r="C999" t="s">
        <v>22</v>
      </c>
      <c r="D999">
        <v>0</v>
      </c>
    </row>
    <row r="1000" spans="1:4" x14ac:dyDescent="0.35">
      <c r="A1000" t="s">
        <v>15</v>
      </c>
      <c r="B1000" t="s">
        <v>4</v>
      </c>
      <c r="C1000" t="s">
        <v>22</v>
      </c>
      <c r="D1000">
        <v>0</v>
      </c>
    </row>
    <row r="1001" spans="1:4" x14ac:dyDescent="0.35">
      <c r="A1001" t="s">
        <v>16</v>
      </c>
      <c r="B1001" t="s">
        <v>4</v>
      </c>
      <c r="C1001" t="s">
        <v>22</v>
      </c>
      <c r="D1001">
        <v>0</v>
      </c>
    </row>
    <row r="1002" spans="1:4" x14ac:dyDescent="0.35">
      <c r="A1002" t="s">
        <v>17</v>
      </c>
      <c r="B1002" t="s">
        <v>4</v>
      </c>
      <c r="C1002" t="s">
        <v>22</v>
      </c>
      <c r="D1002">
        <v>0</v>
      </c>
    </row>
    <row r="1003" spans="1:4" x14ac:dyDescent="0.35">
      <c r="A1003" t="s">
        <v>18</v>
      </c>
      <c r="B1003" t="s">
        <v>4</v>
      </c>
      <c r="C1003" t="s">
        <v>22</v>
      </c>
      <c r="D1003">
        <v>0</v>
      </c>
    </row>
    <row r="1004" spans="1:4" x14ac:dyDescent="0.35">
      <c r="A1004" t="s">
        <v>19</v>
      </c>
      <c r="B1004" t="s">
        <v>4</v>
      </c>
      <c r="C1004" t="s">
        <v>22</v>
      </c>
      <c r="D1004">
        <v>0</v>
      </c>
    </row>
    <row r="1005" spans="1:4" x14ac:dyDescent="0.35">
      <c r="A1005" t="s">
        <v>20</v>
      </c>
      <c r="B1005" t="s">
        <v>4</v>
      </c>
      <c r="C1005" t="s">
        <v>22</v>
      </c>
      <c r="D1005">
        <v>0</v>
      </c>
    </row>
    <row r="1006" spans="1:4" x14ac:dyDescent="0.35">
      <c r="A1006" t="s">
        <v>21</v>
      </c>
      <c r="B1006" t="s">
        <v>4</v>
      </c>
      <c r="C1006" t="s">
        <v>22</v>
      </c>
      <c r="D1006">
        <v>0</v>
      </c>
    </row>
    <row r="1007" spans="1:4" x14ac:dyDescent="0.35">
      <c r="A1007" t="s">
        <v>22</v>
      </c>
      <c r="B1007" t="s">
        <v>4</v>
      </c>
      <c r="C1007" t="s">
        <v>22</v>
      </c>
      <c r="D1007">
        <v>0</v>
      </c>
    </row>
    <row r="1008" spans="1:4" x14ac:dyDescent="0.35">
      <c r="A1008" t="s">
        <v>23</v>
      </c>
      <c r="B1008" t="s">
        <v>4</v>
      </c>
      <c r="C1008" t="s">
        <v>22</v>
      </c>
      <c r="D1008">
        <v>0</v>
      </c>
    </row>
    <row r="1009" spans="1:4" x14ac:dyDescent="0.35">
      <c r="A1009" t="s">
        <v>24</v>
      </c>
      <c r="B1009" t="s">
        <v>4</v>
      </c>
      <c r="C1009" t="s">
        <v>22</v>
      </c>
      <c r="D1009">
        <v>0</v>
      </c>
    </row>
    <row r="1010" spans="1:4" x14ac:dyDescent="0.35">
      <c r="A1010" t="s">
        <v>25</v>
      </c>
      <c r="B1010" t="s">
        <v>4</v>
      </c>
      <c r="C1010" t="s">
        <v>22</v>
      </c>
      <c r="D1010">
        <v>0</v>
      </c>
    </row>
    <row r="1011" spans="1:4" x14ac:dyDescent="0.35">
      <c r="A1011" t="s">
        <v>26</v>
      </c>
      <c r="B1011" t="s">
        <v>4</v>
      </c>
      <c r="C1011" t="s">
        <v>22</v>
      </c>
      <c r="D1011">
        <v>0</v>
      </c>
    </row>
    <row r="1012" spans="1:4" x14ac:dyDescent="0.35">
      <c r="A1012" t="s">
        <v>27</v>
      </c>
      <c r="B1012" t="s">
        <v>4</v>
      </c>
      <c r="C1012" t="s">
        <v>22</v>
      </c>
      <c r="D1012">
        <v>0</v>
      </c>
    </row>
    <row r="1013" spans="1:4" x14ac:dyDescent="0.35">
      <c r="A1013" t="s">
        <v>28</v>
      </c>
      <c r="B1013" t="s">
        <v>4</v>
      </c>
      <c r="C1013" t="s">
        <v>22</v>
      </c>
      <c r="D1013">
        <v>0</v>
      </c>
    </row>
    <row r="1014" spans="1:4" x14ac:dyDescent="0.35">
      <c r="A1014" t="s">
        <v>29</v>
      </c>
      <c r="B1014" t="s">
        <v>4</v>
      </c>
      <c r="C1014" t="s">
        <v>22</v>
      </c>
      <c r="D1014">
        <v>0</v>
      </c>
    </row>
    <row r="1015" spans="1:4" x14ac:dyDescent="0.35">
      <c r="A1015" t="s">
        <v>30</v>
      </c>
      <c r="B1015" t="s">
        <v>4</v>
      </c>
      <c r="C1015" t="s">
        <v>22</v>
      </c>
      <c r="D1015">
        <v>0</v>
      </c>
    </row>
    <row r="1016" spans="1:4" x14ac:dyDescent="0.35">
      <c r="A1016" t="s">
        <v>31</v>
      </c>
      <c r="B1016" t="s">
        <v>4</v>
      </c>
      <c r="C1016" t="s">
        <v>22</v>
      </c>
      <c r="D1016">
        <v>0</v>
      </c>
    </row>
    <row r="1017" spans="1:4" x14ac:dyDescent="0.35">
      <c r="A1017" t="s">
        <v>32</v>
      </c>
      <c r="B1017" t="s">
        <v>4</v>
      </c>
      <c r="C1017" t="s">
        <v>22</v>
      </c>
      <c r="D1017">
        <v>0</v>
      </c>
    </row>
    <row r="1018" spans="1:4" x14ac:dyDescent="0.35">
      <c r="A1018" t="s">
        <v>33</v>
      </c>
      <c r="B1018" t="s">
        <v>4</v>
      </c>
      <c r="C1018" t="s">
        <v>22</v>
      </c>
      <c r="D1018">
        <v>0</v>
      </c>
    </row>
    <row r="1019" spans="1:4" x14ac:dyDescent="0.35">
      <c r="A1019" t="s">
        <v>34</v>
      </c>
      <c r="B1019" t="s">
        <v>4</v>
      </c>
      <c r="C1019" t="s">
        <v>22</v>
      </c>
      <c r="D1019">
        <v>0</v>
      </c>
    </row>
    <row r="1020" spans="1:4" x14ac:dyDescent="0.35">
      <c r="A1020" t="s">
        <v>35</v>
      </c>
      <c r="B1020" t="s">
        <v>4</v>
      </c>
      <c r="C1020" t="s">
        <v>22</v>
      </c>
      <c r="D1020">
        <v>0</v>
      </c>
    </row>
    <row r="1021" spans="1:4" x14ac:dyDescent="0.35">
      <c r="A1021" t="s">
        <v>36</v>
      </c>
      <c r="B1021" t="s">
        <v>4</v>
      </c>
      <c r="C1021" t="s">
        <v>22</v>
      </c>
      <c r="D1021">
        <v>0</v>
      </c>
    </row>
    <row r="1022" spans="1:4" x14ac:dyDescent="0.35">
      <c r="A1022" t="s">
        <v>37</v>
      </c>
      <c r="B1022" t="s">
        <v>4</v>
      </c>
      <c r="C1022" t="s">
        <v>22</v>
      </c>
      <c r="D1022">
        <v>0</v>
      </c>
    </row>
    <row r="1023" spans="1:4" x14ac:dyDescent="0.35">
      <c r="A1023" t="s">
        <v>38</v>
      </c>
      <c r="B1023" t="s">
        <v>4</v>
      </c>
      <c r="C1023" t="s">
        <v>22</v>
      </c>
      <c r="D1023">
        <v>0</v>
      </c>
    </row>
    <row r="1024" spans="1:4" x14ac:dyDescent="0.35">
      <c r="A1024" t="s">
        <v>39</v>
      </c>
      <c r="B1024" t="s">
        <v>4</v>
      </c>
      <c r="C1024" t="s">
        <v>22</v>
      </c>
      <c r="D1024">
        <v>0</v>
      </c>
    </row>
    <row r="1025" spans="1:4" x14ac:dyDescent="0.35">
      <c r="A1025" t="s">
        <v>7</v>
      </c>
      <c r="B1025" t="s">
        <v>5</v>
      </c>
      <c r="C1025" t="s">
        <v>22</v>
      </c>
      <c r="D1025">
        <v>0</v>
      </c>
    </row>
    <row r="1026" spans="1:4" x14ac:dyDescent="0.35">
      <c r="A1026" t="s">
        <v>8</v>
      </c>
      <c r="B1026" t="s">
        <v>5</v>
      </c>
      <c r="C1026" t="s">
        <v>22</v>
      </c>
      <c r="D1026">
        <v>0</v>
      </c>
    </row>
    <row r="1027" spans="1:4" x14ac:dyDescent="0.35">
      <c r="A1027" t="s">
        <v>9</v>
      </c>
      <c r="B1027" t="s">
        <v>5</v>
      </c>
      <c r="C1027" t="s">
        <v>22</v>
      </c>
      <c r="D1027">
        <v>0</v>
      </c>
    </row>
    <row r="1028" spans="1:4" x14ac:dyDescent="0.35">
      <c r="A1028" t="s">
        <v>10</v>
      </c>
      <c r="B1028" t="s">
        <v>5</v>
      </c>
      <c r="C1028" t="s">
        <v>22</v>
      </c>
      <c r="D1028">
        <v>0</v>
      </c>
    </row>
    <row r="1029" spans="1:4" x14ac:dyDescent="0.35">
      <c r="A1029" t="s">
        <v>11</v>
      </c>
      <c r="B1029" t="s">
        <v>5</v>
      </c>
      <c r="C1029" t="s">
        <v>22</v>
      </c>
      <c r="D1029">
        <v>0</v>
      </c>
    </row>
    <row r="1030" spans="1:4" x14ac:dyDescent="0.35">
      <c r="A1030" t="s">
        <v>12</v>
      </c>
      <c r="B1030" t="s">
        <v>5</v>
      </c>
      <c r="C1030" t="s">
        <v>22</v>
      </c>
      <c r="D1030">
        <v>0</v>
      </c>
    </row>
    <row r="1031" spans="1:4" x14ac:dyDescent="0.35">
      <c r="A1031" t="s">
        <v>13</v>
      </c>
      <c r="B1031" t="s">
        <v>5</v>
      </c>
      <c r="C1031" t="s">
        <v>22</v>
      </c>
      <c r="D1031">
        <v>0</v>
      </c>
    </row>
    <row r="1032" spans="1:4" x14ac:dyDescent="0.35">
      <c r="A1032" t="s">
        <v>14</v>
      </c>
      <c r="B1032" t="s">
        <v>5</v>
      </c>
      <c r="C1032" t="s">
        <v>22</v>
      </c>
      <c r="D1032">
        <v>0</v>
      </c>
    </row>
    <row r="1033" spans="1:4" x14ac:dyDescent="0.35">
      <c r="A1033" t="s">
        <v>15</v>
      </c>
      <c r="B1033" t="s">
        <v>5</v>
      </c>
      <c r="C1033" t="s">
        <v>22</v>
      </c>
      <c r="D1033">
        <v>0</v>
      </c>
    </row>
    <row r="1034" spans="1:4" x14ac:dyDescent="0.35">
      <c r="A1034" t="s">
        <v>16</v>
      </c>
      <c r="B1034" t="s">
        <v>5</v>
      </c>
      <c r="C1034" t="s">
        <v>22</v>
      </c>
      <c r="D1034">
        <v>0</v>
      </c>
    </row>
    <row r="1035" spans="1:4" x14ac:dyDescent="0.35">
      <c r="A1035" t="s">
        <v>17</v>
      </c>
      <c r="B1035" t="s">
        <v>5</v>
      </c>
      <c r="C1035" t="s">
        <v>22</v>
      </c>
      <c r="D1035">
        <v>0</v>
      </c>
    </row>
    <row r="1036" spans="1:4" x14ac:dyDescent="0.35">
      <c r="A1036" t="s">
        <v>18</v>
      </c>
      <c r="B1036" t="s">
        <v>5</v>
      </c>
      <c r="C1036" t="s">
        <v>22</v>
      </c>
      <c r="D1036">
        <v>0</v>
      </c>
    </row>
    <row r="1037" spans="1:4" x14ac:dyDescent="0.35">
      <c r="A1037" t="s">
        <v>19</v>
      </c>
      <c r="B1037" t="s">
        <v>5</v>
      </c>
      <c r="C1037" t="s">
        <v>22</v>
      </c>
      <c r="D1037">
        <v>0</v>
      </c>
    </row>
    <row r="1038" spans="1:4" x14ac:dyDescent="0.35">
      <c r="A1038" t="s">
        <v>20</v>
      </c>
      <c r="B1038" t="s">
        <v>5</v>
      </c>
      <c r="C1038" t="s">
        <v>22</v>
      </c>
      <c r="D1038">
        <v>0</v>
      </c>
    </row>
    <row r="1039" spans="1:4" x14ac:dyDescent="0.35">
      <c r="A1039" t="s">
        <v>21</v>
      </c>
      <c r="B1039" t="s">
        <v>5</v>
      </c>
      <c r="C1039" t="s">
        <v>22</v>
      </c>
      <c r="D1039">
        <v>0</v>
      </c>
    </row>
    <row r="1040" spans="1:4" x14ac:dyDescent="0.35">
      <c r="A1040" t="s">
        <v>22</v>
      </c>
      <c r="B1040" t="s">
        <v>5</v>
      </c>
      <c r="C1040" t="s">
        <v>22</v>
      </c>
      <c r="D1040">
        <v>0</v>
      </c>
    </row>
    <row r="1041" spans="1:4" x14ac:dyDescent="0.35">
      <c r="A1041" t="s">
        <v>23</v>
      </c>
      <c r="B1041" t="s">
        <v>5</v>
      </c>
      <c r="C1041" t="s">
        <v>22</v>
      </c>
      <c r="D1041">
        <v>0</v>
      </c>
    </row>
    <row r="1042" spans="1:4" x14ac:dyDescent="0.35">
      <c r="A1042" t="s">
        <v>24</v>
      </c>
      <c r="B1042" t="s">
        <v>5</v>
      </c>
      <c r="C1042" t="s">
        <v>22</v>
      </c>
      <c r="D1042">
        <v>0</v>
      </c>
    </row>
    <row r="1043" spans="1:4" x14ac:dyDescent="0.35">
      <c r="A1043" t="s">
        <v>25</v>
      </c>
      <c r="B1043" t="s">
        <v>5</v>
      </c>
      <c r="C1043" t="s">
        <v>22</v>
      </c>
      <c r="D1043">
        <v>0</v>
      </c>
    </row>
    <row r="1044" spans="1:4" x14ac:dyDescent="0.35">
      <c r="A1044" t="s">
        <v>26</v>
      </c>
      <c r="B1044" t="s">
        <v>5</v>
      </c>
      <c r="C1044" t="s">
        <v>22</v>
      </c>
      <c r="D1044">
        <v>0</v>
      </c>
    </row>
    <row r="1045" spans="1:4" x14ac:dyDescent="0.35">
      <c r="A1045" t="s">
        <v>27</v>
      </c>
      <c r="B1045" t="s">
        <v>5</v>
      </c>
      <c r="C1045" t="s">
        <v>22</v>
      </c>
      <c r="D1045">
        <v>0</v>
      </c>
    </row>
    <row r="1046" spans="1:4" x14ac:dyDescent="0.35">
      <c r="A1046" t="s">
        <v>28</v>
      </c>
      <c r="B1046" t="s">
        <v>5</v>
      </c>
      <c r="C1046" t="s">
        <v>22</v>
      </c>
      <c r="D1046">
        <v>0</v>
      </c>
    </row>
    <row r="1047" spans="1:4" x14ac:dyDescent="0.35">
      <c r="A1047" t="s">
        <v>29</v>
      </c>
      <c r="B1047" t="s">
        <v>5</v>
      </c>
      <c r="C1047" t="s">
        <v>22</v>
      </c>
      <c r="D1047">
        <v>0</v>
      </c>
    </row>
    <row r="1048" spans="1:4" x14ac:dyDescent="0.35">
      <c r="A1048" t="s">
        <v>30</v>
      </c>
      <c r="B1048" t="s">
        <v>5</v>
      </c>
      <c r="C1048" t="s">
        <v>22</v>
      </c>
      <c r="D1048">
        <v>0</v>
      </c>
    </row>
    <row r="1049" spans="1:4" x14ac:dyDescent="0.35">
      <c r="A1049" t="s">
        <v>31</v>
      </c>
      <c r="B1049" t="s">
        <v>5</v>
      </c>
      <c r="C1049" t="s">
        <v>22</v>
      </c>
      <c r="D1049">
        <v>0</v>
      </c>
    </row>
    <row r="1050" spans="1:4" x14ac:dyDescent="0.35">
      <c r="A1050" t="s">
        <v>32</v>
      </c>
      <c r="B1050" t="s">
        <v>5</v>
      </c>
      <c r="C1050" t="s">
        <v>22</v>
      </c>
      <c r="D1050">
        <v>0</v>
      </c>
    </row>
    <row r="1051" spans="1:4" x14ac:dyDescent="0.35">
      <c r="A1051" t="s">
        <v>33</v>
      </c>
      <c r="B1051" t="s">
        <v>5</v>
      </c>
      <c r="C1051" t="s">
        <v>22</v>
      </c>
      <c r="D1051">
        <v>0</v>
      </c>
    </row>
    <row r="1052" spans="1:4" x14ac:dyDescent="0.35">
      <c r="A1052" t="s">
        <v>34</v>
      </c>
      <c r="B1052" t="s">
        <v>5</v>
      </c>
      <c r="C1052" t="s">
        <v>22</v>
      </c>
      <c r="D1052">
        <v>0</v>
      </c>
    </row>
    <row r="1053" spans="1:4" x14ac:dyDescent="0.35">
      <c r="A1053" t="s">
        <v>35</v>
      </c>
      <c r="B1053" t="s">
        <v>5</v>
      </c>
      <c r="C1053" t="s">
        <v>22</v>
      </c>
      <c r="D1053">
        <v>0</v>
      </c>
    </row>
    <row r="1054" spans="1:4" x14ac:dyDescent="0.35">
      <c r="A1054" t="s">
        <v>36</v>
      </c>
      <c r="B1054" t="s">
        <v>5</v>
      </c>
      <c r="C1054" t="s">
        <v>22</v>
      </c>
      <c r="D1054">
        <v>0</v>
      </c>
    </row>
    <row r="1055" spans="1:4" x14ac:dyDescent="0.35">
      <c r="A1055" t="s">
        <v>37</v>
      </c>
      <c r="B1055" t="s">
        <v>5</v>
      </c>
      <c r="C1055" t="s">
        <v>22</v>
      </c>
      <c r="D1055">
        <v>0</v>
      </c>
    </row>
    <row r="1056" spans="1:4" x14ac:dyDescent="0.35">
      <c r="A1056" t="s">
        <v>38</v>
      </c>
      <c r="B1056" t="s">
        <v>5</v>
      </c>
      <c r="C1056" t="s">
        <v>22</v>
      </c>
      <c r="D1056">
        <v>0</v>
      </c>
    </row>
    <row r="1057" spans="1:4" x14ac:dyDescent="0.35">
      <c r="A1057" t="s">
        <v>39</v>
      </c>
      <c r="B1057" t="s">
        <v>5</v>
      </c>
      <c r="C1057" t="s">
        <v>22</v>
      </c>
      <c r="D1057">
        <v>0</v>
      </c>
    </row>
    <row r="1058" spans="1:4" x14ac:dyDescent="0.35">
      <c r="A1058" t="s">
        <v>7</v>
      </c>
      <c r="B1058" t="s">
        <v>4</v>
      </c>
      <c r="C1058" t="s">
        <v>23</v>
      </c>
      <c r="D1058">
        <v>0</v>
      </c>
    </row>
    <row r="1059" spans="1:4" x14ac:dyDescent="0.35">
      <c r="A1059" t="s">
        <v>8</v>
      </c>
      <c r="B1059" t="s">
        <v>4</v>
      </c>
      <c r="C1059" t="s">
        <v>23</v>
      </c>
      <c r="D1059">
        <v>0</v>
      </c>
    </row>
    <row r="1060" spans="1:4" x14ac:dyDescent="0.35">
      <c r="A1060" t="s">
        <v>9</v>
      </c>
      <c r="B1060" t="s">
        <v>4</v>
      </c>
      <c r="C1060" t="s">
        <v>23</v>
      </c>
      <c r="D1060">
        <v>0</v>
      </c>
    </row>
    <row r="1061" spans="1:4" x14ac:dyDescent="0.35">
      <c r="A1061" t="s">
        <v>10</v>
      </c>
      <c r="B1061" t="s">
        <v>4</v>
      </c>
      <c r="C1061" t="s">
        <v>23</v>
      </c>
      <c r="D1061">
        <v>0</v>
      </c>
    </row>
    <row r="1062" spans="1:4" x14ac:dyDescent="0.35">
      <c r="A1062" t="s">
        <v>11</v>
      </c>
      <c r="B1062" t="s">
        <v>4</v>
      </c>
      <c r="C1062" t="s">
        <v>23</v>
      </c>
      <c r="D1062">
        <v>0</v>
      </c>
    </row>
    <row r="1063" spans="1:4" x14ac:dyDescent="0.35">
      <c r="A1063" t="s">
        <v>12</v>
      </c>
      <c r="B1063" t="s">
        <v>4</v>
      </c>
      <c r="C1063" t="s">
        <v>23</v>
      </c>
      <c r="D1063">
        <v>0</v>
      </c>
    </row>
    <row r="1064" spans="1:4" x14ac:dyDescent="0.35">
      <c r="A1064" t="s">
        <v>13</v>
      </c>
      <c r="B1064" t="s">
        <v>4</v>
      </c>
      <c r="C1064" t="s">
        <v>23</v>
      </c>
      <c r="D1064">
        <v>0</v>
      </c>
    </row>
    <row r="1065" spans="1:4" x14ac:dyDescent="0.35">
      <c r="A1065" t="s">
        <v>14</v>
      </c>
      <c r="B1065" t="s">
        <v>4</v>
      </c>
      <c r="C1065" t="s">
        <v>23</v>
      </c>
      <c r="D1065">
        <v>0</v>
      </c>
    </row>
    <row r="1066" spans="1:4" x14ac:dyDescent="0.35">
      <c r="A1066" t="s">
        <v>15</v>
      </c>
      <c r="B1066" t="s">
        <v>4</v>
      </c>
      <c r="C1066" t="s">
        <v>23</v>
      </c>
      <c r="D1066">
        <v>0</v>
      </c>
    </row>
    <row r="1067" spans="1:4" x14ac:dyDescent="0.35">
      <c r="A1067" t="s">
        <v>16</v>
      </c>
      <c r="B1067" t="s">
        <v>4</v>
      </c>
      <c r="C1067" t="s">
        <v>23</v>
      </c>
      <c r="D1067">
        <v>0</v>
      </c>
    </row>
    <row r="1068" spans="1:4" x14ac:dyDescent="0.35">
      <c r="A1068" t="s">
        <v>17</v>
      </c>
      <c r="B1068" t="s">
        <v>4</v>
      </c>
      <c r="C1068" t="s">
        <v>23</v>
      </c>
      <c r="D1068">
        <v>0</v>
      </c>
    </row>
    <row r="1069" spans="1:4" x14ac:dyDescent="0.35">
      <c r="A1069" t="s">
        <v>18</v>
      </c>
      <c r="B1069" t="s">
        <v>4</v>
      </c>
      <c r="C1069" t="s">
        <v>23</v>
      </c>
      <c r="D1069">
        <v>0</v>
      </c>
    </row>
    <row r="1070" spans="1:4" x14ac:dyDescent="0.35">
      <c r="A1070" t="s">
        <v>19</v>
      </c>
      <c r="B1070" t="s">
        <v>4</v>
      </c>
      <c r="C1070" t="s">
        <v>23</v>
      </c>
      <c r="D1070">
        <v>0</v>
      </c>
    </row>
    <row r="1071" spans="1:4" x14ac:dyDescent="0.35">
      <c r="A1071" t="s">
        <v>20</v>
      </c>
      <c r="B1071" t="s">
        <v>4</v>
      </c>
      <c r="C1071" t="s">
        <v>23</v>
      </c>
      <c r="D1071">
        <v>0</v>
      </c>
    </row>
    <row r="1072" spans="1:4" x14ac:dyDescent="0.35">
      <c r="A1072" t="s">
        <v>21</v>
      </c>
      <c r="B1072" t="s">
        <v>4</v>
      </c>
      <c r="C1072" t="s">
        <v>23</v>
      </c>
      <c r="D1072">
        <v>0</v>
      </c>
    </row>
    <row r="1073" spans="1:4" x14ac:dyDescent="0.35">
      <c r="A1073" t="s">
        <v>22</v>
      </c>
      <c r="B1073" t="s">
        <v>4</v>
      </c>
      <c r="C1073" t="s">
        <v>23</v>
      </c>
      <c r="D1073">
        <v>0</v>
      </c>
    </row>
    <row r="1074" spans="1:4" x14ac:dyDescent="0.35">
      <c r="A1074" t="s">
        <v>23</v>
      </c>
      <c r="B1074" t="s">
        <v>4</v>
      </c>
      <c r="C1074" t="s">
        <v>23</v>
      </c>
      <c r="D1074">
        <v>0</v>
      </c>
    </row>
    <row r="1075" spans="1:4" x14ac:dyDescent="0.35">
      <c r="A1075" t="s">
        <v>24</v>
      </c>
      <c r="B1075" t="s">
        <v>4</v>
      </c>
      <c r="C1075" t="s">
        <v>23</v>
      </c>
      <c r="D1075">
        <v>0</v>
      </c>
    </row>
    <row r="1076" spans="1:4" x14ac:dyDescent="0.35">
      <c r="A1076" t="s">
        <v>25</v>
      </c>
      <c r="B1076" t="s">
        <v>4</v>
      </c>
      <c r="C1076" t="s">
        <v>23</v>
      </c>
      <c r="D1076">
        <v>0</v>
      </c>
    </row>
    <row r="1077" spans="1:4" x14ac:dyDescent="0.35">
      <c r="A1077" t="s">
        <v>26</v>
      </c>
      <c r="B1077" t="s">
        <v>4</v>
      </c>
      <c r="C1077" t="s">
        <v>23</v>
      </c>
      <c r="D1077">
        <v>0</v>
      </c>
    </row>
    <row r="1078" spans="1:4" x14ac:dyDescent="0.35">
      <c r="A1078" t="s">
        <v>27</v>
      </c>
      <c r="B1078" t="s">
        <v>4</v>
      </c>
      <c r="C1078" t="s">
        <v>23</v>
      </c>
      <c r="D1078">
        <v>0</v>
      </c>
    </row>
    <row r="1079" spans="1:4" x14ac:dyDescent="0.35">
      <c r="A1079" t="s">
        <v>28</v>
      </c>
      <c r="B1079" t="s">
        <v>4</v>
      </c>
      <c r="C1079" t="s">
        <v>23</v>
      </c>
      <c r="D1079">
        <v>0</v>
      </c>
    </row>
    <row r="1080" spans="1:4" x14ac:dyDescent="0.35">
      <c r="A1080" t="s">
        <v>29</v>
      </c>
      <c r="B1080" t="s">
        <v>4</v>
      </c>
      <c r="C1080" t="s">
        <v>23</v>
      </c>
      <c r="D1080">
        <v>0</v>
      </c>
    </row>
    <row r="1081" spans="1:4" x14ac:dyDescent="0.35">
      <c r="A1081" t="s">
        <v>30</v>
      </c>
      <c r="B1081" t="s">
        <v>4</v>
      </c>
      <c r="C1081" t="s">
        <v>23</v>
      </c>
      <c r="D1081">
        <v>0</v>
      </c>
    </row>
    <row r="1082" spans="1:4" x14ac:dyDescent="0.35">
      <c r="A1082" t="s">
        <v>31</v>
      </c>
      <c r="B1082" t="s">
        <v>4</v>
      </c>
      <c r="C1082" t="s">
        <v>23</v>
      </c>
      <c r="D1082">
        <v>0</v>
      </c>
    </row>
    <row r="1083" spans="1:4" x14ac:dyDescent="0.35">
      <c r="A1083" t="s">
        <v>32</v>
      </c>
      <c r="B1083" t="s">
        <v>4</v>
      </c>
      <c r="C1083" t="s">
        <v>23</v>
      </c>
      <c r="D1083">
        <v>0</v>
      </c>
    </row>
    <row r="1084" spans="1:4" x14ac:dyDescent="0.35">
      <c r="A1084" t="s">
        <v>33</v>
      </c>
      <c r="B1084" t="s">
        <v>4</v>
      </c>
      <c r="C1084" t="s">
        <v>23</v>
      </c>
      <c r="D1084">
        <v>0</v>
      </c>
    </row>
    <row r="1085" spans="1:4" x14ac:dyDescent="0.35">
      <c r="A1085" t="s">
        <v>34</v>
      </c>
      <c r="B1085" t="s">
        <v>4</v>
      </c>
      <c r="C1085" t="s">
        <v>23</v>
      </c>
      <c r="D1085">
        <v>0</v>
      </c>
    </row>
    <row r="1086" spans="1:4" x14ac:dyDescent="0.35">
      <c r="A1086" t="s">
        <v>35</v>
      </c>
      <c r="B1086" t="s">
        <v>4</v>
      </c>
      <c r="C1086" t="s">
        <v>23</v>
      </c>
      <c r="D1086">
        <v>0</v>
      </c>
    </row>
    <row r="1087" spans="1:4" x14ac:dyDescent="0.35">
      <c r="A1087" t="s">
        <v>36</v>
      </c>
      <c r="B1087" t="s">
        <v>4</v>
      </c>
      <c r="C1087" t="s">
        <v>23</v>
      </c>
      <c r="D1087">
        <v>0</v>
      </c>
    </row>
    <row r="1088" spans="1:4" x14ac:dyDescent="0.35">
      <c r="A1088" t="s">
        <v>37</v>
      </c>
      <c r="B1088" t="s">
        <v>4</v>
      </c>
      <c r="C1088" t="s">
        <v>23</v>
      </c>
      <c r="D1088">
        <v>0</v>
      </c>
    </row>
    <row r="1089" spans="1:4" x14ac:dyDescent="0.35">
      <c r="A1089" t="s">
        <v>38</v>
      </c>
      <c r="B1089" t="s">
        <v>4</v>
      </c>
      <c r="C1089" t="s">
        <v>23</v>
      </c>
      <c r="D1089">
        <v>0</v>
      </c>
    </row>
    <row r="1090" spans="1:4" x14ac:dyDescent="0.35">
      <c r="A1090" t="s">
        <v>39</v>
      </c>
      <c r="B1090" t="s">
        <v>4</v>
      </c>
      <c r="C1090" t="s">
        <v>23</v>
      </c>
      <c r="D1090">
        <v>0</v>
      </c>
    </row>
    <row r="1091" spans="1:4" x14ac:dyDescent="0.35">
      <c r="A1091" t="s">
        <v>7</v>
      </c>
      <c r="B1091" t="s">
        <v>5</v>
      </c>
      <c r="C1091" t="s">
        <v>23</v>
      </c>
      <c r="D1091">
        <v>0</v>
      </c>
    </row>
    <row r="1092" spans="1:4" x14ac:dyDescent="0.35">
      <c r="A1092" t="s">
        <v>8</v>
      </c>
      <c r="B1092" t="s">
        <v>5</v>
      </c>
      <c r="C1092" t="s">
        <v>23</v>
      </c>
      <c r="D1092">
        <v>0</v>
      </c>
    </row>
    <row r="1093" spans="1:4" x14ac:dyDescent="0.35">
      <c r="A1093" t="s">
        <v>9</v>
      </c>
      <c r="B1093" t="s">
        <v>5</v>
      </c>
      <c r="C1093" t="s">
        <v>23</v>
      </c>
      <c r="D1093">
        <v>0</v>
      </c>
    </row>
    <row r="1094" spans="1:4" x14ac:dyDescent="0.35">
      <c r="A1094" t="s">
        <v>10</v>
      </c>
      <c r="B1094" t="s">
        <v>5</v>
      </c>
      <c r="C1094" t="s">
        <v>23</v>
      </c>
      <c r="D1094">
        <v>0</v>
      </c>
    </row>
    <row r="1095" spans="1:4" x14ac:dyDescent="0.35">
      <c r="A1095" t="s">
        <v>11</v>
      </c>
      <c r="B1095" t="s">
        <v>5</v>
      </c>
      <c r="C1095" t="s">
        <v>23</v>
      </c>
      <c r="D1095">
        <v>0</v>
      </c>
    </row>
    <row r="1096" spans="1:4" x14ac:dyDescent="0.35">
      <c r="A1096" t="s">
        <v>12</v>
      </c>
      <c r="B1096" t="s">
        <v>5</v>
      </c>
      <c r="C1096" t="s">
        <v>23</v>
      </c>
      <c r="D1096">
        <v>0</v>
      </c>
    </row>
    <row r="1097" spans="1:4" x14ac:dyDescent="0.35">
      <c r="A1097" t="s">
        <v>13</v>
      </c>
      <c r="B1097" t="s">
        <v>5</v>
      </c>
      <c r="C1097" t="s">
        <v>23</v>
      </c>
      <c r="D1097">
        <v>0</v>
      </c>
    </row>
    <row r="1098" spans="1:4" x14ac:dyDescent="0.35">
      <c r="A1098" t="s">
        <v>14</v>
      </c>
      <c r="B1098" t="s">
        <v>5</v>
      </c>
      <c r="C1098" t="s">
        <v>23</v>
      </c>
      <c r="D1098">
        <v>0</v>
      </c>
    </row>
    <row r="1099" spans="1:4" x14ac:dyDescent="0.35">
      <c r="A1099" t="s">
        <v>15</v>
      </c>
      <c r="B1099" t="s">
        <v>5</v>
      </c>
      <c r="C1099" t="s">
        <v>23</v>
      </c>
      <c r="D1099">
        <v>0</v>
      </c>
    </row>
    <row r="1100" spans="1:4" x14ac:dyDescent="0.35">
      <c r="A1100" t="s">
        <v>16</v>
      </c>
      <c r="B1100" t="s">
        <v>5</v>
      </c>
      <c r="C1100" t="s">
        <v>23</v>
      </c>
      <c r="D1100">
        <v>0</v>
      </c>
    </row>
    <row r="1101" spans="1:4" x14ac:dyDescent="0.35">
      <c r="A1101" t="s">
        <v>17</v>
      </c>
      <c r="B1101" t="s">
        <v>5</v>
      </c>
      <c r="C1101" t="s">
        <v>23</v>
      </c>
      <c r="D1101">
        <v>0</v>
      </c>
    </row>
    <row r="1102" spans="1:4" x14ac:dyDescent="0.35">
      <c r="A1102" t="s">
        <v>18</v>
      </c>
      <c r="B1102" t="s">
        <v>5</v>
      </c>
      <c r="C1102" t="s">
        <v>23</v>
      </c>
      <c r="D1102">
        <v>0</v>
      </c>
    </row>
    <row r="1103" spans="1:4" x14ac:dyDescent="0.35">
      <c r="A1103" t="s">
        <v>19</v>
      </c>
      <c r="B1103" t="s">
        <v>5</v>
      </c>
      <c r="C1103" t="s">
        <v>23</v>
      </c>
      <c r="D1103">
        <v>0</v>
      </c>
    </row>
    <row r="1104" spans="1:4" x14ac:dyDescent="0.35">
      <c r="A1104" t="s">
        <v>20</v>
      </c>
      <c r="B1104" t="s">
        <v>5</v>
      </c>
      <c r="C1104" t="s">
        <v>23</v>
      </c>
      <c r="D1104">
        <v>0</v>
      </c>
    </row>
    <row r="1105" spans="1:4" x14ac:dyDescent="0.35">
      <c r="A1105" t="s">
        <v>21</v>
      </c>
      <c r="B1105" t="s">
        <v>5</v>
      </c>
      <c r="C1105" t="s">
        <v>23</v>
      </c>
      <c r="D1105">
        <v>0</v>
      </c>
    </row>
    <row r="1106" spans="1:4" x14ac:dyDescent="0.35">
      <c r="A1106" t="s">
        <v>22</v>
      </c>
      <c r="B1106" t="s">
        <v>5</v>
      </c>
      <c r="C1106" t="s">
        <v>23</v>
      </c>
      <c r="D1106">
        <v>0</v>
      </c>
    </row>
    <row r="1107" spans="1:4" x14ac:dyDescent="0.35">
      <c r="A1107" t="s">
        <v>23</v>
      </c>
      <c r="B1107" t="s">
        <v>5</v>
      </c>
      <c r="C1107" t="s">
        <v>23</v>
      </c>
      <c r="D1107">
        <v>0</v>
      </c>
    </row>
    <row r="1108" spans="1:4" x14ac:dyDescent="0.35">
      <c r="A1108" t="s">
        <v>24</v>
      </c>
      <c r="B1108" t="s">
        <v>5</v>
      </c>
      <c r="C1108" t="s">
        <v>23</v>
      </c>
      <c r="D1108">
        <v>0</v>
      </c>
    </row>
    <row r="1109" spans="1:4" x14ac:dyDescent="0.35">
      <c r="A1109" t="s">
        <v>25</v>
      </c>
      <c r="B1109" t="s">
        <v>5</v>
      </c>
      <c r="C1109" t="s">
        <v>23</v>
      </c>
      <c r="D1109">
        <v>0</v>
      </c>
    </row>
    <row r="1110" spans="1:4" x14ac:dyDescent="0.35">
      <c r="A1110" t="s">
        <v>26</v>
      </c>
      <c r="B1110" t="s">
        <v>5</v>
      </c>
      <c r="C1110" t="s">
        <v>23</v>
      </c>
      <c r="D1110">
        <v>0</v>
      </c>
    </row>
    <row r="1111" spans="1:4" x14ac:dyDescent="0.35">
      <c r="A1111" t="s">
        <v>27</v>
      </c>
      <c r="B1111" t="s">
        <v>5</v>
      </c>
      <c r="C1111" t="s">
        <v>23</v>
      </c>
      <c r="D1111">
        <v>0</v>
      </c>
    </row>
    <row r="1112" spans="1:4" x14ac:dyDescent="0.35">
      <c r="A1112" t="s">
        <v>28</v>
      </c>
      <c r="B1112" t="s">
        <v>5</v>
      </c>
      <c r="C1112" t="s">
        <v>23</v>
      </c>
      <c r="D1112">
        <v>0</v>
      </c>
    </row>
    <row r="1113" spans="1:4" x14ac:dyDescent="0.35">
      <c r="A1113" t="s">
        <v>29</v>
      </c>
      <c r="B1113" t="s">
        <v>5</v>
      </c>
      <c r="C1113" t="s">
        <v>23</v>
      </c>
      <c r="D1113">
        <v>0</v>
      </c>
    </row>
    <row r="1114" spans="1:4" x14ac:dyDescent="0.35">
      <c r="A1114" t="s">
        <v>30</v>
      </c>
      <c r="B1114" t="s">
        <v>5</v>
      </c>
      <c r="C1114" t="s">
        <v>23</v>
      </c>
      <c r="D1114">
        <v>0</v>
      </c>
    </row>
    <row r="1115" spans="1:4" x14ac:dyDescent="0.35">
      <c r="A1115" t="s">
        <v>31</v>
      </c>
      <c r="B1115" t="s">
        <v>5</v>
      </c>
      <c r="C1115" t="s">
        <v>23</v>
      </c>
      <c r="D1115">
        <v>0</v>
      </c>
    </row>
    <row r="1116" spans="1:4" x14ac:dyDescent="0.35">
      <c r="A1116" t="s">
        <v>32</v>
      </c>
      <c r="B1116" t="s">
        <v>5</v>
      </c>
      <c r="C1116" t="s">
        <v>23</v>
      </c>
      <c r="D1116">
        <v>0</v>
      </c>
    </row>
    <row r="1117" spans="1:4" x14ac:dyDescent="0.35">
      <c r="A1117" t="s">
        <v>33</v>
      </c>
      <c r="B1117" t="s">
        <v>5</v>
      </c>
      <c r="C1117" t="s">
        <v>23</v>
      </c>
      <c r="D1117">
        <v>0</v>
      </c>
    </row>
    <row r="1118" spans="1:4" x14ac:dyDescent="0.35">
      <c r="A1118" t="s">
        <v>34</v>
      </c>
      <c r="B1118" t="s">
        <v>5</v>
      </c>
      <c r="C1118" t="s">
        <v>23</v>
      </c>
      <c r="D1118">
        <v>0</v>
      </c>
    </row>
    <row r="1119" spans="1:4" x14ac:dyDescent="0.35">
      <c r="A1119" t="s">
        <v>35</v>
      </c>
      <c r="B1119" t="s">
        <v>5</v>
      </c>
      <c r="C1119" t="s">
        <v>23</v>
      </c>
      <c r="D1119">
        <v>0</v>
      </c>
    </row>
    <row r="1120" spans="1:4" x14ac:dyDescent="0.35">
      <c r="A1120" t="s">
        <v>36</v>
      </c>
      <c r="B1120" t="s">
        <v>5</v>
      </c>
      <c r="C1120" t="s">
        <v>23</v>
      </c>
      <c r="D1120">
        <v>0</v>
      </c>
    </row>
    <row r="1121" spans="1:4" x14ac:dyDescent="0.35">
      <c r="A1121" t="s">
        <v>37</v>
      </c>
      <c r="B1121" t="s">
        <v>5</v>
      </c>
      <c r="C1121" t="s">
        <v>23</v>
      </c>
      <c r="D1121">
        <v>0</v>
      </c>
    </row>
    <row r="1122" spans="1:4" x14ac:dyDescent="0.35">
      <c r="A1122" t="s">
        <v>38</v>
      </c>
      <c r="B1122" t="s">
        <v>5</v>
      </c>
      <c r="C1122" t="s">
        <v>23</v>
      </c>
      <c r="D1122">
        <v>0</v>
      </c>
    </row>
    <row r="1123" spans="1:4" x14ac:dyDescent="0.35">
      <c r="A1123" t="s">
        <v>39</v>
      </c>
      <c r="B1123" t="s">
        <v>5</v>
      </c>
      <c r="C1123" t="s">
        <v>23</v>
      </c>
      <c r="D1123">
        <v>0</v>
      </c>
    </row>
    <row r="1124" spans="1:4" x14ac:dyDescent="0.35">
      <c r="A1124" t="s">
        <v>7</v>
      </c>
      <c r="B1124" t="s">
        <v>4</v>
      </c>
      <c r="C1124" t="s">
        <v>24</v>
      </c>
      <c r="D1124">
        <v>0</v>
      </c>
    </row>
    <row r="1125" spans="1:4" x14ac:dyDescent="0.35">
      <c r="A1125" t="s">
        <v>8</v>
      </c>
      <c r="B1125" t="s">
        <v>4</v>
      </c>
      <c r="C1125" t="s">
        <v>24</v>
      </c>
      <c r="D1125">
        <v>0</v>
      </c>
    </row>
    <row r="1126" spans="1:4" x14ac:dyDescent="0.35">
      <c r="A1126" t="s">
        <v>9</v>
      </c>
      <c r="B1126" t="s">
        <v>4</v>
      </c>
      <c r="C1126" t="s">
        <v>24</v>
      </c>
      <c r="D1126">
        <v>0</v>
      </c>
    </row>
    <row r="1127" spans="1:4" x14ac:dyDescent="0.35">
      <c r="A1127" t="s">
        <v>10</v>
      </c>
      <c r="B1127" t="s">
        <v>4</v>
      </c>
      <c r="C1127" t="s">
        <v>24</v>
      </c>
      <c r="D1127">
        <v>0</v>
      </c>
    </row>
    <row r="1128" spans="1:4" x14ac:dyDescent="0.35">
      <c r="A1128" t="s">
        <v>11</v>
      </c>
      <c r="B1128" t="s">
        <v>4</v>
      </c>
      <c r="C1128" t="s">
        <v>24</v>
      </c>
      <c r="D1128">
        <v>0</v>
      </c>
    </row>
    <row r="1129" spans="1:4" x14ac:dyDescent="0.35">
      <c r="A1129" t="s">
        <v>12</v>
      </c>
      <c r="B1129" t="s">
        <v>4</v>
      </c>
      <c r="C1129" t="s">
        <v>24</v>
      </c>
      <c r="D1129">
        <v>0</v>
      </c>
    </row>
    <row r="1130" spans="1:4" x14ac:dyDescent="0.35">
      <c r="A1130" t="s">
        <v>13</v>
      </c>
      <c r="B1130" t="s">
        <v>4</v>
      </c>
      <c r="C1130" t="s">
        <v>24</v>
      </c>
      <c r="D1130">
        <v>0</v>
      </c>
    </row>
    <row r="1131" spans="1:4" x14ac:dyDescent="0.35">
      <c r="A1131" t="s">
        <v>14</v>
      </c>
      <c r="B1131" t="s">
        <v>4</v>
      </c>
      <c r="C1131" t="s">
        <v>24</v>
      </c>
      <c r="D1131">
        <v>0</v>
      </c>
    </row>
    <row r="1132" spans="1:4" x14ac:dyDescent="0.35">
      <c r="A1132" t="s">
        <v>15</v>
      </c>
      <c r="B1132" t="s">
        <v>4</v>
      </c>
      <c r="C1132" t="s">
        <v>24</v>
      </c>
      <c r="D1132">
        <v>0</v>
      </c>
    </row>
    <row r="1133" spans="1:4" x14ac:dyDescent="0.35">
      <c r="A1133" t="s">
        <v>16</v>
      </c>
      <c r="B1133" t="s">
        <v>4</v>
      </c>
      <c r="C1133" t="s">
        <v>24</v>
      </c>
      <c r="D1133">
        <v>0</v>
      </c>
    </row>
    <row r="1134" spans="1:4" x14ac:dyDescent="0.35">
      <c r="A1134" t="s">
        <v>17</v>
      </c>
      <c r="B1134" t="s">
        <v>4</v>
      </c>
      <c r="C1134" t="s">
        <v>24</v>
      </c>
      <c r="D1134">
        <v>0</v>
      </c>
    </row>
    <row r="1135" spans="1:4" x14ac:dyDescent="0.35">
      <c r="A1135" t="s">
        <v>18</v>
      </c>
      <c r="B1135" t="s">
        <v>4</v>
      </c>
      <c r="C1135" t="s">
        <v>24</v>
      </c>
      <c r="D1135">
        <v>0</v>
      </c>
    </row>
    <row r="1136" spans="1:4" x14ac:dyDescent="0.35">
      <c r="A1136" t="s">
        <v>19</v>
      </c>
      <c r="B1136" t="s">
        <v>4</v>
      </c>
      <c r="C1136" t="s">
        <v>24</v>
      </c>
      <c r="D1136">
        <v>0</v>
      </c>
    </row>
    <row r="1137" spans="1:4" x14ac:dyDescent="0.35">
      <c r="A1137" t="s">
        <v>20</v>
      </c>
      <c r="B1137" t="s">
        <v>4</v>
      </c>
      <c r="C1137" t="s">
        <v>24</v>
      </c>
      <c r="D1137">
        <v>0</v>
      </c>
    </row>
    <row r="1138" spans="1:4" x14ac:dyDescent="0.35">
      <c r="A1138" t="s">
        <v>21</v>
      </c>
      <c r="B1138" t="s">
        <v>4</v>
      </c>
      <c r="C1138" t="s">
        <v>24</v>
      </c>
      <c r="D1138">
        <v>0</v>
      </c>
    </row>
    <row r="1139" spans="1:4" x14ac:dyDescent="0.35">
      <c r="A1139" t="s">
        <v>22</v>
      </c>
      <c r="B1139" t="s">
        <v>4</v>
      </c>
      <c r="C1139" t="s">
        <v>24</v>
      </c>
      <c r="D1139">
        <v>0</v>
      </c>
    </row>
    <row r="1140" spans="1:4" x14ac:dyDescent="0.35">
      <c r="A1140" t="s">
        <v>23</v>
      </c>
      <c r="B1140" t="s">
        <v>4</v>
      </c>
      <c r="C1140" t="s">
        <v>24</v>
      </c>
      <c r="D1140">
        <v>0</v>
      </c>
    </row>
    <row r="1141" spans="1:4" x14ac:dyDescent="0.35">
      <c r="A1141" t="s">
        <v>24</v>
      </c>
      <c r="B1141" t="s">
        <v>4</v>
      </c>
      <c r="C1141" t="s">
        <v>24</v>
      </c>
      <c r="D1141">
        <v>0</v>
      </c>
    </row>
    <row r="1142" spans="1:4" x14ac:dyDescent="0.35">
      <c r="A1142" t="s">
        <v>25</v>
      </c>
      <c r="B1142" t="s">
        <v>4</v>
      </c>
      <c r="C1142" t="s">
        <v>24</v>
      </c>
      <c r="D1142">
        <v>0</v>
      </c>
    </row>
    <row r="1143" spans="1:4" x14ac:dyDescent="0.35">
      <c r="A1143" t="s">
        <v>26</v>
      </c>
      <c r="B1143" t="s">
        <v>4</v>
      </c>
      <c r="C1143" t="s">
        <v>24</v>
      </c>
      <c r="D1143">
        <v>0</v>
      </c>
    </row>
    <row r="1144" spans="1:4" x14ac:dyDescent="0.35">
      <c r="A1144" t="s">
        <v>27</v>
      </c>
      <c r="B1144" t="s">
        <v>4</v>
      </c>
      <c r="C1144" t="s">
        <v>24</v>
      </c>
      <c r="D1144">
        <v>0</v>
      </c>
    </row>
    <row r="1145" spans="1:4" x14ac:dyDescent="0.35">
      <c r="A1145" t="s">
        <v>28</v>
      </c>
      <c r="B1145" t="s">
        <v>4</v>
      </c>
      <c r="C1145" t="s">
        <v>24</v>
      </c>
      <c r="D1145">
        <v>0</v>
      </c>
    </row>
    <row r="1146" spans="1:4" x14ac:dyDescent="0.35">
      <c r="A1146" t="s">
        <v>29</v>
      </c>
      <c r="B1146" t="s">
        <v>4</v>
      </c>
      <c r="C1146" t="s">
        <v>24</v>
      </c>
      <c r="D1146">
        <v>0</v>
      </c>
    </row>
    <row r="1147" spans="1:4" x14ac:dyDescent="0.35">
      <c r="A1147" t="s">
        <v>30</v>
      </c>
      <c r="B1147" t="s">
        <v>4</v>
      </c>
      <c r="C1147" t="s">
        <v>24</v>
      </c>
      <c r="D1147">
        <v>0</v>
      </c>
    </row>
    <row r="1148" spans="1:4" x14ac:dyDescent="0.35">
      <c r="A1148" t="s">
        <v>31</v>
      </c>
      <c r="B1148" t="s">
        <v>4</v>
      </c>
      <c r="C1148" t="s">
        <v>24</v>
      </c>
      <c r="D1148">
        <v>0</v>
      </c>
    </row>
    <row r="1149" spans="1:4" x14ac:dyDescent="0.35">
      <c r="A1149" t="s">
        <v>32</v>
      </c>
      <c r="B1149" t="s">
        <v>4</v>
      </c>
      <c r="C1149" t="s">
        <v>24</v>
      </c>
      <c r="D1149">
        <v>0</v>
      </c>
    </row>
    <row r="1150" spans="1:4" x14ac:dyDescent="0.35">
      <c r="A1150" t="s">
        <v>33</v>
      </c>
      <c r="B1150" t="s">
        <v>4</v>
      </c>
      <c r="C1150" t="s">
        <v>24</v>
      </c>
      <c r="D1150">
        <v>0</v>
      </c>
    </row>
    <row r="1151" spans="1:4" x14ac:dyDescent="0.35">
      <c r="A1151" t="s">
        <v>34</v>
      </c>
      <c r="B1151" t="s">
        <v>4</v>
      </c>
      <c r="C1151" t="s">
        <v>24</v>
      </c>
      <c r="D1151">
        <v>0</v>
      </c>
    </row>
    <row r="1152" spans="1:4" x14ac:dyDescent="0.35">
      <c r="A1152" t="s">
        <v>35</v>
      </c>
      <c r="B1152" t="s">
        <v>4</v>
      </c>
      <c r="C1152" t="s">
        <v>24</v>
      </c>
      <c r="D1152">
        <v>0</v>
      </c>
    </row>
    <row r="1153" spans="1:4" x14ac:dyDescent="0.35">
      <c r="A1153" t="s">
        <v>36</v>
      </c>
      <c r="B1153" t="s">
        <v>4</v>
      </c>
      <c r="C1153" t="s">
        <v>24</v>
      </c>
      <c r="D1153">
        <v>0</v>
      </c>
    </row>
    <row r="1154" spans="1:4" x14ac:dyDescent="0.35">
      <c r="A1154" t="s">
        <v>37</v>
      </c>
      <c r="B1154" t="s">
        <v>4</v>
      </c>
      <c r="C1154" t="s">
        <v>24</v>
      </c>
      <c r="D1154">
        <v>0</v>
      </c>
    </row>
    <row r="1155" spans="1:4" x14ac:dyDescent="0.35">
      <c r="A1155" t="s">
        <v>38</v>
      </c>
      <c r="B1155" t="s">
        <v>4</v>
      </c>
      <c r="C1155" t="s">
        <v>24</v>
      </c>
      <c r="D1155">
        <v>0</v>
      </c>
    </row>
    <row r="1156" spans="1:4" x14ac:dyDescent="0.35">
      <c r="A1156" t="s">
        <v>39</v>
      </c>
      <c r="B1156" t="s">
        <v>4</v>
      </c>
      <c r="C1156" t="s">
        <v>24</v>
      </c>
      <c r="D1156">
        <v>0</v>
      </c>
    </row>
    <row r="1157" spans="1:4" x14ac:dyDescent="0.35">
      <c r="A1157" t="s">
        <v>7</v>
      </c>
      <c r="B1157" t="s">
        <v>5</v>
      </c>
      <c r="C1157" t="s">
        <v>24</v>
      </c>
      <c r="D1157">
        <v>0</v>
      </c>
    </row>
    <row r="1158" spans="1:4" x14ac:dyDescent="0.35">
      <c r="A1158" t="s">
        <v>8</v>
      </c>
      <c r="B1158" t="s">
        <v>5</v>
      </c>
      <c r="C1158" t="s">
        <v>24</v>
      </c>
      <c r="D1158">
        <v>0</v>
      </c>
    </row>
    <row r="1159" spans="1:4" x14ac:dyDescent="0.35">
      <c r="A1159" t="s">
        <v>9</v>
      </c>
      <c r="B1159" t="s">
        <v>5</v>
      </c>
      <c r="C1159" t="s">
        <v>24</v>
      </c>
      <c r="D1159">
        <v>0</v>
      </c>
    </row>
    <row r="1160" spans="1:4" x14ac:dyDescent="0.35">
      <c r="A1160" t="s">
        <v>10</v>
      </c>
      <c r="B1160" t="s">
        <v>5</v>
      </c>
      <c r="C1160" t="s">
        <v>24</v>
      </c>
      <c r="D1160">
        <v>0</v>
      </c>
    </row>
    <row r="1161" spans="1:4" x14ac:dyDescent="0.35">
      <c r="A1161" t="s">
        <v>11</v>
      </c>
      <c r="B1161" t="s">
        <v>5</v>
      </c>
      <c r="C1161" t="s">
        <v>24</v>
      </c>
      <c r="D1161">
        <v>0</v>
      </c>
    </row>
    <row r="1162" spans="1:4" x14ac:dyDescent="0.35">
      <c r="A1162" t="s">
        <v>12</v>
      </c>
      <c r="B1162" t="s">
        <v>5</v>
      </c>
      <c r="C1162" t="s">
        <v>24</v>
      </c>
      <c r="D1162">
        <v>0</v>
      </c>
    </row>
    <row r="1163" spans="1:4" x14ac:dyDescent="0.35">
      <c r="A1163" t="s">
        <v>13</v>
      </c>
      <c r="B1163" t="s">
        <v>5</v>
      </c>
      <c r="C1163" t="s">
        <v>24</v>
      </c>
      <c r="D1163">
        <v>0</v>
      </c>
    </row>
    <row r="1164" spans="1:4" x14ac:dyDescent="0.35">
      <c r="A1164" t="s">
        <v>14</v>
      </c>
      <c r="B1164" t="s">
        <v>5</v>
      </c>
      <c r="C1164" t="s">
        <v>24</v>
      </c>
      <c r="D1164">
        <v>0</v>
      </c>
    </row>
    <row r="1165" spans="1:4" x14ac:dyDescent="0.35">
      <c r="A1165" t="s">
        <v>15</v>
      </c>
      <c r="B1165" t="s">
        <v>5</v>
      </c>
      <c r="C1165" t="s">
        <v>24</v>
      </c>
      <c r="D1165">
        <v>0</v>
      </c>
    </row>
    <row r="1166" spans="1:4" x14ac:dyDescent="0.35">
      <c r="A1166" t="s">
        <v>16</v>
      </c>
      <c r="B1166" t="s">
        <v>5</v>
      </c>
      <c r="C1166" t="s">
        <v>24</v>
      </c>
      <c r="D1166">
        <v>0</v>
      </c>
    </row>
    <row r="1167" spans="1:4" x14ac:dyDescent="0.35">
      <c r="A1167" t="s">
        <v>17</v>
      </c>
      <c r="B1167" t="s">
        <v>5</v>
      </c>
      <c r="C1167" t="s">
        <v>24</v>
      </c>
      <c r="D1167">
        <v>0</v>
      </c>
    </row>
    <row r="1168" spans="1:4" x14ac:dyDescent="0.35">
      <c r="A1168" t="s">
        <v>18</v>
      </c>
      <c r="B1168" t="s">
        <v>5</v>
      </c>
      <c r="C1168" t="s">
        <v>24</v>
      </c>
      <c r="D1168">
        <v>0</v>
      </c>
    </row>
    <row r="1169" spans="1:4" x14ac:dyDescent="0.35">
      <c r="A1169" t="s">
        <v>19</v>
      </c>
      <c r="B1169" t="s">
        <v>5</v>
      </c>
      <c r="C1169" t="s">
        <v>24</v>
      </c>
      <c r="D1169">
        <v>0</v>
      </c>
    </row>
    <row r="1170" spans="1:4" x14ac:dyDescent="0.35">
      <c r="A1170" t="s">
        <v>20</v>
      </c>
      <c r="B1170" t="s">
        <v>5</v>
      </c>
      <c r="C1170" t="s">
        <v>24</v>
      </c>
      <c r="D1170">
        <v>0</v>
      </c>
    </row>
    <row r="1171" spans="1:4" x14ac:dyDescent="0.35">
      <c r="A1171" t="s">
        <v>21</v>
      </c>
      <c r="B1171" t="s">
        <v>5</v>
      </c>
      <c r="C1171" t="s">
        <v>24</v>
      </c>
      <c r="D1171">
        <v>0</v>
      </c>
    </row>
    <row r="1172" spans="1:4" x14ac:dyDescent="0.35">
      <c r="A1172" t="s">
        <v>22</v>
      </c>
      <c r="B1172" t="s">
        <v>5</v>
      </c>
      <c r="C1172" t="s">
        <v>24</v>
      </c>
      <c r="D1172">
        <v>0</v>
      </c>
    </row>
    <row r="1173" spans="1:4" x14ac:dyDescent="0.35">
      <c r="A1173" t="s">
        <v>23</v>
      </c>
      <c r="B1173" t="s">
        <v>5</v>
      </c>
      <c r="C1173" t="s">
        <v>24</v>
      </c>
      <c r="D1173">
        <v>0</v>
      </c>
    </row>
    <row r="1174" spans="1:4" x14ac:dyDescent="0.35">
      <c r="A1174" t="s">
        <v>24</v>
      </c>
      <c r="B1174" t="s">
        <v>5</v>
      </c>
      <c r="C1174" t="s">
        <v>24</v>
      </c>
      <c r="D1174">
        <v>0</v>
      </c>
    </row>
    <row r="1175" spans="1:4" x14ac:dyDescent="0.35">
      <c r="A1175" t="s">
        <v>25</v>
      </c>
      <c r="B1175" t="s">
        <v>5</v>
      </c>
      <c r="C1175" t="s">
        <v>24</v>
      </c>
      <c r="D1175">
        <v>0</v>
      </c>
    </row>
    <row r="1176" spans="1:4" x14ac:dyDescent="0.35">
      <c r="A1176" t="s">
        <v>26</v>
      </c>
      <c r="B1176" t="s">
        <v>5</v>
      </c>
      <c r="C1176" t="s">
        <v>24</v>
      </c>
      <c r="D1176">
        <v>0</v>
      </c>
    </row>
    <row r="1177" spans="1:4" x14ac:dyDescent="0.35">
      <c r="A1177" t="s">
        <v>27</v>
      </c>
      <c r="B1177" t="s">
        <v>5</v>
      </c>
      <c r="C1177" t="s">
        <v>24</v>
      </c>
      <c r="D1177">
        <v>0</v>
      </c>
    </row>
    <row r="1178" spans="1:4" x14ac:dyDescent="0.35">
      <c r="A1178" t="s">
        <v>28</v>
      </c>
      <c r="B1178" t="s">
        <v>5</v>
      </c>
      <c r="C1178" t="s">
        <v>24</v>
      </c>
      <c r="D1178">
        <v>0</v>
      </c>
    </row>
    <row r="1179" spans="1:4" x14ac:dyDescent="0.35">
      <c r="A1179" t="s">
        <v>29</v>
      </c>
      <c r="B1179" t="s">
        <v>5</v>
      </c>
      <c r="C1179" t="s">
        <v>24</v>
      </c>
      <c r="D1179">
        <v>0</v>
      </c>
    </row>
    <row r="1180" spans="1:4" x14ac:dyDescent="0.35">
      <c r="A1180" t="s">
        <v>30</v>
      </c>
      <c r="B1180" t="s">
        <v>5</v>
      </c>
      <c r="C1180" t="s">
        <v>24</v>
      </c>
      <c r="D1180">
        <v>0</v>
      </c>
    </row>
    <row r="1181" spans="1:4" x14ac:dyDescent="0.35">
      <c r="A1181" t="s">
        <v>31</v>
      </c>
      <c r="B1181" t="s">
        <v>5</v>
      </c>
      <c r="C1181" t="s">
        <v>24</v>
      </c>
      <c r="D1181">
        <v>0</v>
      </c>
    </row>
    <row r="1182" spans="1:4" x14ac:dyDescent="0.35">
      <c r="A1182" t="s">
        <v>32</v>
      </c>
      <c r="B1182" t="s">
        <v>5</v>
      </c>
      <c r="C1182" t="s">
        <v>24</v>
      </c>
      <c r="D1182">
        <v>0</v>
      </c>
    </row>
    <row r="1183" spans="1:4" x14ac:dyDescent="0.35">
      <c r="A1183" t="s">
        <v>33</v>
      </c>
      <c r="B1183" t="s">
        <v>5</v>
      </c>
      <c r="C1183" t="s">
        <v>24</v>
      </c>
      <c r="D1183">
        <v>0</v>
      </c>
    </row>
    <row r="1184" spans="1:4" x14ac:dyDescent="0.35">
      <c r="A1184" t="s">
        <v>34</v>
      </c>
      <c r="B1184" t="s">
        <v>5</v>
      </c>
      <c r="C1184" t="s">
        <v>24</v>
      </c>
      <c r="D1184">
        <v>0</v>
      </c>
    </row>
    <row r="1185" spans="1:4" x14ac:dyDescent="0.35">
      <c r="A1185" t="s">
        <v>35</v>
      </c>
      <c r="B1185" t="s">
        <v>5</v>
      </c>
      <c r="C1185" t="s">
        <v>24</v>
      </c>
      <c r="D1185">
        <v>0</v>
      </c>
    </row>
    <row r="1186" spans="1:4" x14ac:dyDescent="0.35">
      <c r="A1186" t="s">
        <v>36</v>
      </c>
      <c r="B1186" t="s">
        <v>5</v>
      </c>
      <c r="C1186" t="s">
        <v>24</v>
      </c>
      <c r="D1186">
        <v>0</v>
      </c>
    </row>
    <row r="1187" spans="1:4" x14ac:dyDescent="0.35">
      <c r="A1187" t="s">
        <v>37</v>
      </c>
      <c r="B1187" t="s">
        <v>5</v>
      </c>
      <c r="C1187" t="s">
        <v>24</v>
      </c>
      <c r="D1187">
        <v>0</v>
      </c>
    </row>
    <row r="1188" spans="1:4" x14ac:dyDescent="0.35">
      <c r="A1188" t="s">
        <v>38</v>
      </c>
      <c r="B1188" t="s">
        <v>5</v>
      </c>
      <c r="C1188" t="s">
        <v>24</v>
      </c>
      <c r="D1188">
        <v>0</v>
      </c>
    </row>
    <row r="1189" spans="1:4" x14ac:dyDescent="0.35">
      <c r="A1189" t="s">
        <v>39</v>
      </c>
      <c r="B1189" t="s">
        <v>5</v>
      </c>
      <c r="C1189" t="s">
        <v>24</v>
      </c>
      <c r="D1189">
        <v>0</v>
      </c>
    </row>
    <row r="1190" spans="1:4" x14ac:dyDescent="0.35">
      <c r="A1190" t="s">
        <v>7</v>
      </c>
      <c r="B1190" t="s">
        <v>4</v>
      </c>
      <c r="C1190" t="s">
        <v>25</v>
      </c>
      <c r="D1190">
        <v>0</v>
      </c>
    </row>
    <row r="1191" spans="1:4" x14ac:dyDescent="0.35">
      <c r="A1191" t="s">
        <v>8</v>
      </c>
      <c r="B1191" t="s">
        <v>4</v>
      </c>
      <c r="C1191" t="s">
        <v>25</v>
      </c>
      <c r="D1191">
        <v>0</v>
      </c>
    </row>
    <row r="1192" spans="1:4" x14ac:dyDescent="0.35">
      <c r="A1192" t="s">
        <v>9</v>
      </c>
      <c r="B1192" t="s">
        <v>4</v>
      </c>
      <c r="C1192" t="s">
        <v>25</v>
      </c>
      <c r="D1192">
        <v>0</v>
      </c>
    </row>
    <row r="1193" spans="1:4" x14ac:dyDescent="0.35">
      <c r="A1193" t="s">
        <v>10</v>
      </c>
      <c r="B1193" t="s">
        <v>4</v>
      </c>
      <c r="C1193" t="s">
        <v>25</v>
      </c>
      <c r="D1193">
        <v>0</v>
      </c>
    </row>
    <row r="1194" spans="1:4" x14ac:dyDescent="0.35">
      <c r="A1194" t="s">
        <v>11</v>
      </c>
      <c r="B1194" t="s">
        <v>4</v>
      </c>
      <c r="C1194" t="s">
        <v>25</v>
      </c>
      <c r="D1194">
        <v>0</v>
      </c>
    </row>
    <row r="1195" spans="1:4" x14ac:dyDescent="0.35">
      <c r="A1195" t="s">
        <v>12</v>
      </c>
      <c r="B1195" t="s">
        <v>4</v>
      </c>
      <c r="C1195" t="s">
        <v>25</v>
      </c>
      <c r="D1195">
        <v>0</v>
      </c>
    </row>
    <row r="1196" spans="1:4" x14ac:dyDescent="0.35">
      <c r="A1196" t="s">
        <v>13</v>
      </c>
      <c r="B1196" t="s">
        <v>4</v>
      </c>
      <c r="C1196" t="s">
        <v>25</v>
      </c>
      <c r="D1196">
        <v>0</v>
      </c>
    </row>
    <row r="1197" spans="1:4" x14ac:dyDescent="0.35">
      <c r="A1197" t="s">
        <v>14</v>
      </c>
      <c r="B1197" t="s">
        <v>4</v>
      </c>
      <c r="C1197" t="s">
        <v>25</v>
      </c>
      <c r="D1197">
        <v>0</v>
      </c>
    </row>
    <row r="1198" spans="1:4" x14ac:dyDescent="0.35">
      <c r="A1198" t="s">
        <v>15</v>
      </c>
      <c r="B1198" t="s">
        <v>4</v>
      </c>
      <c r="C1198" t="s">
        <v>25</v>
      </c>
      <c r="D1198">
        <v>0</v>
      </c>
    </row>
    <row r="1199" spans="1:4" x14ac:dyDescent="0.35">
      <c r="A1199" t="s">
        <v>16</v>
      </c>
      <c r="B1199" t="s">
        <v>4</v>
      </c>
      <c r="C1199" t="s">
        <v>25</v>
      </c>
      <c r="D1199">
        <v>0</v>
      </c>
    </row>
    <row r="1200" spans="1:4" x14ac:dyDescent="0.35">
      <c r="A1200" t="s">
        <v>17</v>
      </c>
      <c r="B1200" t="s">
        <v>4</v>
      </c>
      <c r="C1200" t="s">
        <v>25</v>
      </c>
      <c r="D1200">
        <v>0</v>
      </c>
    </row>
    <row r="1201" spans="1:4" x14ac:dyDescent="0.35">
      <c r="A1201" t="s">
        <v>18</v>
      </c>
      <c r="B1201" t="s">
        <v>4</v>
      </c>
      <c r="C1201" t="s">
        <v>25</v>
      </c>
      <c r="D1201">
        <v>0</v>
      </c>
    </row>
    <row r="1202" spans="1:4" x14ac:dyDescent="0.35">
      <c r="A1202" t="s">
        <v>19</v>
      </c>
      <c r="B1202" t="s">
        <v>4</v>
      </c>
      <c r="C1202" t="s">
        <v>25</v>
      </c>
      <c r="D1202">
        <v>0</v>
      </c>
    </row>
    <row r="1203" spans="1:4" x14ac:dyDescent="0.35">
      <c r="A1203" t="s">
        <v>20</v>
      </c>
      <c r="B1203" t="s">
        <v>4</v>
      </c>
      <c r="C1203" t="s">
        <v>25</v>
      </c>
      <c r="D1203">
        <v>0</v>
      </c>
    </row>
    <row r="1204" spans="1:4" x14ac:dyDescent="0.35">
      <c r="A1204" t="s">
        <v>21</v>
      </c>
      <c r="B1204" t="s">
        <v>4</v>
      </c>
      <c r="C1204" t="s">
        <v>25</v>
      </c>
      <c r="D1204">
        <v>0</v>
      </c>
    </row>
    <row r="1205" spans="1:4" x14ac:dyDescent="0.35">
      <c r="A1205" t="s">
        <v>22</v>
      </c>
      <c r="B1205" t="s">
        <v>4</v>
      </c>
      <c r="C1205" t="s">
        <v>25</v>
      </c>
      <c r="D1205">
        <v>0</v>
      </c>
    </row>
    <row r="1206" spans="1:4" x14ac:dyDescent="0.35">
      <c r="A1206" t="s">
        <v>23</v>
      </c>
      <c r="B1206" t="s">
        <v>4</v>
      </c>
      <c r="C1206" t="s">
        <v>25</v>
      </c>
      <c r="D1206">
        <v>0</v>
      </c>
    </row>
    <row r="1207" spans="1:4" x14ac:dyDescent="0.35">
      <c r="A1207" t="s">
        <v>24</v>
      </c>
      <c r="B1207" t="s">
        <v>4</v>
      </c>
      <c r="C1207" t="s">
        <v>25</v>
      </c>
      <c r="D1207">
        <v>0</v>
      </c>
    </row>
    <row r="1208" spans="1:4" x14ac:dyDescent="0.35">
      <c r="A1208" t="s">
        <v>25</v>
      </c>
      <c r="B1208" t="s">
        <v>4</v>
      </c>
      <c r="C1208" t="s">
        <v>25</v>
      </c>
      <c r="D1208">
        <v>0</v>
      </c>
    </row>
    <row r="1209" spans="1:4" x14ac:dyDescent="0.35">
      <c r="A1209" t="s">
        <v>26</v>
      </c>
      <c r="B1209" t="s">
        <v>4</v>
      </c>
      <c r="C1209" t="s">
        <v>25</v>
      </c>
      <c r="D1209">
        <v>0</v>
      </c>
    </row>
    <row r="1210" spans="1:4" x14ac:dyDescent="0.35">
      <c r="A1210" t="s">
        <v>27</v>
      </c>
      <c r="B1210" t="s">
        <v>4</v>
      </c>
      <c r="C1210" t="s">
        <v>25</v>
      </c>
      <c r="D1210">
        <v>0</v>
      </c>
    </row>
    <row r="1211" spans="1:4" x14ac:dyDescent="0.35">
      <c r="A1211" t="s">
        <v>28</v>
      </c>
      <c r="B1211" t="s">
        <v>4</v>
      </c>
      <c r="C1211" t="s">
        <v>25</v>
      </c>
      <c r="D1211">
        <v>0</v>
      </c>
    </row>
    <row r="1212" spans="1:4" x14ac:dyDescent="0.35">
      <c r="A1212" t="s">
        <v>29</v>
      </c>
      <c r="B1212" t="s">
        <v>4</v>
      </c>
      <c r="C1212" t="s">
        <v>25</v>
      </c>
      <c r="D1212">
        <v>0</v>
      </c>
    </row>
    <row r="1213" spans="1:4" x14ac:dyDescent="0.35">
      <c r="A1213" t="s">
        <v>30</v>
      </c>
      <c r="B1213" t="s">
        <v>4</v>
      </c>
      <c r="C1213" t="s">
        <v>25</v>
      </c>
      <c r="D1213">
        <v>0</v>
      </c>
    </row>
    <row r="1214" spans="1:4" x14ac:dyDescent="0.35">
      <c r="A1214" t="s">
        <v>31</v>
      </c>
      <c r="B1214" t="s">
        <v>4</v>
      </c>
      <c r="C1214" t="s">
        <v>25</v>
      </c>
      <c r="D1214">
        <v>0</v>
      </c>
    </row>
    <row r="1215" spans="1:4" x14ac:dyDescent="0.35">
      <c r="A1215" t="s">
        <v>32</v>
      </c>
      <c r="B1215" t="s">
        <v>4</v>
      </c>
      <c r="C1215" t="s">
        <v>25</v>
      </c>
      <c r="D1215">
        <v>0</v>
      </c>
    </row>
    <row r="1216" spans="1:4" x14ac:dyDescent="0.35">
      <c r="A1216" t="s">
        <v>33</v>
      </c>
      <c r="B1216" t="s">
        <v>4</v>
      </c>
      <c r="C1216" t="s">
        <v>25</v>
      </c>
      <c r="D1216">
        <v>0</v>
      </c>
    </row>
    <row r="1217" spans="1:4" x14ac:dyDescent="0.35">
      <c r="A1217" t="s">
        <v>34</v>
      </c>
      <c r="B1217" t="s">
        <v>4</v>
      </c>
      <c r="C1217" t="s">
        <v>25</v>
      </c>
      <c r="D1217">
        <v>0</v>
      </c>
    </row>
    <row r="1218" spans="1:4" x14ac:dyDescent="0.35">
      <c r="A1218" t="s">
        <v>35</v>
      </c>
      <c r="B1218" t="s">
        <v>4</v>
      </c>
      <c r="C1218" t="s">
        <v>25</v>
      </c>
      <c r="D1218">
        <v>0</v>
      </c>
    </row>
    <row r="1219" spans="1:4" x14ac:dyDescent="0.35">
      <c r="A1219" t="s">
        <v>36</v>
      </c>
      <c r="B1219" t="s">
        <v>4</v>
      </c>
      <c r="C1219" t="s">
        <v>25</v>
      </c>
      <c r="D1219">
        <v>0</v>
      </c>
    </row>
    <row r="1220" spans="1:4" x14ac:dyDescent="0.35">
      <c r="A1220" t="s">
        <v>37</v>
      </c>
      <c r="B1220" t="s">
        <v>4</v>
      </c>
      <c r="C1220" t="s">
        <v>25</v>
      </c>
      <c r="D1220">
        <v>0</v>
      </c>
    </row>
    <row r="1221" spans="1:4" x14ac:dyDescent="0.35">
      <c r="A1221" t="s">
        <v>38</v>
      </c>
      <c r="B1221" t="s">
        <v>4</v>
      </c>
      <c r="C1221" t="s">
        <v>25</v>
      </c>
      <c r="D1221">
        <v>0</v>
      </c>
    </row>
    <row r="1222" spans="1:4" x14ac:dyDescent="0.35">
      <c r="A1222" t="s">
        <v>39</v>
      </c>
      <c r="B1222" t="s">
        <v>4</v>
      </c>
      <c r="C1222" t="s">
        <v>25</v>
      </c>
      <c r="D1222">
        <v>0</v>
      </c>
    </row>
    <row r="1223" spans="1:4" x14ac:dyDescent="0.35">
      <c r="A1223" t="s">
        <v>7</v>
      </c>
      <c r="B1223" t="s">
        <v>5</v>
      </c>
      <c r="C1223" t="s">
        <v>25</v>
      </c>
      <c r="D1223">
        <v>0</v>
      </c>
    </row>
    <row r="1224" spans="1:4" x14ac:dyDescent="0.35">
      <c r="A1224" t="s">
        <v>8</v>
      </c>
      <c r="B1224" t="s">
        <v>5</v>
      </c>
      <c r="C1224" t="s">
        <v>25</v>
      </c>
      <c r="D1224">
        <v>0</v>
      </c>
    </row>
    <row r="1225" spans="1:4" x14ac:dyDescent="0.35">
      <c r="A1225" t="s">
        <v>9</v>
      </c>
      <c r="B1225" t="s">
        <v>5</v>
      </c>
      <c r="C1225" t="s">
        <v>25</v>
      </c>
      <c r="D1225">
        <v>0</v>
      </c>
    </row>
    <row r="1226" spans="1:4" x14ac:dyDescent="0.35">
      <c r="A1226" t="s">
        <v>10</v>
      </c>
      <c r="B1226" t="s">
        <v>5</v>
      </c>
      <c r="C1226" t="s">
        <v>25</v>
      </c>
      <c r="D1226">
        <v>0</v>
      </c>
    </row>
    <row r="1227" spans="1:4" x14ac:dyDescent="0.35">
      <c r="A1227" t="s">
        <v>11</v>
      </c>
      <c r="B1227" t="s">
        <v>5</v>
      </c>
      <c r="C1227" t="s">
        <v>25</v>
      </c>
      <c r="D1227">
        <v>0</v>
      </c>
    </row>
    <row r="1228" spans="1:4" x14ac:dyDescent="0.35">
      <c r="A1228" t="s">
        <v>12</v>
      </c>
      <c r="B1228" t="s">
        <v>5</v>
      </c>
      <c r="C1228" t="s">
        <v>25</v>
      </c>
      <c r="D1228">
        <v>0</v>
      </c>
    </row>
    <row r="1229" spans="1:4" x14ac:dyDescent="0.35">
      <c r="A1229" t="s">
        <v>13</v>
      </c>
      <c r="B1229" t="s">
        <v>5</v>
      </c>
      <c r="C1229" t="s">
        <v>25</v>
      </c>
      <c r="D1229">
        <v>0</v>
      </c>
    </row>
    <row r="1230" spans="1:4" x14ac:dyDescent="0.35">
      <c r="A1230" t="s">
        <v>14</v>
      </c>
      <c r="B1230" t="s">
        <v>5</v>
      </c>
      <c r="C1230" t="s">
        <v>25</v>
      </c>
      <c r="D1230">
        <v>0</v>
      </c>
    </row>
    <row r="1231" spans="1:4" x14ac:dyDescent="0.35">
      <c r="A1231" t="s">
        <v>15</v>
      </c>
      <c r="B1231" t="s">
        <v>5</v>
      </c>
      <c r="C1231" t="s">
        <v>25</v>
      </c>
      <c r="D1231">
        <v>0</v>
      </c>
    </row>
    <row r="1232" spans="1:4" x14ac:dyDescent="0.35">
      <c r="A1232" t="s">
        <v>16</v>
      </c>
      <c r="B1232" t="s">
        <v>5</v>
      </c>
      <c r="C1232" t="s">
        <v>25</v>
      </c>
      <c r="D1232">
        <v>0</v>
      </c>
    </row>
    <row r="1233" spans="1:4" x14ac:dyDescent="0.35">
      <c r="A1233" t="s">
        <v>17</v>
      </c>
      <c r="B1233" t="s">
        <v>5</v>
      </c>
      <c r="C1233" t="s">
        <v>25</v>
      </c>
      <c r="D1233">
        <v>0</v>
      </c>
    </row>
    <row r="1234" spans="1:4" x14ac:dyDescent="0.35">
      <c r="A1234" t="s">
        <v>18</v>
      </c>
      <c r="B1234" t="s">
        <v>5</v>
      </c>
      <c r="C1234" t="s">
        <v>25</v>
      </c>
      <c r="D1234">
        <v>0</v>
      </c>
    </row>
    <row r="1235" spans="1:4" x14ac:dyDescent="0.35">
      <c r="A1235" t="s">
        <v>19</v>
      </c>
      <c r="B1235" t="s">
        <v>5</v>
      </c>
      <c r="C1235" t="s">
        <v>25</v>
      </c>
      <c r="D1235">
        <v>0</v>
      </c>
    </row>
    <row r="1236" spans="1:4" x14ac:dyDescent="0.35">
      <c r="A1236" t="s">
        <v>20</v>
      </c>
      <c r="B1236" t="s">
        <v>5</v>
      </c>
      <c r="C1236" t="s">
        <v>25</v>
      </c>
      <c r="D1236">
        <v>0</v>
      </c>
    </row>
    <row r="1237" spans="1:4" x14ac:dyDescent="0.35">
      <c r="A1237" t="s">
        <v>21</v>
      </c>
      <c r="B1237" t="s">
        <v>5</v>
      </c>
      <c r="C1237" t="s">
        <v>25</v>
      </c>
      <c r="D1237">
        <v>0</v>
      </c>
    </row>
    <row r="1238" spans="1:4" x14ac:dyDescent="0.35">
      <c r="A1238" t="s">
        <v>22</v>
      </c>
      <c r="B1238" t="s">
        <v>5</v>
      </c>
      <c r="C1238" t="s">
        <v>25</v>
      </c>
      <c r="D1238">
        <v>0</v>
      </c>
    </row>
    <row r="1239" spans="1:4" x14ac:dyDescent="0.35">
      <c r="A1239" t="s">
        <v>23</v>
      </c>
      <c r="B1239" t="s">
        <v>5</v>
      </c>
      <c r="C1239" t="s">
        <v>25</v>
      </c>
      <c r="D1239">
        <v>0</v>
      </c>
    </row>
    <row r="1240" spans="1:4" x14ac:dyDescent="0.35">
      <c r="A1240" t="s">
        <v>24</v>
      </c>
      <c r="B1240" t="s">
        <v>5</v>
      </c>
      <c r="C1240" t="s">
        <v>25</v>
      </c>
      <c r="D1240">
        <v>0</v>
      </c>
    </row>
    <row r="1241" spans="1:4" x14ac:dyDescent="0.35">
      <c r="A1241" t="s">
        <v>25</v>
      </c>
      <c r="B1241" t="s">
        <v>5</v>
      </c>
      <c r="C1241" t="s">
        <v>25</v>
      </c>
      <c r="D1241">
        <v>0</v>
      </c>
    </row>
    <row r="1242" spans="1:4" x14ac:dyDescent="0.35">
      <c r="A1242" t="s">
        <v>26</v>
      </c>
      <c r="B1242" t="s">
        <v>5</v>
      </c>
      <c r="C1242" t="s">
        <v>25</v>
      </c>
      <c r="D1242">
        <v>0</v>
      </c>
    </row>
    <row r="1243" spans="1:4" x14ac:dyDescent="0.35">
      <c r="A1243" t="s">
        <v>27</v>
      </c>
      <c r="B1243" t="s">
        <v>5</v>
      </c>
      <c r="C1243" t="s">
        <v>25</v>
      </c>
      <c r="D1243">
        <v>0</v>
      </c>
    </row>
    <row r="1244" spans="1:4" x14ac:dyDescent="0.35">
      <c r="A1244" t="s">
        <v>28</v>
      </c>
      <c r="B1244" t="s">
        <v>5</v>
      </c>
      <c r="C1244" t="s">
        <v>25</v>
      </c>
      <c r="D1244">
        <v>0</v>
      </c>
    </row>
    <row r="1245" spans="1:4" x14ac:dyDescent="0.35">
      <c r="A1245" t="s">
        <v>29</v>
      </c>
      <c r="B1245" t="s">
        <v>5</v>
      </c>
      <c r="C1245" t="s">
        <v>25</v>
      </c>
      <c r="D1245">
        <v>0</v>
      </c>
    </row>
    <row r="1246" spans="1:4" x14ac:dyDescent="0.35">
      <c r="A1246" t="s">
        <v>30</v>
      </c>
      <c r="B1246" t="s">
        <v>5</v>
      </c>
      <c r="C1246" t="s">
        <v>25</v>
      </c>
      <c r="D1246">
        <v>0</v>
      </c>
    </row>
    <row r="1247" spans="1:4" x14ac:dyDescent="0.35">
      <c r="A1247" t="s">
        <v>31</v>
      </c>
      <c r="B1247" t="s">
        <v>5</v>
      </c>
      <c r="C1247" t="s">
        <v>25</v>
      </c>
      <c r="D1247">
        <v>0</v>
      </c>
    </row>
    <row r="1248" spans="1:4" x14ac:dyDescent="0.35">
      <c r="A1248" t="s">
        <v>32</v>
      </c>
      <c r="B1248" t="s">
        <v>5</v>
      </c>
      <c r="C1248" t="s">
        <v>25</v>
      </c>
      <c r="D1248">
        <v>0</v>
      </c>
    </row>
    <row r="1249" spans="1:4" x14ac:dyDescent="0.35">
      <c r="A1249" t="s">
        <v>33</v>
      </c>
      <c r="B1249" t="s">
        <v>5</v>
      </c>
      <c r="C1249" t="s">
        <v>25</v>
      </c>
      <c r="D1249">
        <v>0</v>
      </c>
    </row>
    <row r="1250" spans="1:4" x14ac:dyDescent="0.35">
      <c r="A1250" t="s">
        <v>34</v>
      </c>
      <c r="B1250" t="s">
        <v>5</v>
      </c>
      <c r="C1250" t="s">
        <v>25</v>
      </c>
      <c r="D1250">
        <v>0</v>
      </c>
    </row>
    <row r="1251" spans="1:4" x14ac:dyDescent="0.35">
      <c r="A1251" t="s">
        <v>35</v>
      </c>
      <c r="B1251" t="s">
        <v>5</v>
      </c>
      <c r="C1251" t="s">
        <v>25</v>
      </c>
      <c r="D1251">
        <v>0</v>
      </c>
    </row>
    <row r="1252" spans="1:4" x14ac:dyDescent="0.35">
      <c r="A1252" t="s">
        <v>36</v>
      </c>
      <c r="B1252" t="s">
        <v>5</v>
      </c>
      <c r="C1252" t="s">
        <v>25</v>
      </c>
      <c r="D1252">
        <v>0</v>
      </c>
    </row>
    <row r="1253" spans="1:4" x14ac:dyDescent="0.35">
      <c r="A1253" t="s">
        <v>37</v>
      </c>
      <c r="B1253" t="s">
        <v>5</v>
      </c>
      <c r="C1253" t="s">
        <v>25</v>
      </c>
      <c r="D1253">
        <v>0</v>
      </c>
    </row>
    <row r="1254" spans="1:4" x14ac:dyDescent="0.35">
      <c r="A1254" t="s">
        <v>38</v>
      </c>
      <c r="B1254" t="s">
        <v>5</v>
      </c>
      <c r="C1254" t="s">
        <v>25</v>
      </c>
      <c r="D1254">
        <v>0</v>
      </c>
    </row>
    <row r="1255" spans="1:4" x14ac:dyDescent="0.35">
      <c r="A1255" t="s">
        <v>39</v>
      </c>
      <c r="B1255" t="s">
        <v>5</v>
      </c>
      <c r="C1255" t="s">
        <v>25</v>
      </c>
      <c r="D1255">
        <v>0</v>
      </c>
    </row>
    <row r="1256" spans="1:4" x14ac:dyDescent="0.35">
      <c r="A1256" t="s">
        <v>7</v>
      </c>
      <c r="B1256" t="s">
        <v>4</v>
      </c>
      <c r="C1256" t="s">
        <v>26</v>
      </c>
      <c r="D1256">
        <v>0</v>
      </c>
    </row>
    <row r="1257" spans="1:4" x14ac:dyDescent="0.35">
      <c r="A1257" t="s">
        <v>8</v>
      </c>
      <c r="B1257" t="s">
        <v>4</v>
      </c>
      <c r="C1257" t="s">
        <v>26</v>
      </c>
      <c r="D1257">
        <v>0</v>
      </c>
    </row>
    <row r="1258" spans="1:4" x14ac:dyDescent="0.35">
      <c r="A1258" t="s">
        <v>9</v>
      </c>
      <c r="B1258" t="s">
        <v>4</v>
      </c>
      <c r="C1258" t="s">
        <v>26</v>
      </c>
      <c r="D1258">
        <v>0</v>
      </c>
    </row>
    <row r="1259" spans="1:4" x14ac:dyDescent="0.35">
      <c r="A1259" t="s">
        <v>10</v>
      </c>
      <c r="B1259" t="s">
        <v>4</v>
      </c>
      <c r="C1259" t="s">
        <v>26</v>
      </c>
      <c r="D1259">
        <v>0</v>
      </c>
    </row>
    <row r="1260" spans="1:4" x14ac:dyDescent="0.35">
      <c r="A1260" t="s">
        <v>11</v>
      </c>
      <c r="B1260" t="s">
        <v>4</v>
      </c>
      <c r="C1260" t="s">
        <v>26</v>
      </c>
      <c r="D1260">
        <v>0</v>
      </c>
    </row>
    <row r="1261" spans="1:4" x14ac:dyDescent="0.35">
      <c r="A1261" t="s">
        <v>12</v>
      </c>
      <c r="B1261" t="s">
        <v>4</v>
      </c>
      <c r="C1261" t="s">
        <v>26</v>
      </c>
      <c r="D1261">
        <v>0</v>
      </c>
    </row>
    <row r="1262" spans="1:4" x14ac:dyDescent="0.35">
      <c r="A1262" t="s">
        <v>13</v>
      </c>
      <c r="B1262" t="s">
        <v>4</v>
      </c>
      <c r="C1262" t="s">
        <v>26</v>
      </c>
      <c r="D1262">
        <v>0</v>
      </c>
    </row>
    <row r="1263" spans="1:4" x14ac:dyDescent="0.35">
      <c r="A1263" t="s">
        <v>14</v>
      </c>
      <c r="B1263" t="s">
        <v>4</v>
      </c>
      <c r="C1263" t="s">
        <v>26</v>
      </c>
      <c r="D1263">
        <v>0</v>
      </c>
    </row>
    <row r="1264" spans="1:4" x14ac:dyDescent="0.35">
      <c r="A1264" t="s">
        <v>15</v>
      </c>
      <c r="B1264" t="s">
        <v>4</v>
      </c>
      <c r="C1264" t="s">
        <v>26</v>
      </c>
      <c r="D1264">
        <v>0</v>
      </c>
    </row>
    <row r="1265" spans="1:4" x14ac:dyDescent="0.35">
      <c r="A1265" t="s">
        <v>16</v>
      </c>
      <c r="B1265" t="s">
        <v>4</v>
      </c>
      <c r="C1265" t="s">
        <v>26</v>
      </c>
      <c r="D1265">
        <v>0</v>
      </c>
    </row>
    <row r="1266" spans="1:4" x14ac:dyDescent="0.35">
      <c r="A1266" t="s">
        <v>17</v>
      </c>
      <c r="B1266" t="s">
        <v>4</v>
      </c>
      <c r="C1266" t="s">
        <v>26</v>
      </c>
      <c r="D1266">
        <v>0</v>
      </c>
    </row>
    <row r="1267" spans="1:4" x14ac:dyDescent="0.35">
      <c r="A1267" t="s">
        <v>18</v>
      </c>
      <c r="B1267" t="s">
        <v>4</v>
      </c>
      <c r="C1267" t="s">
        <v>26</v>
      </c>
      <c r="D1267">
        <v>0</v>
      </c>
    </row>
    <row r="1268" spans="1:4" x14ac:dyDescent="0.35">
      <c r="A1268" t="s">
        <v>19</v>
      </c>
      <c r="B1268" t="s">
        <v>4</v>
      </c>
      <c r="C1268" t="s">
        <v>26</v>
      </c>
      <c r="D1268">
        <v>0</v>
      </c>
    </row>
    <row r="1269" spans="1:4" x14ac:dyDescent="0.35">
      <c r="A1269" t="s">
        <v>20</v>
      </c>
      <c r="B1269" t="s">
        <v>4</v>
      </c>
      <c r="C1269" t="s">
        <v>26</v>
      </c>
      <c r="D1269">
        <v>0</v>
      </c>
    </row>
    <row r="1270" spans="1:4" x14ac:dyDescent="0.35">
      <c r="A1270" t="s">
        <v>21</v>
      </c>
      <c r="B1270" t="s">
        <v>4</v>
      </c>
      <c r="C1270" t="s">
        <v>26</v>
      </c>
      <c r="D1270">
        <v>0</v>
      </c>
    </row>
    <row r="1271" spans="1:4" x14ac:dyDescent="0.35">
      <c r="A1271" t="s">
        <v>22</v>
      </c>
      <c r="B1271" t="s">
        <v>4</v>
      </c>
      <c r="C1271" t="s">
        <v>26</v>
      </c>
      <c r="D1271">
        <v>0</v>
      </c>
    </row>
    <row r="1272" spans="1:4" x14ac:dyDescent="0.35">
      <c r="A1272" t="s">
        <v>23</v>
      </c>
      <c r="B1272" t="s">
        <v>4</v>
      </c>
      <c r="C1272" t="s">
        <v>26</v>
      </c>
      <c r="D1272">
        <v>0</v>
      </c>
    </row>
    <row r="1273" spans="1:4" x14ac:dyDescent="0.35">
      <c r="A1273" t="s">
        <v>24</v>
      </c>
      <c r="B1273" t="s">
        <v>4</v>
      </c>
      <c r="C1273" t="s">
        <v>26</v>
      </c>
      <c r="D1273">
        <v>0</v>
      </c>
    </row>
    <row r="1274" spans="1:4" x14ac:dyDescent="0.35">
      <c r="A1274" t="s">
        <v>25</v>
      </c>
      <c r="B1274" t="s">
        <v>4</v>
      </c>
      <c r="C1274" t="s">
        <v>26</v>
      </c>
      <c r="D1274">
        <v>0</v>
      </c>
    </row>
    <row r="1275" spans="1:4" x14ac:dyDescent="0.35">
      <c r="A1275" t="s">
        <v>26</v>
      </c>
      <c r="B1275" t="s">
        <v>4</v>
      </c>
      <c r="C1275" t="s">
        <v>26</v>
      </c>
      <c r="D1275">
        <v>0</v>
      </c>
    </row>
    <row r="1276" spans="1:4" x14ac:dyDescent="0.35">
      <c r="A1276" t="s">
        <v>27</v>
      </c>
      <c r="B1276" t="s">
        <v>4</v>
      </c>
      <c r="C1276" t="s">
        <v>26</v>
      </c>
      <c r="D1276">
        <v>0</v>
      </c>
    </row>
    <row r="1277" spans="1:4" x14ac:dyDescent="0.35">
      <c r="A1277" t="s">
        <v>28</v>
      </c>
      <c r="B1277" t="s">
        <v>4</v>
      </c>
      <c r="C1277" t="s">
        <v>26</v>
      </c>
      <c r="D1277">
        <v>0</v>
      </c>
    </row>
    <row r="1278" spans="1:4" x14ac:dyDescent="0.35">
      <c r="A1278" t="s">
        <v>29</v>
      </c>
      <c r="B1278" t="s">
        <v>4</v>
      </c>
      <c r="C1278" t="s">
        <v>26</v>
      </c>
      <c r="D1278">
        <v>0</v>
      </c>
    </row>
    <row r="1279" spans="1:4" x14ac:dyDescent="0.35">
      <c r="A1279" t="s">
        <v>30</v>
      </c>
      <c r="B1279" t="s">
        <v>4</v>
      </c>
      <c r="C1279" t="s">
        <v>26</v>
      </c>
      <c r="D1279">
        <v>0</v>
      </c>
    </row>
    <row r="1280" spans="1:4" x14ac:dyDescent="0.35">
      <c r="A1280" t="s">
        <v>31</v>
      </c>
      <c r="B1280" t="s">
        <v>4</v>
      </c>
      <c r="C1280" t="s">
        <v>26</v>
      </c>
      <c r="D1280">
        <v>0</v>
      </c>
    </row>
    <row r="1281" spans="1:4" x14ac:dyDescent="0.35">
      <c r="A1281" t="s">
        <v>32</v>
      </c>
      <c r="B1281" t="s">
        <v>4</v>
      </c>
      <c r="C1281" t="s">
        <v>26</v>
      </c>
      <c r="D1281">
        <v>0</v>
      </c>
    </row>
    <row r="1282" spans="1:4" x14ac:dyDescent="0.35">
      <c r="A1282" t="s">
        <v>33</v>
      </c>
      <c r="B1282" t="s">
        <v>4</v>
      </c>
      <c r="C1282" t="s">
        <v>26</v>
      </c>
      <c r="D1282">
        <v>0</v>
      </c>
    </row>
    <row r="1283" spans="1:4" x14ac:dyDescent="0.35">
      <c r="A1283" t="s">
        <v>34</v>
      </c>
      <c r="B1283" t="s">
        <v>4</v>
      </c>
      <c r="C1283" t="s">
        <v>26</v>
      </c>
      <c r="D1283">
        <v>0</v>
      </c>
    </row>
    <row r="1284" spans="1:4" x14ac:dyDescent="0.35">
      <c r="A1284" t="s">
        <v>35</v>
      </c>
      <c r="B1284" t="s">
        <v>4</v>
      </c>
      <c r="C1284" t="s">
        <v>26</v>
      </c>
      <c r="D1284">
        <v>0</v>
      </c>
    </row>
    <row r="1285" spans="1:4" x14ac:dyDescent="0.35">
      <c r="A1285" t="s">
        <v>36</v>
      </c>
      <c r="B1285" t="s">
        <v>4</v>
      </c>
      <c r="C1285" t="s">
        <v>26</v>
      </c>
      <c r="D1285">
        <v>0</v>
      </c>
    </row>
    <row r="1286" spans="1:4" x14ac:dyDescent="0.35">
      <c r="A1286" t="s">
        <v>37</v>
      </c>
      <c r="B1286" t="s">
        <v>4</v>
      </c>
      <c r="C1286" t="s">
        <v>26</v>
      </c>
      <c r="D1286">
        <v>0</v>
      </c>
    </row>
    <row r="1287" spans="1:4" x14ac:dyDescent="0.35">
      <c r="A1287" t="s">
        <v>38</v>
      </c>
      <c r="B1287" t="s">
        <v>4</v>
      </c>
      <c r="C1287" t="s">
        <v>26</v>
      </c>
      <c r="D1287">
        <v>0</v>
      </c>
    </row>
    <row r="1288" spans="1:4" x14ac:dyDescent="0.35">
      <c r="A1288" t="s">
        <v>39</v>
      </c>
      <c r="B1288" t="s">
        <v>4</v>
      </c>
      <c r="C1288" t="s">
        <v>26</v>
      </c>
      <c r="D1288">
        <v>0</v>
      </c>
    </row>
    <row r="1289" spans="1:4" x14ac:dyDescent="0.35">
      <c r="A1289" t="s">
        <v>7</v>
      </c>
      <c r="B1289" t="s">
        <v>5</v>
      </c>
      <c r="C1289" t="s">
        <v>26</v>
      </c>
      <c r="D1289">
        <v>0</v>
      </c>
    </row>
    <row r="1290" spans="1:4" x14ac:dyDescent="0.35">
      <c r="A1290" t="s">
        <v>8</v>
      </c>
      <c r="B1290" t="s">
        <v>5</v>
      </c>
      <c r="C1290" t="s">
        <v>26</v>
      </c>
      <c r="D1290">
        <v>0</v>
      </c>
    </row>
    <row r="1291" spans="1:4" x14ac:dyDescent="0.35">
      <c r="A1291" t="s">
        <v>9</v>
      </c>
      <c r="B1291" t="s">
        <v>5</v>
      </c>
      <c r="C1291" t="s">
        <v>26</v>
      </c>
      <c r="D1291">
        <v>0</v>
      </c>
    </row>
    <row r="1292" spans="1:4" x14ac:dyDescent="0.35">
      <c r="A1292" t="s">
        <v>10</v>
      </c>
      <c r="B1292" t="s">
        <v>5</v>
      </c>
      <c r="C1292" t="s">
        <v>26</v>
      </c>
      <c r="D1292">
        <v>0</v>
      </c>
    </row>
    <row r="1293" spans="1:4" x14ac:dyDescent="0.35">
      <c r="A1293" t="s">
        <v>11</v>
      </c>
      <c r="B1293" t="s">
        <v>5</v>
      </c>
      <c r="C1293" t="s">
        <v>26</v>
      </c>
      <c r="D1293">
        <v>0</v>
      </c>
    </row>
    <row r="1294" spans="1:4" x14ac:dyDescent="0.35">
      <c r="A1294" t="s">
        <v>12</v>
      </c>
      <c r="B1294" t="s">
        <v>5</v>
      </c>
      <c r="C1294" t="s">
        <v>26</v>
      </c>
      <c r="D1294">
        <v>0</v>
      </c>
    </row>
    <row r="1295" spans="1:4" x14ac:dyDescent="0.35">
      <c r="A1295" t="s">
        <v>13</v>
      </c>
      <c r="B1295" t="s">
        <v>5</v>
      </c>
      <c r="C1295" t="s">
        <v>26</v>
      </c>
      <c r="D1295">
        <v>0</v>
      </c>
    </row>
    <row r="1296" spans="1:4" x14ac:dyDescent="0.35">
      <c r="A1296" t="s">
        <v>14</v>
      </c>
      <c r="B1296" t="s">
        <v>5</v>
      </c>
      <c r="C1296" t="s">
        <v>26</v>
      </c>
      <c r="D1296">
        <v>0</v>
      </c>
    </row>
    <row r="1297" spans="1:4" x14ac:dyDescent="0.35">
      <c r="A1297" t="s">
        <v>15</v>
      </c>
      <c r="B1297" t="s">
        <v>5</v>
      </c>
      <c r="C1297" t="s">
        <v>26</v>
      </c>
      <c r="D1297">
        <v>0</v>
      </c>
    </row>
    <row r="1298" spans="1:4" x14ac:dyDescent="0.35">
      <c r="A1298" t="s">
        <v>16</v>
      </c>
      <c r="B1298" t="s">
        <v>5</v>
      </c>
      <c r="C1298" t="s">
        <v>26</v>
      </c>
      <c r="D1298">
        <v>0</v>
      </c>
    </row>
    <row r="1299" spans="1:4" x14ac:dyDescent="0.35">
      <c r="A1299" t="s">
        <v>17</v>
      </c>
      <c r="B1299" t="s">
        <v>5</v>
      </c>
      <c r="C1299" t="s">
        <v>26</v>
      </c>
      <c r="D1299">
        <v>0</v>
      </c>
    </row>
    <row r="1300" spans="1:4" x14ac:dyDescent="0.35">
      <c r="A1300" t="s">
        <v>18</v>
      </c>
      <c r="B1300" t="s">
        <v>5</v>
      </c>
      <c r="C1300" t="s">
        <v>26</v>
      </c>
      <c r="D1300">
        <v>0</v>
      </c>
    </row>
    <row r="1301" spans="1:4" x14ac:dyDescent="0.35">
      <c r="A1301" t="s">
        <v>19</v>
      </c>
      <c r="B1301" t="s">
        <v>5</v>
      </c>
      <c r="C1301" t="s">
        <v>26</v>
      </c>
      <c r="D1301">
        <v>0</v>
      </c>
    </row>
    <row r="1302" spans="1:4" x14ac:dyDescent="0.35">
      <c r="A1302" t="s">
        <v>20</v>
      </c>
      <c r="B1302" t="s">
        <v>5</v>
      </c>
      <c r="C1302" t="s">
        <v>26</v>
      </c>
      <c r="D1302">
        <v>0</v>
      </c>
    </row>
    <row r="1303" spans="1:4" x14ac:dyDescent="0.35">
      <c r="A1303" t="s">
        <v>21</v>
      </c>
      <c r="B1303" t="s">
        <v>5</v>
      </c>
      <c r="C1303" t="s">
        <v>26</v>
      </c>
      <c r="D1303">
        <v>0</v>
      </c>
    </row>
    <row r="1304" spans="1:4" x14ac:dyDescent="0.35">
      <c r="A1304" t="s">
        <v>22</v>
      </c>
      <c r="B1304" t="s">
        <v>5</v>
      </c>
      <c r="C1304" t="s">
        <v>26</v>
      </c>
      <c r="D1304">
        <v>0</v>
      </c>
    </row>
    <row r="1305" spans="1:4" x14ac:dyDescent="0.35">
      <c r="A1305" t="s">
        <v>23</v>
      </c>
      <c r="B1305" t="s">
        <v>5</v>
      </c>
      <c r="C1305" t="s">
        <v>26</v>
      </c>
      <c r="D1305">
        <v>0</v>
      </c>
    </row>
    <row r="1306" spans="1:4" x14ac:dyDescent="0.35">
      <c r="A1306" t="s">
        <v>24</v>
      </c>
      <c r="B1306" t="s">
        <v>5</v>
      </c>
      <c r="C1306" t="s">
        <v>26</v>
      </c>
      <c r="D1306">
        <v>0</v>
      </c>
    </row>
    <row r="1307" spans="1:4" x14ac:dyDescent="0.35">
      <c r="A1307" t="s">
        <v>25</v>
      </c>
      <c r="B1307" t="s">
        <v>5</v>
      </c>
      <c r="C1307" t="s">
        <v>26</v>
      </c>
      <c r="D1307">
        <v>0</v>
      </c>
    </row>
    <row r="1308" spans="1:4" x14ac:dyDescent="0.35">
      <c r="A1308" t="s">
        <v>26</v>
      </c>
      <c r="B1308" t="s">
        <v>5</v>
      </c>
      <c r="C1308" t="s">
        <v>26</v>
      </c>
      <c r="D1308">
        <v>0</v>
      </c>
    </row>
    <row r="1309" spans="1:4" x14ac:dyDescent="0.35">
      <c r="A1309" t="s">
        <v>27</v>
      </c>
      <c r="B1309" t="s">
        <v>5</v>
      </c>
      <c r="C1309" t="s">
        <v>26</v>
      </c>
      <c r="D1309">
        <v>0</v>
      </c>
    </row>
    <row r="1310" spans="1:4" x14ac:dyDescent="0.35">
      <c r="A1310" t="s">
        <v>28</v>
      </c>
      <c r="B1310" t="s">
        <v>5</v>
      </c>
      <c r="C1310" t="s">
        <v>26</v>
      </c>
      <c r="D1310">
        <v>0</v>
      </c>
    </row>
    <row r="1311" spans="1:4" x14ac:dyDescent="0.35">
      <c r="A1311" t="s">
        <v>29</v>
      </c>
      <c r="B1311" t="s">
        <v>5</v>
      </c>
      <c r="C1311" t="s">
        <v>26</v>
      </c>
      <c r="D1311">
        <v>0</v>
      </c>
    </row>
    <row r="1312" spans="1:4" x14ac:dyDescent="0.35">
      <c r="A1312" t="s">
        <v>30</v>
      </c>
      <c r="B1312" t="s">
        <v>5</v>
      </c>
      <c r="C1312" t="s">
        <v>26</v>
      </c>
      <c r="D1312">
        <v>0</v>
      </c>
    </row>
    <row r="1313" spans="1:4" x14ac:dyDescent="0.35">
      <c r="A1313" t="s">
        <v>31</v>
      </c>
      <c r="B1313" t="s">
        <v>5</v>
      </c>
      <c r="C1313" t="s">
        <v>26</v>
      </c>
      <c r="D1313">
        <v>0</v>
      </c>
    </row>
    <row r="1314" spans="1:4" x14ac:dyDescent="0.35">
      <c r="A1314" t="s">
        <v>32</v>
      </c>
      <c r="B1314" t="s">
        <v>5</v>
      </c>
      <c r="C1314" t="s">
        <v>26</v>
      </c>
      <c r="D1314">
        <v>0</v>
      </c>
    </row>
    <row r="1315" spans="1:4" x14ac:dyDescent="0.35">
      <c r="A1315" t="s">
        <v>33</v>
      </c>
      <c r="B1315" t="s">
        <v>5</v>
      </c>
      <c r="C1315" t="s">
        <v>26</v>
      </c>
      <c r="D1315">
        <v>0</v>
      </c>
    </row>
    <row r="1316" spans="1:4" x14ac:dyDescent="0.35">
      <c r="A1316" t="s">
        <v>34</v>
      </c>
      <c r="B1316" t="s">
        <v>5</v>
      </c>
      <c r="C1316" t="s">
        <v>26</v>
      </c>
      <c r="D1316">
        <v>0</v>
      </c>
    </row>
    <row r="1317" spans="1:4" x14ac:dyDescent="0.35">
      <c r="A1317" t="s">
        <v>35</v>
      </c>
      <c r="B1317" t="s">
        <v>5</v>
      </c>
      <c r="C1317" t="s">
        <v>26</v>
      </c>
      <c r="D1317">
        <v>0</v>
      </c>
    </row>
    <row r="1318" spans="1:4" x14ac:dyDescent="0.35">
      <c r="A1318" t="s">
        <v>36</v>
      </c>
      <c r="B1318" t="s">
        <v>5</v>
      </c>
      <c r="C1318" t="s">
        <v>26</v>
      </c>
      <c r="D1318">
        <v>0</v>
      </c>
    </row>
    <row r="1319" spans="1:4" x14ac:dyDescent="0.35">
      <c r="A1319" t="s">
        <v>37</v>
      </c>
      <c r="B1319" t="s">
        <v>5</v>
      </c>
      <c r="C1319" t="s">
        <v>26</v>
      </c>
      <c r="D1319">
        <v>0</v>
      </c>
    </row>
    <row r="1320" spans="1:4" x14ac:dyDescent="0.35">
      <c r="A1320" t="s">
        <v>38</v>
      </c>
      <c r="B1320" t="s">
        <v>5</v>
      </c>
      <c r="C1320" t="s">
        <v>26</v>
      </c>
      <c r="D1320">
        <v>0</v>
      </c>
    </row>
    <row r="1321" spans="1:4" x14ac:dyDescent="0.35">
      <c r="A1321" t="s">
        <v>39</v>
      </c>
      <c r="B1321" t="s">
        <v>5</v>
      </c>
      <c r="C1321" t="s">
        <v>26</v>
      </c>
      <c r="D1321">
        <v>0</v>
      </c>
    </row>
    <row r="1322" spans="1:4" x14ac:dyDescent="0.35">
      <c r="A1322" t="s">
        <v>7</v>
      </c>
      <c r="B1322" t="s">
        <v>4</v>
      </c>
      <c r="C1322" t="s">
        <v>27</v>
      </c>
      <c r="D1322">
        <v>0</v>
      </c>
    </row>
    <row r="1323" spans="1:4" x14ac:dyDescent="0.35">
      <c r="A1323" t="s">
        <v>8</v>
      </c>
      <c r="B1323" t="s">
        <v>4</v>
      </c>
      <c r="C1323" t="s">
        <v>27</v>
      </c>
      <c r="D1323">
        <v>0</v>
      </c>
    </row>
    <row r="1324" spans="1:4" x14ac:dyDescent="0.35">
      <c r="A1324" t="s">
        <v>9</v>
      </c>
      <c r="B1324" t="s">
        <v>4</v>
      </c>
      <c r="C1324" t="s">
        <v>27</v>
      </c>
      <c r="D1324">
        <v>0</v>
      </c>
    </row>
    <row r="1325" spans="1:4" x14ac:dyDescent="0.35">
      <c r="A1325" t="s">
        <v>10</v>
      </c>
      <c r="B1325" t="s">
        <v>4</v>
      </c>
      <c r="C1325" t="s">
        <v>27</v>
      </c>
      <c r="D1325">
        <v>0</v>
      </c>
    </row>
    <row r="1326" spans="1:4" x14ac:dyDescent="0.35">
      <c r="A1326" t="s">
        <v>11</v>
      </c>
      <c r="B1326" t="s">
        <v>4</v>
      </c>
      <c r="C1326" t="s">
        <v>27</v>
      </c>
      <c r="D1326">
        <v>0</v>
      </c>
    </row>
    <row r="1327" spans="1:4" x14ac:dyDescent="0.35">
      <c r="A1327" t="s">
        <v>12</v>
      </c>
      <c r="B1327" t="s">
        <v>4</v>
      </c>
      <c r="C1327" t="s">
        <v>27</v>
      </c>
      <c r="D1327">
        <v>0</v>
      </c>
    </row>
    <row r="1328" spans="1:4" x14ac:dyDescent="0.35">
      <c r="A1328" t="s">
        <v>13</v>
      </c>
      <c r="B1328" t="s">
        <v>4</v>
      </c>
      <c r="C1328" t="s">
        <v>27</v>
      </c>
      <c r="D1328">
        <v>0</v>
      </c>
    </row>
    <row r="1329" spans="1:4" x14ac:dyDescent="0.35">
      <c r="A1329" t="s">
        <v>14</v>
      </c>
      <c r="B1329" t="s">
        <v>4</v>
      </c>
      <c r="C1329" t="s">
        <v>27</v>
      </c>
      <c r="D1329">
        <v>0</v>
      </c>
    </row>
    <row r="1330" spans="1:4" x14ac:dyDescent="0.35">
      <c r="A1330" t="s">
        <v>15</v>
      </c>
      <c r="B1330" t="s">
        <v>4</v>
      </c>
      <c r="C1330" t="s">
        <v>27</v>
      </c>
      <c r="D1330">
        <v>0</v>
      </c>
    </row>
    <row r="1331" spans="1:4" x14ac:dyDescent="0.35">
      <c r="A1331" t="s">
        <v>16</v>
      </c>
      <c r="B1331" t="s">
        <v>4</v>
      </c>
      <c r="C1331" t="s">
        <v>27</v>
      </c>
      <c r="D1331">
        <v>0</v>
      </c>
    </row>
    <row r="1332" spans="1:4" x14ac:dyDescent="0.35">
      <c r="A1332" t="s">
        <v>17</v>
      </c>
      <c r="B1332" t="s">
        <v>4</v>
      </c>
      <c r="C1332" t="s">
        <v>27</v>
      </c>
      <c r="D1332">
        <v>0</v>
      </c>
    </row>
    <row r="1333" spans="1:4" x14ac:dyDescent="0.35">
      <c r="A1333" t="s">
        <v>18</v>
      </c>
      <c r="B1333" t="s">
        <v>4</v>
      </c>
      <c r="C1333" t="s">
        <v>27</v>
      </c>
      <c r="D1333">
        <v>0</v>
      </c>
    </row>
    <row r="1334" spans="1:4" x14ac:dyDescent="0.35">
      <c r="A1334" t="s">
        <v>19</v>
      </c>
      <c r="B1334" t="s">
        <v>4</v>
      </c>
      <c r="C1334" t="s">
        <v>27</v>
      </c>
      <c r="D1334">
        <v>0</v>
      </c>
    </row>
    <row r="1335" spans="1:4" x14ac:dyDescent="0.35">
      <c r="A1335" t="s">
        <v>20</v>
      </c>
      <c r="B1335" t="s">
        <v>4</v>
      </c>
      <c r="C1335" t="s">
        <v>27</v>
      </c>
      <c r="D1335">
        <v>0</v>
      </c>
    </row>
    <row r="1336" spans="1:4" x14ac:dyDescent="0.35">
      <c r="A1336" t="s">
        <v>21</v>
      </c>
      <c r="B1336" t="s">
        <v>4</v>
      </c>
      <c r="C1336" t="s">
        <v>27</v>
      </c>
      <c r="D1336">
        <v>0</v>
      </c>
    </row>
    <row r="1337" spans="1:4" x14ac:dyDescent="0.35">
      <c r="A1337" t="s">
        <v>22</v>
      </c>
      <c r="B1337" t="s">
        <v>4</v>
      </c>
      <c r="C1337" t="s">
        <v>27</v>
      </c>
      <c r="D1337">
        <v>0</v>
      </c>
    </row>
    <row r="1338" spans="1:4" x14ac:dyDescent="0.35">
      <c r="A1338" t="s">
        <v>23</v>
      </c>
      <c r="B1338" t="s">
        <v>4</v>
      </c>
      <c r="C1338" t="s">
        <v>27</v>
      </c>
      <c r="D1338">
        <v>0</v>
      </c>
    </row>
    <row r="1339" spans="1:4" x14ac:dyDescent="0.35">
      <c r="A1339" t="s">
        <v>24</v>
      </c>
      <c r="B1339" t="s">
        <v>4</v>
      </c>
      <c r="C1339" t="s">
        <v>27</v>
      </c>
      <c r="D1339">
        <v>0</v>
      </c>
    </row>
    <row r="1340" spans="1:4" x14ac:dyDescent="0.35">
      <c r="A1340" t="s">
        <v>25</v>
      </c>
      <c r="B1340" t="s">
        <v>4</v>
      </c>
      <c r="C1340" t="s">
        <v>27</v>
      </c>
      <c r="D1340">
        <v>0</v>
      </c>
    </row>
    <row r="1341" spans="1:4" x14ac:dyDescent="0.35">
      <c r="A1341" t="s">
        <v>26</v>
      </c>
      <c r="B1341" t="s">
        <v>4</v>
      </c>
      <c r="C1341" t="s">
        <v>27</v>
      </c>
      <c r="D1341">
        <v>0</v>
      </c>
    </row>
    <row r="1342" spans="1:4" x14ac:dyDescent="0.35">
      <c r="A1342" t="s">
        <v>27</v>
      </c>
      <c r="B1342" t="s">
        <v>4</v>
      </c>
      <c r="C1342" t="s">
        <v>27</v>
      </c>
      <c r="D1342">
        <v>0</v>
      </c>
    </row>
    <row r="1343" spans="1:4" x14ac:dyDescent="0.35">
      <c r="A1343" t="s">
        <v>28</v>
      </c>
      <c r="B1343" t="s">
        <v>4</v>
      </c>
      <c r="C1343" t="s">
        <v>27</v>
      </c>
      <c r="D1343">
        <v>0</v>
      </c>
    </row>
    <row r="1344" spans="1:4" x14ac:dyDescent="0.35">
      <c r="A1344" t="s">
        <v>29</v>
      </c>
      <c r="B1344" t="s">
        <v>4</v>
      </c>
      <c r="C1344" t="s">
        <v>27</v>
      </c>
      <c r="D1344">
        <v>0</v>
      </c>
    </row>
    <row r="1345" spans="1:4" x14ac:dyDescent="0.35">
      <c r="A1345" t="s">
        <v>30</v>
      </c>
      <c r="B1345" t="s">
        <v>4</v>
      </c>
      <c r="C1345" t="s">
        <v>27</v>
      </c>
      <c r="D1345">
        <v>0</v>
      </c>
    </row>
    <row r="1346" spans="1:4" x14ac:dyDescent="0.35">
      <c r="A1346" t="s">
        <v>31</v>
      </c>
      <c r="B1346" t="s">
        <v>4</v>
      </c>
      <c r="C1346" t="s">
        <v>27</v>
      </c>
      <c r="D1346">
        <v>0</v>
      </c>
    </row>
    <row r="1347" spans="1:4" x14ac:dyDescent="0.35">
      <c r="A1347" t="s">
        <v>32</v>
      </c>
      <c r="B1347" t="s">
        <v>4</v>
      </c>
      <c r="C1347" t="s">
        <v>27</v>
      </c>
      <c r="D1347">
        <v>0</v>
      </c>
    </row>
    <row r="1348" spans="1:4" x14ac:dyDescent="0.35">
      <c r="A1348" t="s">
        <v>33</v>
      </c>
      <c r="B1348" t="s">
        <v>4</v>
      </c>
      <c r="C1348" t="s">
        <v>27</v>
      </c>
      <c r="D1348">
        <v>0</v>
      </c>
    </row>
    <row r="1349" spans="1:4" x14ac:dyDescent="0.35">
      <c r="A1349" t="s">
        <v>34</v>
      </c>
      <c r="B1349" t="s">
        <v>4</v>
      </c>
      <c r="C1349" t="s">
        <v>27</v>
      </c>
      <c r="D1349">
        <v>0</v>
      </c>
    </row>
    <row r="1350" spans="1:4" x14ac:dyDescent="0.35">
      <c r="A1350" t="s">
        <v>35</v>
      </c>
      <c r="B1350" t="s">
        <v>4</v>
      </c>
      <c r="C1350" t="s">
        <v>27</v>
      </c>
      <c r="D1350">
        <v>0</v>
      </c>
    </row>
    <row r="1351" spans="1:4" x14ac:dyDescent="0.35">
      <c r="A1351" t="s">
        <v>36</v>
      </c>
      <c r="B1351" t="s">
        <v>4</v>
      </c>
      <c r="C1351" t="s">
        <v>27</v>
      </c>
      <c r="D1351">
        <v>0</v>
      </c>
    </row>
    <row r="1352" spans="1:4" x14ac:dyDescent="0.35">
      <c r="A1352" t="s">
        <v>37</v>
      </c>
      <c r="B1352" t="s">
        <v>4</v>
      </c>
      <c r="C1352" t="s">
        <v>27</v>
      </c>
      <c r="D1352">
        <v>0</v>
      </c>
    </row>
    <row r="1353" spans="1:4" x14ac:dyDescent="0.35">
      <c r="A1353" t="s">
        <v>38</v>
      </c>
      <c r="B1353" t="s">
        <v>4</v>
      </c>
      <c r="C1353" t="s">
        <v>27</v>
      </c>
      <c r="D1353">
        <v>0</v>
      </c>
    </row>
    <row r="1354" spans="1:4" x14ac:dyDescent="0.35">
      <c r="A1354" t="s">
        <v>39</v>
      </c>
      <c r="B1354" t="s">
        <v>4</v>
      </c>
      <c r="C1354" t="s">
        <v>27</v>
      </c>
      <c r="D1354">
        <v>0</v>
      </c>
    </row>
    <row r="1355" spans="1:4" x14ac:dyDescent="0.35">
      <c r="A1355" t="s">
        <v>7</v>
      </c>
      <c r="B1355" t="s">
        <v>5</v>
      </c>
      <c r="C1355" t="s">
        <v>27</v>
      </c>
      <c r="D1355">
        <v>0</v>
      </c>
    </row>
    <row r="1356" spans="1:4" x14ac:dyDescent="0.35">
      <c r="A1356" t="s">
        <v>8</v>
      </c>
      <c r="B1356" t="s">
        <v>5</v>
      </c>
      <c r="C1356" t="s">
        <v>27</v>
      </c>
      <c r="D1356">
        <v>0</v>
      </c>
    </row>
    <row r="1357" spans="1:4" x14ac:dyDescent="0.35">
      <c r="A1357" t="s">
        <v>9</v>
      </c>
      <c r="B1357" t="s">
        <v>5</v>
      </c>
      <c r="C1357" t="s">
        <v>27</v>
      </c>
      <c r="D1357">
        <v>0</v>
      </c>
    </row>
    <row r="1358" spans="1:4" x14ac:dyDescent="0.35">
      <c r="A1358" t="s">
        <v>10</v>
      </c>
      <c r="B1358" t="s">
        <v>5</v>
      </c>
      <c r="C1358" t="s">
        <v>27</v>
      </c>
      <c r="D1358">
        <v>0</v>
      </c>
    </row>
    <row r="1359" spans="1:4" x14ac:dyDescent="0.35">
      <c r="A1359" t="s">
        <v>11</v>
      </c>
      <c r="B1359" t="s">
        <v>5</v>
      </c>
      <c r="C1359" t="s">
        <v>27</v>
      </c>
      <c r="D1359">
        <v>0</v>
      </c>
    </row>
    <row r="1360" spans="1:4" x14ac:dyDescent="0.35">
      <c r="A1360" t="s">
        <v>12</v>
      </c>
      <c r="B1360" t="s">
        <v>5</v>
      </c>
      <c r="C1360" t="s">
        <v>27</v>
      </c>
      <c r="D1360">
        <v>0</v>
      </c>
    </row>
    <row r="1361" spans="1:4" x14ac:dyDescent="0.35">
      <c r="A1361" t="s">
        <v>13</v>
      </c>
      <c r="B1361" t="s">
        <v>5</v>
      </c>
      <c r="C1361" t="s">
        <v>27</v>
      </c>
      <c r="D1361">
        <v>0</v>
      </c>
    </row>
    <row r="1362" spans="1:4" x14ac:dyDescent="0.35">
      <c r="A1362" t="s">
        <v>14</v>
      </c>
      <c r="B1362" t="s">
        <v>5</v>
      </c>
      <c r="C1362" t="s">
        <v>27</v>
      </c>
      <c r="D1362">
        <v>0</v>
      </c>
    </row>
    <row r="1363" spans="1:4" x14ac:dyDescent="0.35">
      <c r="A1363" t="s">
        <v>15</v>
      </c>
      <c r="B1363" t="s">
        <v>5</v>
      </c>
      <c r="C1363" t="s">
        <v>27</v>
      </c>
      <c r="D1363">
        <v>0</v>
      </c>
    </row>
    <row r="1364" spans="1:4" x14ac:dyDescent="0.35">
      <c r="A1364" t="s">
        <v>16</v>
      </c>
      <c r="B1364" t="s">
        <v>5</v>
      </c>
      <c r="C1364" t="s">
        <v>27</v>
      </c>
      <c r="D1364">
        <v>0</v>
      </c>
    </row>
    <row r="1365" spans="1:4" x14ac:dyDescent="0.35">
      <c r="A1365" t="s">
        <v>17</v>
      </c>
      <c r="B1365" t="s">
        <v>5</v>
      </c>
      <c r="C1365" t="s">
        <v>27</v>
      </c>
      <c r="D1365">
        <v>0</v>
      </c>
    </row>
    <row r="1366" spans="1:4" x14ac:dyDescent="0.35">
      <c r="A1366" t="s">
        <v>18</v>
      </c>
      <c r="B1366" t="s">
        <v>5</v>
      </c>
      <c r="C1366" t="s">
        <v>27</v>
      </c>
      <c r="D1366">
        <v>0</v>
      </c>
    </row>
    <row r="1367" spans="1:4" x14ac:dyDescent="0.35">
      <c r="A1367" t="s">
        <v>19</v>
      </c>
      <c r="B1367" t="s">
        <v>5</v>
      </c>
      <c r="C1367" t="s">
        <v>27</v>
      </c>
      <c r="D1367">
        <v>0</v>
      </c>
    </row>
    <row r="1368" spans="1:4" x14ac:dyDescent="0.35">
      <c r="A1368" t="s">
        <v>20</v>
      </c>
      <c r="B1368" t="s">
        <v>5</v>
      </c>
      <c r="C1368" t="s">
        <v>27</v>
      </c>
      <c r="D1368">
        <v>0</v>
      </c>
    </row>
    <row r="1369" spans="1:4" x14ac:dyDescent="0.35">
      <c r="A1369" t="s">
        <v>21</v>
      </c>
      <c r="B1369" t="s">
        <v>5</v>
      </c>
      <c r="C1369" t="s">
        <v>27</v>
      </c>
      <c r="D1369">
        <v>0</v>
      </c>
    </row>
    <row r="1370" spans="1:4" x14ac:dyDescent="0.35">
      <c r="A1370" t="s">
        <v>22</v>
      </c>
      <c r="B1370" t="s">
        <v>5</v>
      </c>
      <c r="C1370" t="s">
        <v>27</v>
      </c>
      <c r="D1370">
        <v>0</v>
      </c>
    </row>
    <row r="1371" spans="1:4" x14ac:dyDescent="0.35">
      <c r="A1371" t="s">
        <v>23</v>
      </c>
      <c r="B1371" t="s">
        <v>5</v>
      </c>
      <c r="C1371" t="s">
        <v>27</v>
      </c>
      <c r="D1371">
        <v>0</v>
      </c>
    </row>
    <row r="1372" spans="1:4" x14ac:dyDescent="0.35">
      <c r="A1372" t="s">
        <v>24</v>
      </c>
      <c r="B1372" t="s">
        <v>5</v>
      </c>
      <c r="C1372" t="s">
        <v>27</v>
      </c>
      <c r="D1372">
        <v>0</v>
      </c>
    </row>
    <row r="1373" spans="1:4" x14ac:dyDescent="0.35">
      <c r="A1373" t="s">
        <v>25</v>
      </c>
      <c r="B1373" t="s">
        <v>5</v>
      </c>
      <c r="C1373" t="s">
        <v>27</v>
      </c>
      <c r="D1373">
        <v>0</v>
      </c>
    </row>
    <row r="1374" spans="1:4" x14ac:dyDescent="0.35">
      <c r="A1374" t="s">
        <v>26</v>
      </c>
      <c r="B1374" t="s">
        <v>5</v>
      </c>
      <c r="C1374" t="s">
        <v>27</v>
      </c>
      <c r="D1374">
        <v>0</v>
      </c>
    </row>
    <row r="1375" spans="1:4" x14ac:dyDescent="0.35">
      <c r="A1375" t="s">
        <v>27</v>
      </c>
      <c r="B1375" t="s">
        <v>5</v>
      </c>
      <c r="C1375" t="s">
        <v>27</v>
      </c>
      <c r="D1375">
        <v>0</v>
      </c>
    </row>
    <row r="1376" spans="1:4" x14ac:dyDescent="0.35">
      <c r="A1376" t="s">
        <v>28</v>
      </c>
      <c r="B1376" t="s">
        <v>5</v>
      </c>
      <c r="C1376" t="s">
        <v>27</v>
      </c>
      <c r="D1376">
        <v>0</v>
      </c>
    </row>
    <row r="1377" spans="1:4" x14ac:dyDescent="0.35">
      <c r="A1377" t="s">
        <v>29</v>
      </c>
      <c r="B1377" t="s">
        <v>5</v>
      </c>
      <c r="C1377" t="s">
        <v>27</v>
      </c>
      <c r="D1377">
        <v>0</v>
      </c>
    </row>
    <row r="1378" spans="1:4" x14ac:dyDescent="0.35">
      <c r="A1378" t="s">
        <v>30</v>
      </c>
      <c r="B1378" t="s">
        <v>5</v>
      </c>
      <c r="C1378" t="s">
        <v>27</v>
      </c>
      <c r="D1378">
        <v>0</v>
      </c>
    </row>
    <row r="1379" spans="1:4" x14ac:dyDescent="0.35">
      <c r="A1379" t="s">
        <v>31</v>
      </c>
      <c r="B1379" t="s">
        <v>5</v>
      </c>
      <c r="C1379" t="s">
        <v>27</v>
      </c>
      <c r="D1379">
        <v>0</v>
      </c>
    </row>
    <row r="1380" spans="1:4" x14ac:dyDescent="0.35">
      <c r="A1380" t="s">
        <v>32</v>
      </c>
      <c r="B1380" t="s">
        <v>5</v>
      </c>
      <c r="C1380" t="s">
        <v>27</v>
      </c>
      <c r="D1380">
        <v>0</v>
      </c>
    </row>
    <row r="1381" spans="1:4" x14ac:dyDescent="0.35">
      <c r="A1381" t="s">
        <v>33</v>
      </c>
      <c r="B1381" t="s">
        <v>5</v>
      </c>
      <c r="C1381" t="s">
        <v>27</v>
      </c>
      <c r="D1381">
        <v>0</v>
      </c>
    </row>
    <row r="1382" spans="1:4" x14ac:dyDescent="0.35">
      <c r="A1382" t="s">
        <v>34</v>
      </c>
      <c r="B1382" t="s">
        <v>5</v>
      </c>
      <c r="C1382" t="s">
        <v>27</v>
      </c>
      <c r="D1382">
        <v>0</v>
      </c>
    </row>
    <row r="1383" spans="1:4" x14ac:dyDescent="0.35">
      <c r="A1383" t="s">
        <v>35</v>
      </c>
      <c r="B1383" t="s">
        <v>5</v>
      </c>
      <c r="C1383" t="s">
        <v>27</v>
      </c>
      <c r="D1383">
        <v>0</v>
      </c>
    </row>
    <row r="1384" spans="1:4" x14ac:dyDescent="0.35">
      <c r="A1384" t="s">
        <v>36</v>
      </c>
      <c r="B1384" t="s">
        <v>5</v>
      </c>
      <c r="C1384" t="s">
        <v>27</v>
      </c>
      <c r="D1384">
        <v>0</v>
      </c>
    </row>
    <row r="1385" spans="1:4" x14ac:dyDescent="0.35">
      <c r="A1385" t="s">
        <v>37</v>
      </c>
      <c r="B1385" t="s">
        <v>5</v>
      </c>
      <c r="C1385" t="s">
        <v>27</v>
      </c>
      <c r="D1385">
        <v>0</v>
      </c>
    </row>
    <row r="1386" spans="1:4" x14ac:dyDescent="0.35">
      <c r="A1386" t="s">
        <v>38</v>
      </c>
      <c r="B1386" t="s">
        <v>5</v>
      </c>
      <c r="C1386" t="s">
        <v>27</v>
      </c>
      <c r="D1386">
        <v>0</v>
      </c>
    </row>
    <row r="1387" spans="1:4" x14ac:dyDescent="0.35">
      <c r="A1387" t="s">
        <v>39</v>
      </c>
      <c r="B1387" t="s">
        <v>5</v>
      </c>
      <c r="C1387" t="s">
        <v>27</v>
      </c>
      <c r="D1387">
        <v>0</v>
      </c>
    </row>
    <row r="1388" spans="1:4" x14ac:dyDescent="0.35">
      <c r="A1388" t="s">
        <v>7</v>
      </c>
      <c r="B1388" t="s">
        <v>4</v>
      </c>
      <c r="C1388" t="s">
        <v>28</v>
      </c>
      <c r="D1388">
        <v>0</v>
      </c>
    </row>
    <row r="1389" spans="1:4" x14ac:dyDescent="0.35">
      <c r="A1389" t="s">
        <v>8</v>
      </c>
      <c r="B1389" t="s">
        <v>4</v>
      </c>
      <c r="C1389" t="s">
        <v>28</v>
      </c>
      <c r="D1389">
        <v>0</v>
      </c>
    </row>
    <row r="1390" spans="1:4" x14ac:dyDescent="0.35">
      <c r="A1390" t="s">
        <v>9</v>
      </c>
      <c r="B1390" t="s">
        <v>4</v>
      </c>
      <c r="C1390" t="s">
        <v>28</v>
      </c>
      <c r="D1390">
        <v>0</v>
      </c>
    </row>
    <row r="1391" spans="1:4" x14ac:dyDescent="0.35">
      <c r="A1391" t="s">
        <v>10</v>
      </c>
      <c r="B1391" t="s">
        <v>4</v>
      </c>
      <c r="C1391" t="s">
        <v>28</v>
      </c>
      <c r="D1391">
        <v>0</v>
      </c>
    </row>
    <row r="1392" spans="1:4" x14ac:dyDescent="0.35">
      <c r="A1392" t="s">
        <v>11</v>
      </c>
      <c r="B1392" t="s">
        <v>4</v>
      </c>
      <c r="C1392" t="s">
        <v>28</v>
      </c>
      <c r="D1392">
        <v>0</v>
      </c>
    </row>
    <row r="1393" spans="1:4" x14ac:dyDescent="0.35">
      <c r="A1393" t="s">
        <v>12</v>
      </c>
      <c r="B1393" t="s">
        <v>4</v>
      </c>
      <c r="C1393" t="s">
        <v>28</v>
      </c>
      <c r="D1393">
        <v>0</v>
      </c>
    </row>
    <row r="1394" spans="1:4" x14ac:dyDescent="0.35">
      <c r="A1394" t="s">
        <v>13</v>
      </c>
      <c r="B1394" t="s">
        <v>4</v>
      </c>
      <c r="C1394" t="s">
        <v>28</v>
      </c>
      <c r="D1394">
        <v>0</v>
      </c>
    </row>
    <row r="1395" spans="1:4" x14ac:dyDescent="0.35">
      <c r="A1395" t="s">
        <v>14</v>
      </c>
      <c r="B1395" t="s">
        <v>4</v>
      </c>
      <c r="C1395" t="s">
        <v>28</v>
      </c>
      <c r="D1395">
        <v>0</v>
      </c>
    </row>
    <row r="1396" spans="1:4" x14ac:dyDescent="0.35">
      <c r="A1396" t="s">
        <v>15</v>
      </c>
      <c r="B1396" t="s">
        <v>4</v>
      </c>
      <c r="C1396" t="s">
        <v>28</v>
      </c>
      <c r="D1396">
        <v>0</v>
      </c>
    </row>
    <row r="1397" spans="1:4" x14ac:dyDescent="0.35">
      <c r="A1397" t="s">
        <v>16</v>
      </c>
      <c r="B1397" t="s">
        <v>4</v>
      </c>
      <c r="C1397" t="s">
        <v>28</v>
      </c>
      <c r="D1397">
        <v>0</v>
      </c>
    </row>
    <row r="1398" spans="1:4" x14ac:dyDescent="0.35">
      <c r="A1398" t="s">
        <v>17</v>
      </c>
      <c r="B1398" t="s">
        <v>4</v>
      </c>
      <c r="C1398" t="s">
        <v>28</v>
      </c>
      <c r="D1398">
        <v>0</v>
      </c>
    </row>
    <row r="1399" spans="1:4" x14ac:dyDescent="0.35">
      <c r="A1399" t="s">
        <v>18</v>
      </c>
      <c r="B1399" t="s">
        <v>4</v>
      </c>
      <c r="C1399" t="s">
        <v>28</v>
      </c>
      <c r="D1399">
        <v>0</v>
      </c>
    </row>
    <row r="1400" spans="1:4" x14ac:dyDescent="0.35">
      <c r="A1400" t="s">
        <v>19</v>
      </c>
      <c r="B1400" t="s">
        <v>4</v>
      </c>
      <c r="C1400" t="s">
        <v>28</v>
      </c>
      <c r="D1400">
        <v>0</v>
      </c>
    </row>
    <row r="1401" spans="1:4" x14ac:dyDescent="0.35">
      <c r="A1401" t="s">
        <v>20</v>
      </c>
      <c r="B1401" t="s">
        <v>4</v>
      </c>
      <c r="C1401" t="s">
        <v>28</v>
      </c>
      <c r="D1401">
        <v>0</v>
      </c>
    </row>
    <row r="1402" spans="1:4" x14ac:dyDescent="0.35">
      <c r="A1402" t="s">
        <v>21</v>
      </c>
      <c r="B1402" t="s">
        <v>4</v>
      </c>
      <c r="C1402" t="s">
        <v>28</v>
      </c>
      <c r="D1402">
        <v>0</v>
      </c>
    </row>
    <row r="1403" spans="1:4" x14ac:dyDescent="0.35">
      <c r="A1403" t="s">
        <v>22</v>
      </c>
      <c r="B1403" t="s">
        <v>4</v>
      </c>
      <c r="C1403" t="s">
        <v>28</v>
      </c>
      <c r="D1403">
        <v>0</v>
      </c>
    </row>
    <row r="1404" spans="1:4" x14ac:dyDescent="0.35">
      <c r="A1404" t="s">
        <v>23</v>
      </c>
      <c r="B1404" t="s">
        <v>4</v>
      </c>
      <c r="C1404" t="s">
        <v>28</v>
      </c>
      <c r="D1404">
        <v>0</v>
      </c>
    </row>
    <row r="1405" spans="1:4" x14ac:dyDescent="0.35">
      <c r="A1405" t="s">
        <v>24</v>
      </c>
      <c r="B1405" t="s">
        <v>4</v>
      </c>
      <c r="C1405" t="s">
        <v>28</v>
      </c>
      <c r="D1405">
        <v>0</v>
      </c>
    </row>
    <row r="1406" spans="1:4" x14ac:dyDescent="0.35">
      <c r="A1406" t="s">
        <v>25</v>
      </c>
      <c r="B1406" t="s">
        <v>4</v>
      </c>
      <c r="C1406" t="s">
        <v>28</v>
      </c>
      <c r="D1406">
        <v>0</v>
      </c>
    </row>
    <row r="1407" spans="1:4" x14ac:dyDescent="0.35">
      <c r="A1407" t="s">
        <v>26</v>
      </c>
      <c r="B1407" t="s">
        <v>4</v>
      </c>
      <c r="C1407" t="s">
        <v>28</v>
      </c>
      <c r="D1407">
        <v>0</v>
      </c>
    </row>
    <row r="1408" spans="1:4" x14ac:dyDescent="0.35">
      <c r="A1408" t="s">
        <v>27</v>
      </c>
      <c r="B1408" t="s">
        <v>4</v>
      </c>
      <c r="C1408" t="s">
        <v>28</v>
      </c>
      <c r="D1408">
        <v>0</v>
      </c>
    </row>
    <row r="1409" spans="1:4" x14ac:dyDescent="0.35">
      <c r="A1409" t="s">
        <v>28</v>
      </c>
      <c r="B1409" t="s">
        <v>4</v>
      </c>
      <c r="C1409" t="s">
        <v>28</v>
      </c>
      <c r="D1409">
        <v>0</v>
      </c>
    </row>
    <row r="1410" spans="1:4" x14ac:dyDescent="0.35">
      <c r="A1410" t="s">
        <v>29</v>
      </c>
      <c r="B1410" t="s">
        <v>4</v>
      </c>
      <c r="C1410" t="s">
        <v>28</v>
      </c>
      <c r="D1410">
        <v>0</v>
      </c>
    </row>
    <row r="1411" spans="1:4" x14ac:dyDescent="0.35">
      <c r="A1411" t="s">
        <v>30</v>
      </c>
      <c r="B1411" t="s">
        <v>4</v>
      </c>
      <c r="C1411" t="s">
        <v>28</v>
      </c>
      <c r="D1411">
        <v>0</v>
      </c>
    </row>
    <row r="1412" spans="1:4" x14ac:dyDescent="0.35">
      <c r="A1412" t="s">
        <v>31</v>
      </c>
      <c r="B1412" t="s">
        <v>4</v>
      </c>
      <c r="C1412" t="s">
        <v>28</v>
      </c>
      <c r="D1412">
        <v>0</v>
      </c>
    </row>
    <row r="1413" spans="1:4" x14ac:dyDescent="0.35">
      <c r="A1413" t="s">
        <v>32</v>
      </c>
      <c r="B1413" t="s">
        <v>4</v>
      </c>
      <c r="C1413" t="s">
        <v>28</v>
      </c>
      <c r="D1413">
        <v>0</v>
      </c>
    </row>
    <row r="1414" spans="1:4" x14ac:dyDescent="0.35">
      <c r="A1414" t="s">
        <v>33</v>
      </c>
      <c r="B1414" t="s">
        <v>4</v>
      </c>
      <c r="C1414" t="s">
        <v>28</v>
      </c>
      <c r="D1414">
        <v>0</v>
      </c>
    </row>
    <row r="1415" spans="1:4" x14ac:dyDescent="0.35">
      <c r="A1415" t="s">
        <v>34</v>
      </c>
      <c r="B1415" t="s">
        <v>4</v>
      </c>
      <c r="C1415" t="s">
        <v>28</v>
      </c>
      <c r="D1415">
        <v>0</v>
      </c>
    </row>
    <row r="1416" spans="1:4" x14ac:dyDescent="0.35">
      <c r="A1416" t="s">
        <v>35</v>
      </c>
      <c r="B1416" t="s">
        <v>4</v>
      </c>
      <c r="C1416" t="s">
        <v>28</v>
      </c>
      <c r="D1416">
        <v>0</v>
      </c>
    </row>
    <row r="1417" spans="1:4" x14ac:dyDescent="0.35">
      <c r="A1417" t="s">
        <v>36</v>
      </c>
      <c r="B1417" t="s">
        <v>4</v>
      </c>
      <c r="C1417" t="s">
        <v>28</v>
      </c>
      <c r="D1417">
        <v>0</v>
      </c>
    </row>
    <row r="1418" spans="1:4" x14ac:dyDescent="0.35">
      <c r="A1418" t="s">
        <v>37</v>
      </c>
      <c r="B1418" t="s">
        <v>4</v>
      </c>
      <c r="C1418" t="s">
        <v>28</v>
      </c>
      <c r="D1418">
        <v>0</v>
      </c>
    </row>
    <row r="1419" spans="1:4" x14ac:dyDescent="0.35">
      <c r="A1419" t="s">
        <v>38</v>
      </c>
      <c r="B1419" t="s">
        <v>4</v>
      </c>
      <c r="C1419" t="s">
        <v>28</v>
      </c>
      <c r="D1419">
        <v>0</v>
      </c>
    </row>
    <row r="1420" spans="1:4" x14ac:dyDescent="0.35">
      <c r="A1420" t="s">
        <v>39</v>
      </c>
      <c r="B1420" t="s">
        <v>4</v>
      </c>
      <c r="C1420" t="s">
        <v>28</v>
      </c>
      <c r="D1420">
        <v>0</v>
      </c>
    </row>
    <row r="1421" spans="1:4" x14ac:dyDescent="0.35">
      <c r="A1421" t="s">
        <v>7</v>
      </c>
      <c r="B1421" t="s">
        <v>5</v>
      </c>
      <c r="C1421" t="s">
        <v>28</v>
      </c>
      <c r="D1421">
        <v>0</v>
      </c>
    </row>
    <row r="1422" spans="1:4" x14ac:dyDescent="0.35">
      <c r="A1422" t="s">
        <v>8</v>
      </c>
      <c r="B1422" t="s">
        <v>5</v>
      </c>
      <c r="C1422" t="s">
        <v>28</v>
      </c>
      <c r="D1422">
        <v>0</v>
      </c>
    </row>
    <row r="1423" spans="1:4" x14ac:dyDescent="0.35">
      <c r="A1423" t="s">
        <v>9</v>
      </c>
      <c r="B1423" t="s">
        <v>5</v>
      </c>
      <c r="C1423" t="s">
        <v>28</v>
      </c>
      <c r="D1423">
        <v>0</v>
      </c>
    </row>
    <row r="1424" spans="1:4" x14ac:dyDescent="0.35">
      <c r="A1424" t="s">
        <v>10</v>
      </c>
      <c r="B1424" t="s">
        <v>5</v>
      </c>
      <c r="C1424" t="s">
        <v>28</v>
      </c>
      <c r="D1424">
        <v>0</v>
      </c>
    </row>
    <row r="1425" spans="1:4" x14ac:dyDescent="0.35">
      <c r="A1425" t="s">
        <v>11</v>
      </c>
      <c r="B1425" t="s">
        <v>5</v>
      </c>
      <c r="C1425" t="s">
        <v>28</v>
      </c>
      <c r="D1425">
        <v>0</v>
      </c>
    </row>
    <row r="1426" spans="1:4" x14ac:dyDescent="0.35">
      <c r="A1426" t="s">
        <v>12</v>
      </c>
      <c r="B1426" t="s">
        <v>5</v>
      </c>
      <c r="C1426" t="s">
        <v>28</v>
      </c>
      <c r="D1426">
        <v>0</v>
      </c>
    </row>
    <row r="1427" spans="1:4" x14ac:dyDescent="0.35">
      <c r="A1427" t="s">
        <v>13</v>
      </c>
      <c r="B1427" t="s">
        <v>5</v>
      </c>
      <c r="C1427" t="s">
        <v>28</v>
      </c>
      <c r="D1427">
        <v>0</v>
      </c>
    </row>
    <row r="1428" spans="1:4" x14ac:dyDescent="0.35">
      <c r="A1428" t="s">
        <v>14</v>
      </c>
      <c r="B1428" t="s">
        <v>5</v>
      </c>
      <c r="C1428" t="s">
        <v>28</v>
      </c>
      <c r="D1428">
        <v>0</v>
      </c>
    </row>
    <row r="1429" spans="1:4" x14ac:dyDescent="0.35">
      <c r="A1429" t="s">
        <v>15</v>
      </c>
      <c r="B1429" t="s">
        <v>5</v>
      </c>
      <c r="C1429" t="s">
        <v>28</v>
      </c>
      <c r="D1429">
        <v>0</v>
      </c>
    </row>
    <row r="1430" spans="1:4" x14ac:dyDescent="0.35">
      <c r="A1430" t="s">
        <v>16</v>
      </c>
      <c r="B1430" t="s">
        <v>5</v>
      </c>
      <c r="C1430" t="s">
        <v>28</v>
      </c>
      <c r="D1430">
        <v>0</v>
      </c>
    </row>
    <row r="1431" spans="1:4" x14ac:dyDescent="0.35">
      <c r="A1431" t="s">
        <v>17</v>
      </c>
      <c r="B1431" t="s">
        <v>5</v>
      </c>
      <c r="C1431" t="s">
        <v>28</v>
      </c>
      <c r="D1431">
        <v>0</v>
      </c>
    </row>
    <row r="1432" spans="1:4" x14ac:dyDescent="0.35">
      <c r="A1432" t="s">
        <v>18</v>
      </c>
      <c r="B1432" t="s">
        <v>5</v>
      </c>
      <c r="C1432" t="s">
        <v>28</v>
      </c>
      <c r="D1432">
        <v>0</v>
      </c>
    </row>
    <row r="1433" spans="1:4" x14ac:dyDescent="0.35">
      <c r="A1433" t="s">
        <v>19</v>
      </c>
      <c r="B1433" t="s">
        <v>5</v>
      </c>
      <c r="C1433" t="s">
        <v>28</v>
      </c>
      <c r="D1433">
        <v>0</v>
      </c>
    </row>
    <row r="1434" spans="1:4" x14ac:dyDescent="0.35">
      <c r="A1434" t="s">
        <v>20</v>
      </c>
      <c r="B1434" t="s">
        <v>5</v>
      </c>
      <c r="C1434" t="s">
        <v>28</v>
      </c>
      <c r="D1434">
        <v>0</v>
      </c>
    </row>
    <row r="1435" spans="1:4" x14ac:dyDescent="0.35">
      <c r="A1435" t="s">
        <v>21</v>
      </c>
      <c r="B1435" t="s">
        <v>5</v>
      </c>
      <c r="C1435" t="s">
        <v>28</v>
      </c>
      <c r="D1435">
        <v>0</v>
      </c>
    </row>
    <row r="1436" spans="1:4" x14ac:dyDescent="0.35">
      <c r="A1436" t="s">
        <v>22</v>
      </c>
      <c r="B1436" t="s">
        <v>5</v>
      </c>
      <c r="C1436" t="s">
        <v>28</v>
      </c>
      <c r="D1436">
        <v>0</v>
      </c>
    </row>
    <row r="1437" spans="1:4" x14ac:dyDescent="0.35">
      <c r="A1437" t="s">
        <v>23</v>
      </c>
      <c r="B1437" t="s">
        <v>5</v>
      </c>
      <c r="C1437" t="s">
        <v>28</v>
      </c>
      <c r="D1437">
        <v>0</v>
      </c>
    </row>
    <row r="1438" spans="1:4" x14ac:dyDescent="0.35">
      <c r="A1438" t="s">
        <v>24</v>
      </c>
      <c r="B1438" t="s">
        <v>5</v>
      </c>
      <c r="C1438" t="s">
        <v>28</v>
      </c>
      <c r="D1438">
        <v>0</v>
      </c>
    </row>
    <row r="1439" spans="1:4" x14ac:dyDescent="0.35">
      <c r="A1439" t="s">
        <v>25</v>
      </c>
      <c r="B1439" t="s">
        <v>5</v>
      </c>
      <c r="C1439" t="s">
        <v>28</v>
      </c>
      <c r="D1439">
        <v>0</v>
      </c>
    </row>
    <row r="1440" spans="1:4" x14ac:dyDescent="0.35">
      <c r="A1440" t="s">
        <v>26</v>
      </c>
      <c r="B1440" t="s">
        <v>5</v>
      </c>
      <c r="C1440" t="s">
        <v>28</v>
      </c>
      <c r="D1440">
        <v>0</v>
      </c>
    </row>
    <row r="1441" spans="1:4" x14ac:dyDescent="0.35">
      <c r="A1441" t="s">
        <v>27</v>
      </c>
      <c r="B1441" t="s">
        <v>5</v>
      </c>
      <c r="C1441" t="s">
        <v>28</v>
      </c>
      <c r="D1441">
        <v>0</v>
      </c>
    </row>
    <row r="1442" spans="1:4" x14ac:dyDescent="0.35">
      <c r="A1442" t="s">
        <v>28</v>
      </c>
      <c r="B1442" t="s">
        <v>5</v>
      </c>
      <c r="C1442" t="s">
        <v>28</v>
      </c>
      <c r="D1442">
        <v>0</v>
      </c>
    </row>
    <row r="1443" spans="1:4" x14ac:dyDescent="0.35">
      <c r="A1443" t="s">
        <v>29</v>
      </c>
      <c r="B1443" t="s">
        <v>5</v>
      </c>
      <c r="C1443" t="s">
        <v>28</v>
      </c>
      <c r="D1443">
        <v>0</v>
      </c>
    </row>
    <row r="1444" spans="1:4" x14ac:dyDescent="0.35">
      <c r="A1444" t="s">
        <v>30</v>
      </c>
      <c r="B1444" t="s">
        <v>5</v>
      </c>
      <c r="C1444" t="s">
        <v>28</v>
      </c>
      <c r="D1444">
        <v>0</v>
      </c>
    </row>
    <row r="1445" spans="1:4" x14ac:dyDescent="0.35">
      <c r="A1445" t="s">
        <v>31</v>
      </c>
      <c r="B1445" t="s">
        <v>5</v>
      </c>
      <c r="C1445" t="s">
        <v>28</v>
      </c>
      <c r="D1445">
        <v>0</v>
      </c>
    </row>
    <row r="1446" spans="1:4" x14ac:dyDescent="0.35">
      <c r="A1446" t="s">
        <v>32</v>
      </c>
      <c r="B1446" t="s">
        <v>5</v>
      </c>
      <c r="C1446" t="s">
        <v>28</v>
      </c>
      <c r="D1446">
        <v>0</v>
      </c>
    </row>
    <row r="1447" spans="1:4" x14ac:dyDescent="0.35">
      <c r="A1447" t="s">
        <v>33</v>
      </c>
      <c r="B1447" t="s">
        <v>5</v>
      </c>
      <c r="C1447" t="s">
        <v>28</v>
      </c>
      <c r="D1447">
        <v>0</v>
      </c>
    </row>
    <row r="1448" spans="1:4" x14ac:dyDescent="0.35">
      <c r="A1448" t="s">
        <v>34</v>
      </c>
      <c r="B1448" t="s">
        <v>5</v>
      </c>
      <c r="C1448" t="s">
        <v>28</v>
      </c>
      <c r="D1448">
        <v>0</v>
      </c>
    </row>
    <row r="1449" spans="1:4" x14ac:dyDescent="0.35">
      <c r="A1449" t="s">
        <v>35</v>
      </c>
      <c r="B1449" t="s">
        <v>5</v>
      </c>
      <c r="C1449" t="s">
        <v>28</v>
      </c>
      <c r="D1449">
        <v>0</v>
      </c>
    </row>
    <row r="1450" spans="1:4" x14ac:dyDescent="0.35">
      <c r="A1450" t="s">
        <v>36</v>
      </c>
      <c r="B1450" t="s">
        <v>5</v>
      </c>
      <c r="C1450" t="s">
        <v>28</v>
      </c>
      <c r="D1450">
        <v>0</v>
      </c>
    </row>
    <row r="1451" spans="1:4" x14ac:dyDescent="0.35">
      <c r="A1451" t="s">
        <v>37</v>
      </c>
      <c r="B1451" t="s">
        <v>5</v>
      </c>
      <c r="C1451" t="s">
        <v>28</v>
      </c>
      <c r="D1451">
        <v>0</v>
      </c>
    </row>
    <row r="1452" spans="1:4" x14ac:dyDescent="0.35">
      <c r="A1452" t="s">
        <v>38</v>
      </c>
      <c r="B1452" t="s">
        <v>5</v>
      </c>
      <c r="C1452" t="s">
        <v>28</v>
      </c>
      <c r="D1452">
        <v>0</v>
      </c>
    </row>
    <row r="1453" spans="1:4" x14ac:dyDescent="0.35">
      <c r="A1453" t="s">
        <v>39</v>
      </c>
      <c r="B1453" t="s">
        <v>5</v>
      </c>
      <c r="C1453" t="s">
        <v>28</v>
      </c>
      <c r="D1453">
        <v>0</v>
      </c>
    </row>
    <row r="1454" spans="1:4" x14ac:dyDescent="0.35">
      <c r="A1454" t="s">
        <v>7</v>
      </c>
      <c r="B1454" t="s">
        <v>4</v>
      </c>
      <c r="C1454" t="s">
        <v>29</v>
      </c>
      <c r="D1454">
        <v>0</v>
      </c>
    </row>
    <row r="1455" spans="1:4" x14ac:dyDescent="0.35">
      <c r="A1455" t="s">
        <v>8</v>
      </c>
      <c r="B1455" t="s">
        <v>4</v>
      </c>
      <c r="C1455" t="s">
        <v>29</v>
      </c>
      <c r="D1455">
        <v>0</v>
      </c>
    </row>
    <row r="1456" spans="1:4" x14ac:dyDescent="0.35">
      <c r="A1456" t="s">
        <v>9</v>
      </c>
      <c r="B1456" t="s">
        <v>4</v>
      </c>
      <c r="C1456" t="s">
        <v>29</v>
      </c>
      <c r="D1456">
        <v>0</v>
      </c>
    </row>
    <row r="1457" spans="1:4" x14ac:dyDescent="0.35">
      <c r="A1457" t="s">
        <v>10</v>
      </c>
      <c r="B1457" t="s">
        <v>4</v>
      </c>
      <c r="C1457" t="s">
        <v>29</v>
      </c>
      <c r="D1457">
        <v>0</v>
      </c>
    </row>
    <row r="1458" spans="1:4" x14ac:dyDescent="0.35">
      <c r="A1458" t="s">
        <v>11</v>
      </c>
      <c r="B1458" t="s">
        <v>4</v>
      </c>
      <c r="C1458" t="s">
        <v>29</v>
      </c>
      <c r="D1458">
        <v>0</v>
      </c>
    </row>
    <row r="1459" spans="1:4" x14ac:dyDescent="0.35">
      <c r="A1459" t="s">
        <v>12</v>
      </c>
      <c r="B1459" t="s">
        <v>4</v>
      </c>
      <c r="C1459" t="s">
        <v>29</v>
      </c>
      <c r="D1459">
        <v>0</v>
      </c>
    </row>
    <row r="1460" spans="1:4" x14ac:dyDescent="0.35">
      <c r="A1460" t="s">
        <v>13</v>
      </c>
      <c r="B1460" t="s">
        <v>4</v>
      </c>
      <c r="C1460" t="s">
        <v>29</v>
      </c>
      <c r="D1460">
        <v>0</v>
      </c>
    </row>
    <row r="1461" spans="1:4" x14ac:dyDescent="0.35">
      <c r="A1461" t="s">
        <v>14</v>
      </c>
      <c r="B1461" t="s">
        <v>4</v>
      </c>
      <c r="C1461" t="s">
        <v>29</v>
      </c>
      <c r="D1461">
        <v>0</v>
      </c>
    </row>
    <row r="1462" spans="1:4" x14ac:dyDescent="0.35">
      <c r="A1462" t="s">
        <v>15</v>
      </c>
      <c r="B1462" t="s">
        <v>4</v>
      </c>
      <c r="C1462" t="s">
        <v>29</v>
      </c>
      <c r="D1462">
        <v>0</v>
      </c>
    </row>
    <row r="1463" spans="1:4" x14ac:dyDescent="0.35">
      <c r="A1463" t="s">
        <v>16</v>
      </c>
      <c r="B1463" t="s">
        <v>4</v>
      </c>
      <c r="C1463" t="s">
        <v>29</v>
      </c>
      <c r="D1463">
        <v>0</v>
      </c>
    </row>
    <row r="1464" spans="1:4" x14ac:dyDescent="0.35">
      <c r="A1464" t="s">
        <v>17</v>
      </c>
      <c r="B1464" t="s">
        <v>4</v>
      </c>
      <c r="C1464" t="s">
        <v>29</v>
      </c>
      <c r="D1464">
        <v>0</v>
      </c>
    </row>
    <row r="1465" spans="1:4" x14ac:dyDescent="0.35">
      <c r="A1465" t="s">
        <v>18</v>
      </c>
      <c r="B1465" t="s">
        <v>4</v>
      </c>
      <c r="C1465" t="s">
        <v>29</v>
      </c>
      <c r="D1465">
        <v>0</v>
      </c>
    </row>
    <row r="1466" spans="1:4" x14ac:dyDescent="0.35">
      <c r="A1466" t="s">
        <v>19</v>
      </c>
      <c r="B1466" t="s">
        <v>4</v>
      </c>
      <c r="C1466" t="s">
        <v>29</v>
      </c>
      <c r="D1466">
        <v>0</v>
      </c>
    </row>
    <row r="1467" spans="1:4" x14ac:dyDescent="0.35">
      <c r="A1467" t="s">
        <v>20</v>
      </c>
      <c r="B1467" t="s">
        <v>4</v>
      </c>
      <c r="C1467" t="s">
        <v>29</v>
      </c>
      <c r="D1467">
        <v>0</v>
      </c>
    </row>
    <row r="1468" spans="1:4" x14ac:dyDescent="0.35">
      <c r="A1468" t="s">
        <v>21</v>
      </c>
      <c r="B1468" t="s">
        <v>4</v>
      </c>
      <c r="C1468" t="s">
        <v>29</v>
      </c>
      <c r="D1468">
        <v>0</v>
      </c>
    </row>
    <row r="1469" spans="1:4" x14ac:dyDescent="0.35">
      <c r="A1469" t="s">
        <v>22</v>
      </c>
      <c r="B1469" t="s">
        <v>4</v>
      </c>
      <c r="C1469" t="s">
        <v>29</v>
      </c>
      <c r="D1469">
        <v>0</v>
      </c>
    </row>
    <row r="1470" spans="1:4" x14ac:dyDescent="0.35">
      <c r="A1470" t="s">
        <v>23</v>
      </c>
      <c r="B1470" t="s">
        <v>4</v>
      </c>
      <c r="C1470" t="s">
        <v>29</v>
      </c>
      <c r="D1470">
        <v>0</v>
      </c>
    </row>
    <row r="1471" spans="1:4" x14ac:dyDescent="0.35">
      <c r="A1471" t="s">
        <v>24</v>
      </c>
      <c r="B1471" t="s">
        <v>4</v>
      </c>
      <c r="C1471" t="s">
        <v>29</v>
      </c>
      <c r="D1471">
        <v>0</v>
      </c>
    </row>
    <row r="1472" spans="1:4" x14ac:dyDescent="0.35">
      <c r="A1472" t="s">
        <v>25</v>
      </c>
      <c r="B1472" t="s">
        <v>4</v>
      </c>
      <c r="C1472" t="s">
        <v>29</v>
      </c>
      <c r="D1472">
        <v>0</v>
      </c>
    </row>
    <row r="1473" spans="1:4" x14ac:dyDescent="0.35">
      <c r="A1473" t="s">
        <v>26</v>
      </c>
      <c r="B1473" t="s">
        <v>4</v>
      </c>
      <c r="C1473" t="s">
        <v>29</v>
      </c>
      <c r="D1473">
        <v>0</v>
      </c>
    </row>
    <row r="1474" spans="1:4" x14ac:dyDescent="0.35">
      <c r="A1474" t="s">
        <v>27</v>
      </c>
      <c r="B1474" t="s">
        <v>4</v>
      </c>
      <c r="C1474" t="s">
        <v>29</v>
      </c>
      <c r="D1474">
        <v>0</v>
      </c>
    </row>
    <row r="1475" spans="1:4" x14ac:dyDescent="0.35">
      <c r="A1475" t="s">
        <v>28</v>
      </c>
      <c r="B1475" t="s">
        <v>4</v>
      </c>
      <c r="C1475" t="s">
        <v>29</v>
      </c>
      <c r="D1475">
        <v>0</v>
      </c>
    </row>
    <row r="1476" spans="1:4" x14ac:dyDescent="0.35">
      <c r="A1476" t="s">
        <v>29</v>
      </c>
      <c r="B1476" t="s">
        <v>4</v>
      </c>
      <c r="C1476" t="s">
        <v>29</v>
      </c>
      <c r="D1476">
        <v>0</v>
      </c>
    </row>
    <row r="1477" spans="1:4" x14ac:dyDescent="0.35">
      <c r="A1477" t="s">
        <v>30</v>
      </c>
      <c r="B1477" t="s">
        <v>4</v>
      </c>
      <c r="C1477" t="s">
        <v>29</v>
      </c>
      <c r="D1477">
        <v>0</v>
      </c>
    </row>
    <row r="1478" spans="1:4" x14ac:dyDescent="0.35">
      <c r="A1478" t="s">
        <v>31</v>
      </c>
      <c r="B1478" t="s">
        <v>4</v>
      </c>
      <c r="C1478" t="s">
        <v>29</v>
      </c>
      <c r="D1478">
        <v>0</v>
      </c>
    </row>
    <row r="1479" spans="1:4" x14ac:dyDescent="0.35">
      <c r="A1479" t="s">
        <v>32</v>
      </c>
      <c r="B1479" t="s">
        <v>4</v>
      </c>
      <c r="C1479" t="s">
        <v>29</v>
      </c>
      <c r="D1479">
        <v>0</v>
      </c>
    </row>
    <row r="1480" spans="1:4" x14ac:dyDescent="0.35">
      <c r="A1480" t="s">
        <v>33</v>
      </c>
      <c r="B1480" t="s">
        <v>4</v>
      </c>
      <c r="C1480" t="s">
        <v>29</v>
      </c>
      <c r="D1480">
        <v>0</v>
      </c>
    </row>
    <row r="1481" spans="1:4" x14ac:dyDescent="0.35">
      <c r="A1481" t="s">
        <v>34</v>
      </c>
      <c r="B1481" t="s">
        <v>4</v>
      </c>
      <c r="C1481" t="s">
        <v>29</v>
      </c>
      <c r="D1481">
        <v>0</v>
      </c>
    </row>
    <row r="1482" spans="1:4" x14ac:dyDescent="0.35">
      <c r="A1482" t="s">
        <v>35</v>
      </c>
      <c r="B1482" t="s">
        <v>4</v>
      </c>
      <c r="C1482" t="s">
        <v>29</v>
      </c>
      <c r="D1482">
        <v>0</v>
      </c>
    </row>
    <row r="1483" spans="1:4" x14ac:dyDescent="0.35">
      <c r="A1483" t="s">
        <v>36</v>
      </c>
      <c r="B1483" t="s">
        <v>4</v>
      </c>
      <c r="C1483" t="s">
        <v>29</v>
      </c>
      <c r="D1483">
        <v>0</v>
      </c>
    </row>
    <row r="1484" spans="1:4" x14ac:dyDescent="0.35">
      <c r="A1484" t="s">
        <v>37</v>
      </c>
      <c r="B1484" t="s">
        <v>4</v>
      </c>
      <c r="C1484" t="s">
        <v>29</v>
      </c>
      <c r="D1484">
        <v>0</v>
      </c>
    </row>
    <row r="1485" spans="1:4" x14ac:dyDescent="0.35">
      <c r="A1485" t="s">
        <v>38</v>
      </c>
      <c r="B1485" t="s">
        <v>4</v>
      </c>
      <c r="C1485" t="s">
        <v>29</v>
      </c>
      <c r="D1485">
        <v>0</v>
      </c>
    </row>
    <row r="1486" spans="1:4" x14ac:dyDescent="0.35">
      <c r="A1486" t="s">
        <v>39</v>
      </c>
      <c r="B1486" t="s">
        <v>4</v>
      </c>
      <c r="C1486" t="s">
        <v>29</v>
      </c>
      <c r="D1486">
        <v>0</v>
      </c>
    </row>
    <row r="1487" spans="1:4" x14ac:dyDescent="0.35">
      <c r="A1487" t="s">
        <v>7</v>
      </c>
      <c r="B1487" t="s">
        <v>5</v>
      </c>
      <c r="C1487" t="s">
        <v>29</v>
      </c>
      <c r="D1487">
        <v>0</v>
      </c>
    </row>
    <row r="1488" spans="1:4" x14ac:dyDescent="0.35">
      <c r="A1488" t="s">
        <v>8</v>
      </c>
      <c r="B1488" t="s">
        <v>5</v>
      </c>
      <c r="C1488" t="s">
        <v>29</v>
      </c>
      <c r="D1488">
        <v>0</v>
      </c>
    </row>
    <row r="1489" spans="1:4" x14ac:dyDescent="0.35">
      <c r="A1489" t="s">
        <v>9</v>
      </c>
      <c r="B1489" t="s">
        <v>5</v>
      </c>
      <c r="C1489" t="s">
        <v>29</v>
      </c>
      <c r="D1489">
        <v>0</v>
      </c>
    </row>
    <row r="1490" spans="1:4" x14ac:dyDescent="0.35">
      <c r="A1490" t="s">
        <v>10</v>
      </c>
      <c r="B1490" t="s">
        <v>5</v>
      </c>
      <c r="C1490" t="s">
        <v>29</v>
      </c>
      <c r="D1490">
        <v>0</v>
      </c>
    </row>
    <row r="1491" spans="1:4" x14ac:dyDescent="0.35">
      <c r="A1491" t="s">
        <v>11</v>
      </c>
      <c r="B1491" t="s">
        <v>5</v>
      </c>
      <c r="C1491" t="s">
        <v>29</v>
      </c>
      <c r="D1491">
        <v>0</v>
      </c>
    </row>
    <row r="1492" spans="1:4" x14ac:dyDescent="0.35">
      <c r="A1492" t="s">
        <v>12</v>
      </c>
      <c r="B1492" t="s">
        <v>5</v>
      </c>
      <c r="C1492" t="s">
        <v>29</v>
      </c>
      <c r="D1492">
        <v>0</v>
      </c>
    </row>
    <row r="1493" spans="1:4" x14ac:dyDescent="0.35">
      <c r="A1493" t="s">
        <v>13</v>
      </c>
      <c r="B1493" t="s">
        <v>5</v>
      </c>
      <c r="C1493" t="s">
        <v>29</v>
      </c>
      <c r="D1493">
        <v>0</v>
      </c>
    </row>
    <row r="1494" spans="1:4" x14ac:dyDescent="0.35">
      <c r="A1494" t="s">
        <v>14</v>
      </c>
      <c r="B1494" t="s">
        <v>5</v>
      </c>
      <c r="C1494" t="s">
        <v>29</v>
      </c>
      <c r="D1494">
        <v>0</v>
      </c>
    </row>
    <row r="1495" spans="1:4" x14ac:dyDescent="0.35">
      <c r="A1495" t="s">
        <v>15</v>
      </c>
      <c r="B1495" t="s">
        <v>5</v>
      </c>
      <c r="C1495" t="s">
        <v>29</v>
      </c>
      <c r="D1495">
        <v>0</v>
      </c>
    </row>
    <row r="1496" spans="1:4" x14ac:dyDescent="0.35">
      <c r="A1496" t="s">
        <v>16</v>
      </c>
      <c r="B1496" t="s">
        <v>5</v>
      </c>
      <c r="C1496" t="s">
        <v>29</v>
      </c>
      <c r="D1496">
        <v>0</v>
      </c>
    </row>
    <row r="1497" spans="1:4" x14ac:dyDescent="0.35">
      <c r="A1497" t="s">
        <v>17</v>
      </c>
      <c r="B1497" t="s">
        <v>5</v>
      </c>
      <c r="C1497" t="s">
        <v>29</v>
      </c>
      <c r="D1497">
        <v>0</v>
      </c>
    </row>
    <row r="1498" spans="1:4" x14ac:dyDescent="0.35">
      <c r="A1498" t="s">
        <v>18</v>
      </c>
      <c r="B1498" t="s">
        <v>5</v>
      </c>
      <c r="C1498" t="s">
        <v>29</v>
      </c>
      <c r="D1498">
        <v>0</v>
      </c>
    </row>
    <row r="1499" spans="1:4" x14ac:dyDescent="0.35">
      <c r="A1499" t="s">
        <v>19</v>
      </c>
      <c r="B1499" t="s">
        <v>5</v>
      </c>
      <c r="C1499" t="s">
        <v>29</v>
      </c>
      <c r="D1499">
        <v>0</v>
      </c>
    </row>
    <row r="1500" spans="1:4" x14ac:dyDescent="0.35">
      <c r="A1500" t="s">
        <v>20</v>
      </c>
      <c r="B1500" t="s">
        <v>5</v>
      </c>
      <c r="C1500" t="s">
        <v>29</v>
      </c>
      <c r="D1500">
        <v>0</v>
      </c>
    </row>
    <row r="1501" spans="1:4" x14ac:dyDescent="0.35">
      <c r="A1501" t="s">
        <v>21</v>
      </c>
      <c r="B1501" t="s">
        <v>5</v>
      </c>
      <c r="C1501" t="s">
        <v>29</v>
      </c>
      <c r="D1501">
        <v>0</v>
      </c>
    </row>
    <row r="1502" spans="1:4" x14ac:dyDescent="0.35">
      <c r="A1502" t="s">
        <v>22</v>
      </c>
      <c r="B1502" t="s">
        <v>5</v>
      </c>
      <c r="C1502" t="s">
        <v>29</v>
      </c>
      <c r="D1502">
        <v>0</v>
      </c>
    </row>
    <row r="1503" spans="1:4" x14ac:dyDescent="0.35">
      <c r="A1503" t="s">
        <v>23</v>
      </c>
      <c r="B1503" t="s">
        <v>5</v>
      </c>
      <c r="C1503" t="s">
        <v>29</v>
      </c>
      <c r="D1503">
        <v>0</v>
      </c>
    </row>
    <row r="1504" spans="1:4" x14ac:dyDescent="0.35">
      <c r="A1504" t="s">
        <v>24</v>
      </c>
      <c r="B1504" t="s">
        <v>5</v>
      </c>
      <c r="C1504" t="s">
        <v>29</v>
      </c>
      <c r="D1504">
        <v>0</v>
      </c>
    </row>
    <row r="1505" spans="1:4" x14ac:dyDescent="0.35">
      <c r="A1505" t="s">
        <v>25</v>
      </c>
      <c r="B1505" t="s">
        <v>5</v>
      </c>
      <c r="C1505" t="s">
        <v>29</v>
      </c>
      <c r="D1505">
        <v>0</v>
      </c>
    </row>
    <row r="1506" spans="1:4" x14ac:dyDescent="0.35">
      <c r="A1506" t="s">
        <v>26</v>
      </c>
      <c r="B1506" t="s">
        <v>5</v>
      </c>
      <c r="C1506" t="s">
        <v>29</v>
      </c>
      <c r="D1506">
        <v>0</v>
      </c>
    </row>
    <row r="1507" spans="1:4" x14ac:dyDescent="0.35">
      <c r="A1507" t="s">
        <v>27</v>
      </c>
      <c r="B1507" t="s">
        <v>5</v>
      </c>
      <c r="C1507" t="s">
        <v>29</v>
      </c>
      <c r="D1507">
        <v>0</v>
      </c>
    </row>
    <row r="1508" spans="1:4" x14ac:dyDescent="0.35">
      <c r="A1508" t="s">
        <v>28</v>
      </c>
      <c r="B1508" t="s">
        <v>5</v>
      </c>
      <c r="C1508" t="s">
        <v>29</v>
      </c>
      <c r="D1508">
        <v>0</v>
      </c>
    </row>
    <row r="1509" spans="1:4" x14ac:dyDescent="0.35">
      <c r="A1509" t="s">
        <v>29</v>
      </c>
      <c r="B1509" t="s">
        <v>5</v>
      </c>
      <c r="C1509" t="s">
        <v>29</v>
      </c>
      <c r="D1509">
        <v>0</v>
      </c>
    </row>
    <row r="1510" spans="1:4" x14ac:dyDescent="0.35">
      <c r="A1510" t="s">
        <v>30</v>
      </c>
      <c r="B1510" t="s">
        <v>5</v>
      </c>
      <c r="C1510" t="s">
        <v>29</v>
      </c>
      <c r="D1510">
        <v>0</v>
      </c>
    </row>
    <row r="1511" spans="1:4" x14ac:dyDescent="0.35">
      <c r="A1511" t="s">
        <v>31</v>
      </c>
      <c r="B1511" t="s">
        <v>5</v>
      </c>
      <c r="C1511" t="s">
        <v>29</v>
      </c>
      <c r="D1511">
        <v>0</v>
      </c>
    </row>
    <row r="1512" spans="1:4" x14ac:dyDescent="0.35">
      <c r="A1512" t="s">
        <v>32</v>
      </c>
      <c r="B1512" t="s">
        <v>5</v>
      </c>
      <c r="C1512" t="s">
        <v>29</v>
      </c>
      <c r="D1512">
        <v>0</v>
      </c>
    </row>
    <row r="1513" spans="1:4" x14ac:dyDescent="0.35">
      <c r="A1513" t="s">
        <v>33</v>
      </c>
      <c r="B1513" t="s">
        <v>5</v>
      </c>
      <c r="C1513" t="s">
        <v>29</v>
      </c>
      <c r="D1513">
        <v>0</v>
      </c>
    </row>
    <row r="1514" spans="1:4" x14ac:dyDescent="0.35">
      <c r="A1514" t="s">
        <v>34</v>
      </c>
      <c r="B1514" t="s">
        <v>5</v>
      </c>
      <c r="C1514" t="s">
        <v>29</v>
      </c>
      <c r="D1514">
        <v>0</v>
      </c>
    </row>
    <row r="1515" spans="1:4" x14ac:dyDescent="0.35">
      <c r="A1515" t="s">
        <v>35</v>
      </c>
      <c r="B1515" t="s">
        <v>5</v>
      </c>
      <c r="C1515" t="s">
        <v>29</v>
      </c>
      <c r="D1515">
        <v>0</v>
      </c>
    </row>
    <row r="1516" spans="1:4" x14ac:dyDescent="0.35">
      <c r="A1516" t="s">
        <v>36</v>
      </c>
      <c r="B1516" t="s">
        <v>5</v>
      </c>
      <c r="C1516" t="s">
        <v>29</v>
      </c>
      <c r="D1516">
        <v>0</v>
      </c>
    </row>
    <row r="1517" spans="1:4" x14ac:dyDescent="0.35">
      <c r="A1517" t="s">
        <v>37</v>
      </c>
      <c r="B1517" t="s">
        <v>5</v>
      </c>
      <c r="C1517" t="s">
        <v>29</v>
      </c>
      <c r="D1517">
        <v>0</v>
      </c>
    </row>
    <row r="1518" spans="1:4" x14ac:dyDescent="0.35">
      <c r="A1518" t="s">
        <v>38</v>
      </c>
      <c r="B1518" t="s">
        <v>5</v>
      </c>
      <c r="C1518" t="s">
        <v>29</v>
      </c>
      <c r="D1518">
        <v>0</v>
      </c>
    </row>
    <row r="1519" spans="1:4" x14ac:dyDescent="0.35">
      <c r="A1519" t="s">
        <v>39</v>
      </c>
      <c r="B1519" t="s">
        <v>5</v>
      </c>
      <c r="C1519" t="s">
        <v>29</v>
      </c>
      <c r="D1519">
        <v>0</v>
      </c>
    </row>
    <row r="1520" spans="1:4" x14ac:dyDescent="0.35">
      <c r="A1520" t="s">
        <v>7</v>
      </c>
      <c r="B1520" t="s">
        <v>4</v>
      </c>
      <c r="C1520" t="s">
        <v>30</v>
      </c>
      <c r="D1520">
        <v>0</v>
      </c>
    </row>
    <row r="1521" spans="1:4" x14ac:dyDescent="0.35">
      <c r="A1521" t="s">
        <v>8</v>
      </c>
      <c r="B1521" t="s">
        <v>4</v>
      </c>
      <c r="C1521" t="s">
        <v>30</v>
      </c>
      <c r="D1521">
        <v>0</v>
      </c>
    </row>
    <row r="1522" spans="1:4" x14ac:dyDescent="0.35">
      <c r="A1522" t="s">
        <v>9</v>
      </c>
      <c r="B1522" t="s">
        <v>4</v>
      </c>
      <c r="C1522" t="s">
        <v>30</v>
      </c>
      <c r="D1522">
        <v>0</v>
      </c>
    </row>
    <row r="1523" spans="1:4" x14ac:dyDescent="0.35">
      <c r="A1523" t="s">
        <v>10</v>
      </c>
      <c r="B1523" t="s">
        <v>4</v>
      </c>
      <c r="C1523" t="s">
        <v>30</v>
      </c>
      <c r="D1523">
        <v>0</v>
      </c>
    </row>
    <row r="1524" spans="1:4" x14ac:dyDescent="0.35">
      <c r="A1524" t="s">
        <v>11</v>
      </c>
      <c r="B1524" t="s">
        <v>4</v>
      </c>
      <c r="C1524" t="s">
        <v>30</v>
      </c>
      <c r="D1524">
        <v>0</v>
      </c>
    </row>
    <row r="1525" spans="1:4" x14ac:dyDescent="0.35">
      <c r="A1525" t="s">
        <v>12</v>
      </c>
      <c r="B1525" t="s">
        <v>4</v>
      </c>
      <c r="C1525" t="s">
        <v>30</v>
      </c>
      <c r="D1525">
        <v>0</v>
      </c>
    </row>
    <row r="1526" spans="1:4" x14ac:dyDescent="0.35">
      <c r="A1526" t="s">
        <v>13</v>
      </c>
      <c r="B1526" t="s">
        <v>4</v>
      </c>
      <c r="C1526" t="s">
        <v>30</v>
      </c>
      <c r="D1526">
        <v>0</v>
      </c>
    </row>
    <row r="1527" spans="1:4" x14ac:dyDescent="0.35">
      <c r="A1527" t="s">
        <v>14</v>
      </c>
      <c r="B1527" t="s">
        <v>4</v>
      </c>
      <c r="C1527" t="s">
        <v>30</v>
      </c>
      <c r="D1527">
        <v>0</v>
      </c>
    </row>
    <row r="1528" spans="1:4" x14ac:dyDescent="0.35">
      <c r="A1528" t="s">
        <v>15</v>
      </c>
      <c r="B1528" t="s">
        <v>4</v>
      </c>
      <c r="C1528" t="s">
        <v>30</v>
      </c>
      <c r="D1528">
        <v>0</v>
      </c>
    </row>
    <row r="1529" spans="1:4" x14ac:dyDescent="0.35">
      <c r="A1529" t="s">
        <v>16</v>
      </c>
      <c r="B1529" t="s">
        <v>4</v>
      </c>
      <c r="C1529" t="s">
        <v>30</v>
      </c>
      <c r="D1529">
        <v>0</v>
      </c>
    </row>
    <row r="1530" spans="1:4" x14ac:dyDescent="0.35">
      <c r="A1530" t="s">
        <v>17</v>
      </c>
      <c r="B1530" t="s">
        <v>4</v>
      </c>
      <c r="C1530" t="s">
        <v>30</v>
      </c>
      <c r="D1530">
        <v>0</v>
      </c>
    </row>
    <row r="1531" spans="1:4" x14ac:dyDescent="0.35">
      <c r="A1531" t="s">
        <v>18</v>
      </c>
      <c r="B1531" t="s">
        <v>4</v>
      </c>
      <c r="C1531" t="s">
        <v>30</v>
      </c>
      <c r="D1531">
        <v>0</v>
      </c>
    </row>
    <row r="1532" spans="1:4" x14ac:dyDescent="0.35">
      <c r="A1532" t="s">
        <v>19</v>
      </c>
      <c r="B1532" t="s">
        <v>4</v>
      </c>
      <c r="C1532" t="s">
        <v>30</v>
      </c>
      <c r="D1532">
        <v>0</v>
      </c>
    </row>
    <row r="1533" spans="1:4" x14ac:dyDescent="0.35">
      <c r="A1533" t="s">
        <v>20</v>
      </c>
      <c r="B1533" t="s">
        <v>4</v>
      </c>
      <c r="C1533" t="s">
        <v>30</v>
      </c>
      <c r="D1533">
        <v>0</v>
      </c>
    </row>
    <row r="1534" spans="1:4" x14ac:dyDescent="0.35">
      <c r="A1534" t="s">
        <v>21</v>
      </c>
      <c r="B1534" t="s">
        <v>4</v>
      </c>
      <c r="C1534" t="s">
        <v>30</v>
      </c>
      <c r="D1534">
        <v>0</v>
      </c>
    </row>
    <row r="1535" spans="1:4" x14ac:dyDescent="0.35">
      <c r="A1535" t="s">
        <v>22</v>
      </c>
      <c r="B1535" t="s">
        <v>4</v>
      </c>
      <c r="C1535" t="s">
        <v>30</v>
      </c>
      <c r="D1535">
        <v>0</v>
      </c>
    </row>
    <row r="1536" spans="1:4" x14ac:dyDescent="0.35">
      <c r="A1536" t="s">
        <v>23</v>
      </c>
      <c r="B1536" t="s">
        <v>4</v>
      </c>
      <c r="C1536" t="s">
        <v>30</v>
      </c>
      <c r="D1536">
        <v>0</v>
      </c>
    </row>
    <row r="1537" spans="1:4" x14ac:dyDescent="0.35">
      <c r="A1537" t="s">
        <v>24</v>
      </c>
      <c r="B1537" t="s">
        <v>4</v>
      </c>
      <c r="C1537" t="s">
        <v>30</v>
      </c>
      <c r="D1537">
        <v>0</v>
      </c>
    </row>
    <row r="1538" spans="1:4" x14ac:dyDescent="0.35">
      <c r="A1538" t="s">
        <v>25</v>
      </c>
      <c r="B1538" t="s">
        <v>4</v>
      </c>
      <c r="C1538" t="s">
        <v>30</v>
      </c>
      <c r="D1538">
        <v>0</v>
      </c>
    </row>
    <row r="1539" spans="1:4" x14ac:dyDescent="0.35">
      <c r="A1539" t="s">
        <v>26</v>
      </c>
      <c r="B1539" t="s">
        <v>4</v>
      </c>
      <c r="C1539" t="s">
        <v>30</v>
      </c>
      <c r="D1539">
        <v>0</v>
      </c>
    </row>
    <row r="1540" spans="1:4" x14ac:dyDescent="0.35">
      <c r="A1540" t="s">
        <v>27</v>
      </c>
      <c r="B1540" t="s">
        <v>4</v>
      </c>
      <c r="C1540" t="s">
        <v>30</v>
      </c>
      <c r="D1540">
        <v>0</v>
      </c>
    </row>
    <row r="1541" spans="1:4" x14ac:dyDescent="0.35">
      <c r="A1541" t="s">
        <v>28</v>
      </c>
      <c r="B1541" t="s">
        <v>4</v>
      </c>
      <c r="C1541" t="s">
        <v>30</v>
      </c>
      <c r="D1541">
        <v>0</v>
      </c>
    </row>
    <row r="1542" spans="1:4" x14ac:dyDescent="0.35">
      <c r="A1542" t="s">
        <v>29</v>
      </c>
      <c r="B1542" t="s">
        <v>4</v>
      </c>
      <c r="C1542" t="s">
        <v>30</v>
      </c>
      <c r="D1542">
        <v>0</v>
      </c>
    </row>
    <row r="1543" spans="1:4" x14ac:dyDescent="0.35">
      <c r="A1543" t="s">
        <v>30</v>
      </c>
      <c r="B1543" t="s">
        <v>4</v>
      </c>
      <c r="C1543" t="s">
        <v>30</v>
      </c>
      <c r="D1543">
        <v>0</v>
      </c>
    </row>
    <row r="1544" spans="1:4" x14ac:dyDescent="0.35">
      <c r="A1544" t="s">
        <v>31</v>
      </c>
      <c r="B1544" t="s">
        <v>4</v>
      </c>
      <c r="C1544" t="s">
        <v>30</v>
      </c>
      <c r="D1544">
        <v>0</v>
      </c>
    </row>
    <row r="1545" spans="1:4" x14ac:dyDescent="0.35">
      <c r="A1545" t="s">
        <v>32</v>
      </c>
      <c r="B1545" t="s">
        <v>4</v>
      </c>
      <c r="C1545" t="s">
        <v>30</v>
      </c>
      <c r="D1545">
        <v>0</v>
      </c>
    </row>
    <row r="1546" spans="1:4" x14ac:dyDescent="0.35">
      <c r="A1546" t="s">
        <v>33</v>
      </c>
      <c r="B1546" t="s">
        <v>4</v>
      </c>
      <c r="C1546" t="s">
        <v>30</v>
      </c>
      <c r="D1546">
        <v>0</v>
      </c>
    </row>
    <row r="1547" spans="1:4" x14ac:dyDescent="0.35">
      <c r="A1547" t="s">
        <v>34</v>
      </c>
      <c r="B1547" t="s">
        <v>4</v>
      </c>
      <c r="C1547" t="s">
        <v>30</v>
      </c>
      <c r="D1547">
        <v>0</v>
      </c>
    </row>
    <row r="1548" spans="1:4" x14ac:dyDescent="0.35">
      <c r="A1548" t="s">
        <v>35</v>
      </c>
      <c r="B1548" t="s">
        <v>4</v>
      </c>
      <c r="C1548" t="s">
        <v>30</v>
      </c>
      <c r="D1548">
        <v>0</v>
      </c>
    </row>
    <row r="1549" spans="1:4" x14ac:dyDescent="0.35">
      <c r="A1549" t="s">
        <v>36</v>
      </c>
      <c r="B1549" t="s">
        <v>4</v>
      </c>
      <c r="C1549" t="s">
        <v>30</v>
      </c>
      <c r="D1549">
        <v>0</v>
      </c>
    </row>
    <row r="1550" spans="1:4" x14ac:dyDescent="0.35">
      <c r="A1550" t="s">
        <v>37</v>
      </c>
      <c r="B1550" t="s">
        <v>4</v>
      </c>
      <c r="C1550" t="s">
        <v>30</v>
      </c>
      <c r="D1550">
        <v>0</v>
      </c>
    </row>
    <row r="1551" spans="1:4" x14ac:dyDescent="0.35">
      <c r="A1551" t="s">
        <v>38</v>
      </c>
      <c r="B1551" t="s">
        <v>4</v>
      </c>
      <c r="C1551" t="s">
        <v>30</v>
      </c>
      <c r="D1551">
        <v>0</v>
      </c>
    </row>
    <row r="1552" spans="1:4" x14ac:dyDescent="0.35">
      <c r="A1552" t="s">
        <v>39</v>
      </c>
      <c r="B1552" t="s">
        <v>4</v>
      </c>
      <c r="C1552" t="s">
        <v>30</v>
      </c>
      <c r="D1552">
        <v>0</v>
      </c>
    </row>
    <row r="1553" spans="1:4" x14ac:dyDescent="0.35">
      <c r="A1553" t="s">
        <v>7</v>
      </c>
      <c r="B1553" t="s">
        <v>5</v>
      </c>
      <c r="C1553" t="s">
        <v>30</v>
      </c>
      <c r="D1553">
        <v>0</v>
      </c>
    </row>
    <row r="1554" spans="1:4" x14ac:dyDescent="0.35">
      <c r="A1554" t="s">
        <v>8</v>
      </c>
      <c r="B1554" t="s">
        <v>5</v>
      </c>
      <c r="C1554" t="s">
        <v>30</v>
      </c>
      <c r="D1554">
        <v>0</v>
      </c>
    </row>
    <row r="1555" spans="1:4" x14ac:dyDescent="0.35">
      <c r="A1555" t="s">
        <v>9</v>
      </c>
      <c r="B1555" t="s">
        <v>5</v>
      </c>
      <c r="C1555" t="s">
        <v>30</v>
      </c>
      <c r="D1555">
        <v>0</v>
      </c>
    </row>
    <row r="1556" spans="1:4" x14ac:dyDescent="0.35">
      <c r="A1556" t="s">
        <v>10</v>
      </c>
      <c r="B1556" t="s">
        <v>5</v>
      </c>
      <c r="C1556" t="s">
        <v>30</v>
      </c>
      <c r="D1556">
        <v>0</v>
      </c>
    </row>
    <row r="1557" spans="1:4" x14ac:dyDescent="0.35">
      <c r="A1557" t="s">
        <v>11</v>
      </c>
      <c r="B1557" t="s">
        <v>5</v>
      </c>
      <c r="C1557" t="s">
        <v>30</v>
      </c>
      <c r="D1557">
        <v>0</v>
      </c>
    </row>
    <row r="1558" spans="1:4" x14ac:dyDescent="0.35">
      <c r="A1558" t="s">
        <v>12</v>
      </c>
      <c r="B1558" t="s">
        <v>5</v>
      </c>
      <c r="C1558" t="s">
        <v>30</v>
      </c>
      <c r="D1558">
        <v>0</v>
      </c>
    </row>
    <row r="1559" spans="1:4" x14ac:dyDescent="0.35">
      <c r="A1559" t="s">
        <v>13</v>
      </c>
      <c r="B1559" t="s">
        <v>5</v>
      </c>
      <c r="C1559" t="s">
        <v>30</v>
      </c>
      <c r="D1559">
        <v>0</v>
      </c>
    </row>
    <row r="1560" spans="1:4" x14ac:dyDescent="0.35">
      <c r="A1560" t="s">
        <v>14</v>
      </c>
      <c r="B1560" t="s">
        <v>5</v>
      </c>
      <c r="C1560" t="s">
        <v>30</v>
      </c>
      <c r="D1560">
        <v>0</v>
      </c>
    </row>
    <row r="1561" spans="1:4" x14ac:dyDescent="0.35">
      <c r="A1561" t="s">
        <v>15</v>
      </c>
      <c r="B1561" t="s">
        <v>5</v>
      </c>
      <c r="C1561" t="s">
        <v>30</v>
      </c>
      <c r="D1561">
        <v>0</v>
      </c>
    </row>
    <row r="1562" spans="1:4" x14ac:dyDescent="0.35">
      <c r="A1562" t="s">
        <v>16</v>
      </c>
      <c r="B1562" t="s">
        <v>5</v>
      </c>
      <c r="C1562" t="s">
        <v>30</v>
      </c>
      <c r="D1562">
        <v>0</v>
      </c>
    </row>
    <row r="1563" spans="1:4" x14ac:dyDescent="0.35">
      <c r="A1563" t="s">
        <v>17</v>
      </c>
      <c r="B1563" t="s">
        <v>5</v>
      </c>
      <c r="C1563" t="s">
        <v>30</v>
      </c>
      <c r="D1563">
        <v>0</v>
      </c>
    </row>
    <row r="1564" spans="1:4" x14ac:dyDescent="0.35">
      <c r="A1564" t="s">
        <v>18</v>
      </c>
      <c r="B1564" t="s">
        <v>5</v>
      </c>
      <c r="C1564" t="s">
        <v>30</v>
      </c>
      <c r="D1564">
        <v>0</v>
      </c>
    </row>
    <row r="1565" spans="1:4" x14ac:dyDescent="0.35">
      <c r="A1565" t="s">
        <v>19</v>
      </c>
      <c r="B1565" t="s">
        <v>5</v>
      </c>
      <c r="C1565" t="s">
        <v>30</v>
      </c>
      <c r="D1565">
        <v>0</v>
      </c>
    </row>
    <row r="1566" spans="1:4" x14ac:dyDescent="0.35">
      <c r="A1566" t="s">
        <v>20</v>
      </c>
      <c r="B1566" t="s">
        <v>5</v>
      </c>
      <c r="C1566" t="s">
        <v>30</v>
      </c>
      <c r="D1566">
        <v>0</v>
      </c>
    </row>
    <row r="1567" spans="1:4" x14ac:dyDescent="0.35">
      <c r="A1567" t="s">
        <v>21</v>
      </c>
      <c r="B1567" t="s">
        <v>5</v>
      </c>
      <c r="C1567" t="s">
        <v>30</v>
      </c>
      <c r="D1567">
        <v>0</v>
      </c>
    </row>
    <row r="1568" spans="1:4" x14ac:dyDescent="0.35">
      <c r="A1568" t="s">
        <v>22</v>
      </c>
      <c r="B1568" t="s">
        <v>5</v>
      </c>
      <c r="C1568" t="s">
        <v>30</v>
      </c>
      <c r="D1568">
        <v>0</v>
      </c>
    </row>
    <row r="1569" spans="1:4" x14ac:dyDescent="0.35">
      <c r="A1569" t="s">
        <v>23</v>
      </c>
      <c r="B1569" t="s">
        <v>5</v>
      </c>
      <c r="C1569" t="s">
        <v>30</v>
      </c>
      <c r="D1569">
        <v>0</v>
      </c>
    </row>
    <row r="1570" spans="1:4" x14ac:dyDescent="0.35">
      <c r="A1570" t="s">
        <v>24</v>
      </c>
      <c r="B1570" t="s">
        <v>5</v>
      </c>
      <c r="C1570" t="s">
        <v>30</v>
      </c>
      <c r="D1570">
        <v>0</v>
      </c>
    </row>
    <row r="1571" spans="1:4" x14ac:dyDescent="0.35">
      <c r="A1571" t="s">
        <v>25</v>
      </c>
      <c r="B1571" t="s">
        <v>5</v>
      </c>
      <c r="C1571" t="s">
        <v>30</v>
      </c>
      <c r="D1571">
        <v>0</v>
      </c>
    </row>
    <row r="1572" spans="1:4" x14ac:dyDescent="0.35">
      <c r="A1572" t="s">
        <v>26</v>
      </c>
      <c r="B1572" t="s">
        <v>5</v>
      </c>
      <c r="C1572" t="s">
        <v>30</v>
      </c>
      <c r="D1572">
        <v>0</v>
      </c>
    </row>
    <row r="1573" spans="1:4" x14ac:dyDescent="0.35">
      <c r="A1573" t="s">
        <v>27</v>
      </c>
      <c r="B1573" t="s">
        <v>5</v>
      </c>
      <c r="C1573" t="s">
        <v>30</v>
      </c>
      <c r="D1573">
        <v>0</v>
      </c>
    </row>
    <row r="1574" spans="1:4" x14ac:dyDescent="0.35">
      <c r="A1574" t="s">
        <v>28</v>
      </c>
      <c r="B1574" t="s">
        <v>5</v>
      </c>
      <c r="C1574" t="s">
        <v>30</v>
      </c>
      <c r="D1574">
        <v>0</v>
      </c>
    </row>
    <row r="1575" spans="1:4" x14ac:dyDescent="0.35">
      <c r="A1575" t="s">
        <v>29</v>
      </c>
      <c r="B1575" t="s">
        <v>5</v>
      </c>
      <c r="C1575" t="s">
        <v>30</v>
      </c>
      <c r="D1575">
        <v>0</v>
      </c>
    </row>
    <row r="1576" spans="1:4" x14ac:dyDescent="0.35">
      <c r="A1576" t="s">
        <v>30</v>
      </c>
      <c r="B1576" t="s">
        <v>5</v>
      </c>
      <c r="C1576" t="s">
        <v>30</v>
      </c>
      <c r="D1576">
        <v>0</v>
      </c>
    </row>
    <row r="1577" spans="1:4" x14ac:dyDescent="0.35">
      <c r="A1577" t="s">
        <v>31</v>
      </c>
      <c r="B1577" t="s">
        <v>5</v>
      </c>
      <c r="C1577" t="s">
        <v>30</v>
      </c>
      <c r="D1577">
        <v>0</v>
      </c>
    </row>
    <row r="1578" spans="1:4" x14ac:dyDescent="0.35">
      <c r="A1578" t="s">
        <v>32</v>
      </c>
      <c r="B1578" t="s">
        <v>5</v>
      </c>
      <c r="C1578" t="s">
        <v>30</v>
      </c>
      <c r="D1578">
        <v>0</v>
      </c>
    </row>
    <row r="1579" spans="1:4" x14ac:dyDescent="0.35">
      <c r="A1579" t="s">
        <v>33</v>
      </c>
      <c r="B1579" t="s">
        <v>5</v>
      </c>
      <c r="C1579" t="s">
        <v>30</v>
      </c>
      <c r="D1579">
        <v>0</v>
      </c>
    </row>
    <row r="1580" spans="1:4" x14ac:dyDescent="0.35">
      <c r="A1580" t="s">
        <v>34</v>
      </c>
      <c r="B1580" t="s">
        <v>5</v>
      </c>
      <c r="C1580" t="s">
        <v>30</v>
      </c>
      <c r="D1580">
        <v>0</v>
      </c>
    </row>
    <row r="1581" spans="1:4" x14ac:dyDescent="0.35">
      <c r="A1581" t="s">
        <v>35</v>
      </c>
      <c r="B1581" t="s">
        <v>5</v>
      </c>
      <c r="C1581" t="s">
        <v>30</v>
      </c>
      <c r="D1581">
        <v>0</v>
      </c>
    </row>
    <row r="1582" spans="1:4" x14ac:dyDescent="0.35">
      <c r="A1582" t="s">
        <v>36</v>
      </c>
      <c r="B1582" t="s">
        <v>5</v>
      </c>
      <c r="C1582" t="s">
        <v>30</v>
      </c>
      <c r="D1582">
        <v>0</v>
      </c>
    </row>
    <row r="1583" spans="1:4" x14ac:dyDescent="0.35">
      <c r="A1583" t="s">
        <v>37</v>
      </c>
      <c r="B1583" t="s">
        <v>5</v>
      </c>
      <c r="C1583" t="s">
        <v>30</v>
      </c>
      <c r="D1583">
        <v>0</v>
      </c>
    </row>
    <row r="1584" spans="1:4" x14ac:dyDescent="0.35">
      <c r="A1584" t="s">
        <v>38</v>
      </c>
      <c r="B1584" t="s">
        <v>5</v>
      </c>
      <c r="C1584" t="s">
        <v>30</v>
      </c>
      <c r="D1584">
        <v>0</v>
      </c>
    </row>
    <row r="1585" spans="1:4" x14ac:dyDescent="0.35">
      <c r="A1585" t="s">
        <v>39</v>
      </c>
      <c r="B1585" t="s">
        <v>5</v>
      </c>
      <c r="C1585" t="s">
        <v>30</v>
      </c>
      <c r="D1585">
        <v>0</v>
      </c>
    </row>
    <row r="1586" spans="1:4" x14ac:dyDescent="0.35">
      <c r="A1586" t="s">
        <v>7</v>
      </c>
      <c r="B1586" t="s">
        <v>4</v>
      </c>
      <c r="C1586" t="s">
        <v>31</v>
      </c>
      <c r="D1586">
        <v>0</v>
      </c>
    </row>
    <row r="1587" spans="1:4" x14ac:dyDescent="0.35">
      <c r="A1587" t="s">
        <v>8</v>
      </c>
      <c r="B1587" t="s">
        <v>4</v>
      </c>
      <c r="C1587" t="s">
        <v>31</v>
      </c>
      <c r="D1587">
        <v>0</v>
      </c>
    </row>
    <row r="1588" spans="1:4" x14ac:dyDescent="0.35">
      <c r="A1588" t="s">
        <v>9</v>
      </c>
      <c r="B1588" t="s">
        <v>4</v>
      </c>
      <c r="C1588" t="s">
        <v>31</v>
      </c>
      <c r="D1588">
        <v>0</v>
      </c>
    </row>
    <row r="1589" spans="1:4" x14ac:dyDescent="0.35">
      <c r="A1589" t="s">
        <v>10</v>
      </c>
      <c r="B1589" t="s">
        <v>4</v>
      </c>
      <c r="C1589" t="s">
        <v>31</v>
      </c>
      <c r="D1589">
        <v>0</v>
      </c>
    </row>
    <row r="1590" spans="1:4" x14ac:dyDescent="0.35">
      <c r="A1590" t="s">
        <v>11</v>
      </c>
      <c r="B1590" t="s">
        <v>4</v>
      </c>
      <c r="C1590" t="s">
        <v>31</v>
      </c>
      <c r="D1590">
        <v>0</v>
      </c>
    </row>
    <row r="1591" spans="1:4" x14ac:dyDescent="0.35">
      <c r="A1591" t="s">
        <v>12</v>
      </c>
      <c r="B1591" t="s">
        <v>4</v>
      </c>
      <c r="C1591" t="s">
        <v>31</v>
      </c>
      <c r="D1591">
        <v>0</v>
      </c>
    </row>
    <row r="1592" spans="1:4" x14ac:dyDescent="0.35">
      <c r="A1592" t="s">
        <v>13</v>
      </c>
      <c r="B1592" t="s">
        <v>4</v>
      </c>
      <c r="C1592" t="s">
        <v>31</v>
      </c>
      <c r="D1592">
        <v>0</v>
      </c>
    </row>
    <row r="1593" spans="1:4" x14ac:dyDescent="0.35">
      <c r="A1593" t="s">
        <v>14</v>
      </c>
      <c r="B1593" t="s">
        <v>4</v>
      </c>
      <c r="C1593" t="s">
        <v>31</v>
      </c>
      <c r="D1593">
        <v>0</v>
      </c>
    </row>
    <row r="1594" spans="1:4" x14ac:dyDescent="0.35">
      <c r="A1594" t="s">
        <v>15</v>
      </c>
      <c r="B1594" t="s">
        <v>4</v>
      </c>
      <c r="C1594" t="s">
        <v>31</v>
      </c>
      <c r="D1594">
        <v>0</v>
      </c>
    </row>
    <row r="1595" spans="1:4" x14ac:dyDescent="0.35">
      <c r="A1595" t="s">
        <v>16</v>
      </c>
      <c r="B1595" t="s">
        <v>4</v>
      </c>
      <c r="C1595" t="s">
        <v>31</v>
      </c>
      <c r="D1595">
        <v>0</v>
      </c>
    </row>
    <row r="1596" spans="1:4" x14ac:dyDescent="0.35">
      <c r="A1596" t="s">
        <v>17</v>
      </c>
      <c r="B1596" t="s">
        <v>4</v>
      </c>
      <c r="C1596" t="s">
        <v>31</v>
      </c>
      <c r="D1596">
        <v>0</v>
      </c>
    </row>
    <row r="1597" spans="1:4" x14ac:dyDescent="0.35">
      <c r="A1597" t="s">
        <v>18</v>
      </c>
      <c r="B1597" t="s">
        <v>4</v>
      </c>
      <c r="C1597" t="s">
        <v>31</v>
      </c>
      <c r="D1597">
        <v>0</v>
      </c>
    </row>
    <row r="1598" spans="1:4" x14ac:dyDescent="0.35">
      <c r="A1598" t="s">
        <v>19</v>
      </c>
      <c r="B1598" t="s">
        <v>4</v>
      </c>
      <c r="C1598" t="s">
        <v>31</v>
      </c>
      <c r="D1598">
        <v>0</v>
      </c>
    </row>
    <row r="1599" spans="1:4" x14ac:dyDescent="0.35">
      <c r="A1599" t="s">
        <v>20</v>
      </c>
      <c r="B1599" t="s">
        <v>4</v>
      </c>
      <c r="C1599" t="s">
        <v>31</v>
      </c>
      <c r="D1599">
        <v>0</v>
      </c>
    </row>
    <row r="1600" spans="1:4" x14ac:dyDescent="0.35">
      <c r="A1600" t="s">
        <v>21</v>
      </c>
      <c r="B1600" t="s">
        <v>4</v>
      </c>
      <c r="C1600" t="s">
        <v>31</v>
      </c>
      <c r="D1600">
        <v>0</v>
      </c>
    </row>
    <row r="1601" spans="1:4" x14ac:dyDescent="0.35">
      <c r="A1601" t="s">
        <v>22</v>
      </c>
      <c r="B1601" t="s">
        <v>4</v>
      </c>
      <c r="C1601" t="s">
        <v>31</v>
      </c>
      <c r="D1601">
        <v>0</v>
      </c>
    </row>
    <row r="1602" spans="1:4" x14ac:dyDescent="0.35">
      <c r="A1602" t="s">
        <v>23</v>
      </c>
      <c r="B1602" t="s">
        <v>4</v>
      </c>
      <c r="C1602" t="s">
        <v>31</v>
      </c>
      <c r="D1602">
        <v>0</v>
      </c>
    </row>
    <row r="1603" spans="1:4" x14ac:dyDescent="0.35">
      <c r="A1603" t="s">
        <v>24</v>
      </c>
      <c r="B1603" t="s">
        <v>4</v>
      </c>
      <c r="C1603" t="s">
        <v>31</v>
      </c>
      <c r="D1603">
        <v>0</v>
      </c>
    </row>
    <row r="1604" spans="1:4" x14ac:dyDescent="0.35">
      <c r="A1604" t="s">
        <v>25</v>
      </c>
      <c r="B1604" t="s">
        <v>4</v>
      </c>
      <c r="C1604" t="s">
        <v>31</v>
      </c>
      <c r="D1604">
        <v>0</v>
      </c>
    </row>
    <row r="1605" spans="1:4" x14ac:dyDescent="0.35">
      <c r="A1605" t="s">
        <v>26</v>
      </c>
      <c r="B1605" t="s">
        <v>4</v>
      </c>
      <c r="C1605" t="s">
        <v>31</v>
      </c>
      <c r="D1605">
        <v>0</v>
      </c>
    </row>
    <row r="1606" spans="1:4" x14ac:dyDescent="0.35">
      <c r="A1606" t="s">
        <v>27</v>
      </c>
      <c r="B1606" t="s">
        <v>4</v>
      </c>
      <c r="C1606" t="s">
        <v>31</v>
      </c>
      <c r="D1606">
        <v>0</v>
      </c>
    </row>
    <row r="1607" spans="1:4" x14ac:dyDescent="0.35">
      <c r="A1607" t="s">
        <v>28</v>
      </c>
      <c r="B1607" t="s">
        <v>4</v>
      </c>
      <c r="C1607" t="s">
        <v>31</v>
      </c>
      <c r="D1607">
        <v>0</v>
      </c>
    </row>
    <row r="1608" spans="1:4" x14ac:dyDescent="0.35">
      <c r="A1608" t="s">
        <v>29</v>
      </c>
      <c r="B1608" t="s">
        <v>4</v>
      </c>
      <c r="C1608" t="s">
        <v>31</v>
      </c>
      <c r="D1608">
        <v>0</v>
      </c>
    </row>
    <row r="1609" spans="1:4" x14ac:dyDescent="0.35">
      <c r="A1609" t="s">
        <v>30</v>
      </c>
      <c r="B1609" t="s">
        <v>4</v>
      </c>
      <c r="C1609" t="s">
        <v>31</v>
      </c>
      <c r="D1609">
        <v>0</v>
      </c>
    </row>
    <row r="1610" spans="1:4" x14ac:dyDescent="0.35">
      <c r="A1610" t="s">
        <v>31</v>
      </c>
      <c r="B1610" t="s">
        <v>4</v>
      </c>
      <c r="C1610" t="s">
        <v>31</v>
      </c>
      <c r="D1610">
        <v>0</v>
      </c>
    </row>
    <row r="1611" spans="1:4" x14ac:dyDescent="0.35">
      <c r="A1611" t="s">
        <v>32</v>
      </c>
      <c r="B1611" t="s">
        <v>4</v>
      </c>
      <c r="C1611" t="s">
        <v>31</v>
      </c>
      <c r="D1611">
        <v>0</v>
      </c>
    </row>
    <row r="1612" spans="1:4" x14ac:dyDescent="0.35">
      <c r="A1612" t="s">
        <v>33</v>
      </c>
      <c r="B1612" t="s">
        <v>4</v>
      </c>
      <c r="C1612" t="s">
        <v>31</v>
      </c>
      <c r="D1612">
        <v>0</v>
      </c>
    </row>
    <row r="1613" spans="1:4" x14ac:dyDescent="0.35">
      <c r="A1613" t="s">
        <v>34</v>
      </c>
      <c r="B1613" t="s">
        <v>4</v>
      </c>
      <c r="C1613" t="s">
        <v>31</v>
      </c>
      <c r="D1613">
        <v>0</v>
      </c>
    </row>
    <row r="1614" spans="1:4" x14ac:dyDescent="0.35">
      <c r="A1614" t="s">
        <v>35</v>
      </c>
      <c r="B1614" t="s">
        <v>4</v>
      </c>
      <c r="C1614" t="s">
        <v>31</v>
      </c>
      <c r="D1614">
        <v>0</v>
      </c>
    </row>
    <row r="1615" spans="1:4" x14ac:dyDescent="0.35">
      <c r="A1615" t="s">
        <v>36</v>
      </c>
      <c r="B1615" t="s">
        <v>4</v>
      </c>
      <c r="C1615" t="s">
        <v>31</v>
      </c>
      <c r="D1615">
        <v>0</v>
      </c>
    </row>
    <row r="1616" spans="1:4" x14ac:dyDescent="0.35">
      <c r="A1616" t="s">
        <v>37</v>
      </c>
      <c r="B1616" t="s">
        <v>4</v>
      </c>
      <c r="C1616" t="s">
        <v>31</v>
      </c>
      <c r="D1616">
        <v>0</v>
      </c>
    </row>
    <row r="1617" spans="1:4" x14ac:dyDescent="0.35">
      <c r="A1617" t="s">
        <v>38</v>
      </c>
      <c r="B1617" t="s">
        <v>4</v>
      </c>
      <c r="C1617" t="s">
        <v>31</v>
      </c>
      <c r="D1617">
        <v>0</v>
      </c>
    </row>
    <row r="1618" spans="1:4" x14ac:dyDescent="0.35">
      <c r="A1618" t="s">
        <v>39</v>
      </c>
      <c r="B1618" t="s">
        <v>4</v>
      </c>
      <c r="C1618" t="s">
        <v>31</v>
      </c>
      <c r="D1618">
        <v>0</v>
      </c>
    </row>
    <row r="1619" spans="1:4" x14ac:dyDescent="0.35">
      <c r="A1619" t="s">
        <v>7</v>
      </c>
      <c r="B1619" t="s">
        <v>5</v>
      </c>
      <c r="C1619" t="s">
        <v>31</v>
      </c>
      <c r="D1619">
        <v>0</v>
      </c>
    </row>
    <row r="1620" spans="1:4" x14ac:dyDescent="0.35">
      <c r="A1620" t="s">
        <v>8</v>
      </c>
      <c r="B1620" t="s">
        <v>5</v>
      </c>
      <c r="C1620" t="s">
        <v>31</v>
      </c>
      <c r="D1620">
        <v>0</v>
      </c>
    </row>
    <row r="1621" spans="1:4" x14ac:dyDescent="0.35">
      <c r="A1621" t="s">
        <v>9</v>
      </c>
      <c r="B1621" t="s">
        <v>5</v>
      </c>
      <c r="C1621" t="s">
        <v>31</v>
      </c>
      <c r="D1621">
        <v>0</v>
      </c>
    </row>
    <row r="1622" spans="1:4" x14ac:dyDescent="0.35">
      <c r="A1622" t="s">
        <v>10</v>
      </c>
      <c r="B1622" t="s">
        <v>5</v>
      </c>
      <c r="C1622" t="s">
        <v>31</v>
      </c>
      <c r="D1622">
        <v>0</v>
      </c>
    </row>
    <row r="1623" spans="1:4" x14ac:dyDescent="0.35">
      <c r="A1623" t="s">
        <v>11</v>
      </c>
      <c r="B1623" t="s">
        <v>5</v>
      </c>
      <c r="C1623" t="s">
        <v>31</v>
      </c>
      <c r="D1623">
        <v>0</v>
      </c>
    </row>
    <row r="1624" spans="1:4" x14ac:dyDescent="0.35">
      <c r="A1624" t="s">
        <v>12</v>
      </c>
      <c r="B1624" t="s">
        <v>5</v>
      </c>
      <c r="C1624" t="s">
        <v>31</v>
      </c>
      <c r="D1624">
        <v>0</v>
      </c>
    </row>
    <row r="1625" spans="1:4" x14ac:dyDescent="0.35">
      <c r="A1625" t="s">
        <v>13</v>
      </c>
      <c r="B1625" t="s">
        <v>5</v>
      </c>
      <c r="C1625" t="s">
        <v>31</v>
      </c>
      <c r="D1625">
        <v>0</v>
      </c>
    </row>
    <row r="1626" spans="1:4" x14ac:dyDescent="0.35">
      <c r="A1626" t="s">
        <v>14</v>
      </c>
      <c r="B1626" t="s">
        <v>5</v>
      </c>
      <c r="C1626" t="s">
        <v>31</v>
      </c>
      <c r="D1626">
        <v>0</v>
      </c>
    </row>
    <row r="1627" spans="1:4" x14ac:dyDescent="0.35">
      <c r="A1627" t="s">
        <v>15</v>
      </c>
      <c r="B1627" t="s">
        <v>5</v>
      </c>
      <c r="C1627" t="s">
        <v>31</v>
      </c>
      <c r="D1627">
        <v>0</v>
      </c>
    </row>
    <row r="1628" spans="1:4" x14ac:dyDescent="0.35">
      <c r="A1628" t="s">
        <v>16</v>
      </c>
      <c r="B1628" t="s">
        <v>5</v>
      </c>
      <c r="C1628" t="s">
        <v>31</v>
      </c>
      <c r="D1628">
        <v>0</v>
      </c>
    </row>
    <row r="1629" spans="1:4" x14ac:dyDescent="0.35">
      <c r="A1629" t="s">
        <v>17</v>
      </c>
      <c r="B1629" t="s">
        <v>5</v>
      </c>
      <c r="C1629" t="s">
        <v>31</v>
      </c>
      <c r="D1629">
        <v>0</v>
      </c>
    </row>
    <row r="1630" spans="1:4" x14ac:dyDescent="0.35">
      <c r="A1630" t="s">
        <v>18</v>
      </c>
      <c r="B1630" t="s">
        <v>5</v>
      </c>
      <c r="C1630" t="s">
        <v>31</v>
      </c>
      <c r="D1630">
        <v>0</v>
      </c>
    </row>
    <row r="1631" spans="1:4" x14ac:dyDescent="0.35">
      <c r="A1631" t="s">
        <v>19</v>
      </c>
      <c r="B1631" t="s">
        <v>5</v>
      </c>
      <c r="C1631" t="s">
        <v>31</v>
      </c>
      <c r="D1631">
        <v>0</v>
      </c>
    </row>
    <row r="1632" spans="1:4" x14ac:dyDescent="0.35">
      <c r="A1632" t="s">
        <v>20</v>
      </c>
      <c r="B1632" t="s">
        <v>5</v>
      </c>
      <c r="C1632" t="s">
        <v>31</v>
      </c>
      <c r="D1632">
        <v>0</v>
      </c>
    </row>
    <row r="1633" spans="1:4" x14ac:dyDescent="0.35">
      <c r="A1633" t="s">
        <v>21</v>
      </c>
      <c r="B1633" t="s">
        <v>5</v>
      </c>
      <c r="C1633" t="s">
        <v>31</v>
      </c>
      <c r="D1633">
        <v>0</v>
      </c>
    </row>
    <row r="1634" spans="1:4" x14ac:dyDescent="0.35">
      <c r="A1634" t="s">
        <v>22</v>
      </c>
      <c r="B1634" t="s">
        <v>5</v>
      </c>
      <c r="C1634" t="s">
        <v>31</v>
      </c>
      <c r="D1634">
        <v>0</v>
      </c>
    </row>
    <row r="1635" spans="1:4" x14ac:dyDescent="0.35">
      <c r="A1635" t="s">
        <v>23</v>
      </c>
      <c r="B1635" t="s">
        <v>5</v>
      </c>
      <c r="C1635" t="s">
        <v>31</v>
      </c>
      <c r="D1635">
        <v>0</v>
      </c>
    </row>
    <row r="1636" spans="1:4" x14ac:dyDescent="0.35">
      <c r="A1636" t="s">
        <v>24</v>
      </c>
      <c r="B1636" t="s">
        <v>5</v>
      </c>
      <c r="C1636" t="s">
        <v>31</v>
      </c>
      <c r="D1636">
        <v>0</v>
      </c>
    </row>
    <row r="1637" spans="1:4" x14ac:dyDescent="0.35">
      <c r="A1637" t="s">
        <v>25</v>
      </c>
      <c r="B1637" t="s">
        <v>5</v>
      </c>
      <c r="C1637" t="s">
        <v>31</v>
      </c>
      <c r="D1637">
        <v>0</v>
      </c>
    </row>
    <row r="1638" spans="1:4" x14ac:dyDescent="0.35">
      <c r="A1638" t="s">
        <v>26</v>
      </c>
      <c r="B1638" t="s">
        <v>5</v>
      </c>
      <c r="C1638" t="s">
        <v>31</v>
      </c>
      <c r="D1638">
        <v>0</v>
      </c>
    </row>
    <row r="1639" spans="1:4" x14ac:dyDescent="0.35">
      <c r="A1639" t="s">
        <v>27</v>
      </c>
      <c r="B1639" t="s">
        <v>5</v>
      </c>
      <c r="C1639" t="s">
        <v>31</v>
      </c>
      <c r="D1639">
        <v>0</v>
      </c>
    </row>
    <row r="1640" spans="1:4" x14ac:dyDescent="0.35">
      <c r="A1640" t="s">
        <v>28</v>
      </c>
      <c r="B1640" t="s">
        <v>5</v>
      </c>
      <c r="C1640" t="s">
        <v>31</v>
      </c>
      <c r="D1640">
        <v>0</v>
      </c>
    </row>
    <row r="1641" spans="1:4" x14ac:dyDescent="0.35">
      <c r="A1641" t="s">
        <v>29</v>
      </c>
      <c r="B1641" t="s">
        <v>5</v>
      </c>
      <c r="C1641" t="s">
        <v>31</v>
      </c>
      <c r="D1641">
        <v>0</v>
      </c>
    </row>
    <row r="1642" spans="1:4" x14ac:dyDescent="0.35">
      <c r="A1642" t="s">
        <v>30</v>
      </c>
      <c r="B1642" t="s">
        <v>5</v>
      </c>
      <c r="C1642" t="s">
        <v>31</v>
      </c>
      <c r="D1642">
        <v>0</v>
      </c>
    </row>
    <row r="1643" spans="1:4" x14ac:dyDescent="0.35">
      <c r="A1643" t="s">
        <v>31</v>
      </c>
      <c r="B1643" t="s">
        <v>5</v>
      </c>
      <c r="C1643" t="s">
        <v>31</v>
      </c>
      <c r="D1643">
        <v>0</v>
      </c>
    </row>
    <row r="1644" spans="1:4" x14ac:dyDescent="0.35">
      <c r="A1644" t="s">
        <v>32</v>
      </c>
      <c r="B1644" t="s">
        <v>5</v>
      </c>
      <c r="C1644" t="s">
        <v>31</v>
      </c>
      <c r="D1644">
        <v>0</v>
      </c>
    </row>
    <row r="1645" spans="1:4" x14ac:dyDescent="0.35">
      <c r="A1645" t="s">
        <v>33</v>
      </c>
      <c r="B1645" t="s">
        <v>5</v>
      </c>
      <c r="C1645" t="s">
        <v>31</v>
      </c>
      <c r="D1645">
        <v>0</v>
      </c>
    </row>
    <row r="1646" spans="1:4" x14ac:dyDescent="0.35">
      <c r="A1646" t="s">
        <v>34</v>
      </c>
      <c r="B1646" t="s">
        <v>5</v>
      </c>
      <c r="C1646" t="s">
        <v>31</v>
      </c>
      <c r="D1646">
        <v>0</v>
      </c>
    </row>
    <row r="1647" spans="1:4" x14ac:dyDescent="0.35">
      <c r="A1647" t="s">
        <v>35</v>
      </c>
      <c r="B1647" t="s">
        <v>5</v>
      </c>
      <c r="C1647" t="s">
        <v>31</v>
      </c>
      <c r="D1647">
        <v>0</v>
      </c>
    </row>
    <row r="1648" spans="1:4" x14ac:dyDescent="0.35">
      <c r="A1648" t="s">
        <v>36</v>
      </c>
      <c r="B1648" t="s">
        <v>5</v>
      </c>
      <c r="C1648" t="s">
        <v>31</v>
      </c>
      <c r="D1648">
        <v>0</v>
      </c>
    </row>
    <row r="1649" spans="1:4" x14ac:dyDescent="0.35">
      <c r="A1649" t="s">
        <v>37</v>
      </c>
      <c r="B1649" t="s">
        <v>5</v>
      </c>
      <c r="C1649" t="s">
        <v>31</v>
      </c>
      <c r="D1649">
        <v>0</v>
      </c>
    </row>
    <row r="1650" spans="1:4" x14ac:dyDescent="0.35">
      <c r="A1650" t="s">
        <v>38</v>
      </c>
      <c r="B1650" t="s">
        <v>5</v>
      </c>
      <c r="C1650" t="s">
        <v>31</v>
      </c>
      <c r="D1650">
        <v>0</v>
      </c>
    </row>
    <row r="1651" spans="1:4" x14ac:dyDescent="0.35">
      <c r="A1651" t="s">
        <v>39</v>
      </c>
      <c r="B1651" t="s">
        <v>5</v>
      </c>
      <c r="C1651" t="s">
        <v>31</v>
      </c>
      <c r="D1651">
        <v>0</v>
      </c>
    </row>
    <row r="1652" spans="1:4" x14ac:dyDescent="0.35">
      <c r="A1652" t="s">
        <v>7</v>
      </c>
      <c r="B1652" t="s">
        <v>4</v>
      </c>
      <c r="C1652" t="s">
        <v>32</v>
      </c>
      <c r="D1652">
        <v>0</v>
      </c>
    </row>
    <row r="1653" spans="1:4" x14ac:dyDescent="0.35">
      <c r="A1653" t="s">
        <v>8</v>
      </c>
      <c r="B1653" t="s">
        <v>4</v>
      </c>
      <c r="C1653" t="s">
        <v>32</v>
      </c>
      <c r="D1653">
        <v>0</v>
      </c>
    </row>
    <row r="1654" spans="1:4" x14ac:dyDescent="0.35">
      <c r="A1654" t="s">
        <v>9</v>
      </c>
      <c r="B1654" t="s">
        <v>4</v>
      </c>
      <c r="C1654" t="s">
        <v>32</v>
      </c>
      <c r="D1654">
        <v>0</v>
      </c>
    </row>
    <row r="1655" spans="1:4" x14ac:dyDescent="0.35">
      <c r="A1655" t="s">
        <v>10</v>
      </c>
      <c r="B1655" t="s">
        <v>4</v>
      </c>
      <c r="C1655" t="s">
        <v>32</v>
      </c>
      <c r="D1655">
        <v>0</v>
      </c>
    </row>
    <row r="1656" spans="1:4" x14ac:dyDescent="0.35">
      <c r="A1656" t="s">
        <v>11</v>
      </c>
      <c r="B1656" t="s">
        <v>4</v>
      </c>
      <c r="C1656" t="s">
        <v>32</v>
      </c>
      <c r="D1656">
        <v>0</v>
      </c>
    </row>
    <row r="1657" spans="1:4" x14ac:dyDescent="0.35">
      <c r="A1657" t="s">
        <v>12</v>
      </c>
      <c r="B1657" t="s">
        <v>4</v>
      </c>
      <c r="C1657" t="s">
        <v>32</v>
      </c>
      <c r="D1657">
        <v>0</v>
      </c>
    </row>
    <row r="1658" spans="1:4" x14ac:dyDescent="0.35">
      <c r="A1658" t="s">
        <v>13</v>
      </c>
      <c r="B1658" t="s">
        <v>4</v>
      </c>
      <c r="C1658" t="s">
        <v>32</v>
      </c>
      <c r="D1658">
        <v>0</v>
      </c>
    </row>
    <row r="1659" spans="1:4" x14ac:dyDescent="0.35">
      <c r="A1659" t="s">
        <v>14</v>
      </c>
      <c r="B1659" t="s">
        <v>4</v>
      </c>
      <c r="C1659" t="s">
        <v>32</v>
      </c>
      <c r="D1659">
        <v>0</v>
      </c>
    </row>
    <row r="1660" spans="1:4" x14ac:dyDescent="0.35">
      <c r="A1660" t="s">
        <v>15</v>
      </c>
      <c r="B1660" t="s">
        <v>4</v>
      </c>
      <c r="C1660" t="s">
        <v>32</v>
      </c>
      <c r="D1660">
        <v>0</v>
      </c>
    </row>
    <row r="1661" spans="1:4" x14ac:dyDescent="0.35">
      <c r="A1661" t="s">
        <v>16</v>
      </c>
      <c r="B1661" t="s">
        <v>4</v>
      </c>
      <c r="C1661" t="s">
        <v>32</v>
      </c>
      <c r="D1661">
        <v>0</v>
      </c>
    </row>
    <row r="1662" spans="1:4" x14ac:dyDescent="0.35">
      <c r="A1662" t="s">
        <v>17</v>
      </c>
      <c r="B1662" t="s">
        <v>4</v>
      </c>
      <c r="C1662" t="s">
        <v>32</v>
      </c>
      <c r="D1662">
        <v>0</v>
      </c>
    </row>
    <row r="1663" spans="1:4" x14ac:dyDescent="0.35">
      <c r="A1663" t="s">
        <v>18</v>
      </c>
      <c r="B1663" t="s">
        <v>4</v>
      </c>
      <c r="C1663" t="s">
        <v>32</v>
      </c>
      <c r="D1663">
        <v>0</v>
      </c>
    </row>
    <row r="1664" spans="1:4" x14ac:dyDescent="0.35">
      <c r="A1664" t="s">
        <v>19</v>
      </c>
      <c r="B1664" t="s">
        <v>4</v>
      </c>
      <c r="C1664" t="s">
        <v>32</v>
      </c>
      <c r="D1664">
        <v>0</v>
      </c>
    </row>
    <row r="1665" spans="1:4" x14ac:dyDescent="0.35">
      <c r="A1665" t="s">
        <v>20</v>
      </c>
      <c r="B1665" t="s">
        <v>4</v>
      </c>
      <c r="C1665" t="s">
        <v>32</v>
      </c>
      <c r="D1665">
        <v>0</v>
      </c>
    </row>
    <row r="1666" spans="1:4" x14ac:dyDescent="0.35">
      <c r="A1666" t="s">
        <v>21</v>
      </c>
      <c r="B1666" t="s">
        <v>4</v>
      </c>
      <c r="C1666" t="s">
        <v>32</v>
      </c>
      <c r="D1666">
        <v>0</v>
      </c>
    </row>
    <row r="1667" spans="1:4" x14ac:dyDescent="0.35">
      <c r="A1667" t="s">
        <v>22</v>
      </c>
      <c r="B1667" t="s">
        <v>4</v>
      </c>
      <c r="C1667" t="s">
        <v>32</v>
      </c>
      <c r="D1667">
        <v>0</v>
      </c>
    </row>
    <row r="1668" spans="1:4" x14ac:dyDescent="0.35">
      <c r="A1668" t="s">
        <v>23</v>
      </c>
      <c r="B1668" t="s">
        <v>4</v>
      </c>
      <c r="C1668" t="s">
        <v>32</v>
      </c>
      <c r="D1668">
        <v>0</v>
      </c>
    </row>
    <row r="1669" spans="1:4" x14ac:dyDescent="0.35">
      <c r="A1669" t="s">
        <v>24</v>
      </c>
      <c r="B1669" t="s">
        <v>4</v>
      </c>
      <c r="C1669" t="s">
        <v>32</v>
      </c>
      <c r="D1669">
        <v>0</v>
      </c>
    </row>
    <row r="1670" spans="1:4" x14ac:dyDescent="0.35">
      <c r="A1670" t="s">
        <v>25</v>
      </c>
      <c r="B1670" t="s">
        <v>4</v>
      </c>
      <c r="C1670" t="s">
        <v>32</v>
      </c>
      <c r="D1670">
        <v>0</v>
      </c>
    </row>
    <row r="1671" spans="1:4" x14ac:dyDescent="0.35">
      <c r="A1671" t="s">
        <v>26</v>
      </c>
      <c r="B1671" t="s">
        <v>4</v>
      </c>
      <c r="C1671" t="s">
        <v>32</v>
      </c>
      <c r="D1671">
        <v>0</v>
      </c>
    </row>
    <row r="1672" spans="1:4" x14ac:dyDescent="0.35">
      <c r="A1672" t="s">
        <v>27</v>
      </c>
      <c r="B1672" t="s">
        <v>4</v>
      </c>
      <c r="C1672" t="s">
        <v>32</v>
      </c>
      <c r="D1672">
        <v>0</v>
      </c>
    </row>
    <row r="1673" spans="1:4" x14ac:dyDescent="0.35">
      <c r="A1673" t="s">
        <v>28</v>
      </c>
      <c r="B1673" t="s">
        <v>4</v>
      </c>
      <c r="C1673" t="s">
        <v>32</v>
      </c>
      <c r="D1673">
        <v>0</v>
      </c>
    </row>
    <row r="1674" spans="1:4" x14ac:dyDescent="0.35">
      <c r="A1674" t="s">
        <v>29</v>
      </c>
      <c r="B1674" t="s">
        <v>4</v>
      </c>
      <c r="C1674" t="s">
        <v>32</v>
      </c>
      <c r="D1674">
        <v>0</v>
      </c>
    </row>
    <row r="1675" spans="1:4" x14ac:dyDescent="0.35">
      <c r="A1675" t="s">
        <v>30</v>
      </c>
      <c r="B1675" t="s">
        <v>4</v>
      </c>
      <c r="C1675" t="s">
        <v>32</v>
      </c>
      <c r="D1675">
        <v>0</v>
      </c>
    </row>
    <row r="1676" spans="1:4" x14ac:dyDescent="0.35">
      <c r="A1676" t="s">
        <v>31</v>
      </c>
      <c r="B1676" t="s">
        <v>4</v>
      </c>
      <c r="C1676" t="s">
        <v>32</v>
      </c>
      <c r="D1676">
        <v>0</v>
      </c>
    </row>
    <row r="1677" spans="1:4" x14ac:dyDescent="0.35">
      <c r="A1677" t="s">
        <v>32</v>
      </c>
      <c r="B1677" t="s">
        <v>4</v>
      </c>
      <c r="C1677" t="s">
        <v>32</v>
      </c>
      <c r="D1677">
        <v>0</v>
      </c>
    </row>
    <row r="1678" spans="1:4" x14ac:dyDescent="0.35">
      <c r="A1678" t="s">
        <v>33</v>
      </c>
      <c r="B1678" t="s">
        <v>4</v>
      </c>
      <c r="C1678" t="s">
        <v>32</v>
      </c>
      <c r="D1678">
        <v>0</v>
      </c>
    </row>
    <row r="1679" spans="1:4" x14ac:dyDescent="0.35">
      <c r="A1679" t="s">
        <v>34</v>
      </c>
      <c r="B1679" t="s">
        <v>4</v>
      </c>
      <c r="C1679" t="s">
        <v>32</v>
      </c>
      <c r="D1679">
        <v>0</v>
      </c>
    </row>
    <row r="1680" spans="1:4" x14ac:dyDescent="0.35">
      <c r="A1680" t="s">
        <v>35</v>
      </c>
      <c r="B1680" t="s">
        <v>4</v>
      </c>
      <c r="C1680" t="s">
        <v>32</v>
      </c>
      <c r="D1680">
        <v>0</v>
      </c>
    </row>
    <row r="1681" spans="1:4" x14ac:dyDescent="0.35">
      <c r="A1681" t="s">
        <v>36</v>
      </c>
      <c r="B1681" t="s">
        <v>4</v>
      </c>
      <c r="C1681" t="s">
        <v>32</v>
      </c>
      <c r="D1681">
        <v>0</v>
      </c>
    </row>
    <row r="1682" spans="1:4" x14ac:dyDescent="0.35">
      <c r="A1682" t="s">
        <v>37</v>
      </c>
      <c r="B1682" t="s">
        <v>4</v>
      </c>
      <c r="C1682" t="s">
        <v>32</v>
      </c>
      <c r="D1682">
        <v>0</v>
      </c>
    </row>
    <row r="1683" spans="1:4" x14ac:dyDescent="0.35">
      <c r="A1683" t="s">
        <v>38</v>
      </c>
      <c r="B1683" t="s">
        <v>4</v>
      </c>
      <c r="C1683" t="s">
        <v>32</v>
      </c>
      <c r="D1683">
        <v>0</v>
      </c>
    </row>
    <row r="1684" spans="1:4" x14ac:dyDescent="0.35">
      <c r="A1684" t="s">
        <v>39</v>
      </c>
      <c r="B1684" t="s">
        <v>4</v>
      </c>
      <c r="C1684" t="s">
        <v>32</v>
      </c>
      <c r="D1684">
        <v>0</v>
      </c>
    </row>
    <row r="1685" spans="1:4" x14ac:dyDescent="0.35">
      <c r="A1685" t="s">
        <v>7</v>
      </c>
      <c r="B1685" t="s">
        <v>5</v>
      </c>
      <c r="C1685" t="s">
        <v>32</v>
      </c>
      <c r="D1685">
        <v>0</v>
      </c>
    </row>
    <row r="1686" spans="1:4" x14ac:dyDescent="0.35">
      <c r="A1686" t="s">
        <v>8</v>
      </c>
      <c r="B1686" t="s">
        <v>5</v>
      </c>
      <c r="C1686" t="s">
        <v>32</v>
      </c>
      <c r="D1686">
        <v>0</v>
      </c>
    </row>
    <row r="1687" spans="1:4" x14ac:dyDescent="0.35">
      <c r="A1687" t="s">
        <v>9</v>
      </c>
      <c r="B1687" t="s">
        <v>5</v>
      </c>
      <c r="C1687" t="s">
        <v>32</v>
      </c>
      <c r="D1687">
        <v>0</v>
      </c>
    </row>
    <row r="1688" spans="1:4" x14ac:dyDescent="0.35">
      <c r="A1688" t="s">
        <v>10</v>
      </c>
      <c r="B1688" t="s">
        <v>5</v>
      </c>
      <c r="C1688" t="s">
        <v>32</v>
      </c>
      <c r="D1688">
        <v>0</v>
      </c>
    </row>
    <row r="1689" spans="1:4" x14ac:dyDescent="0.35">
      <c r="A1689" t="s">
        <v>11</v>
      </c>
      <c r="B1689" t="s">
        <v>5</v>
      </c>
      <c r="C1689" t="s">
        <v>32</v>
      </c>
      <c r="D1689">
        <v>0</v>
      </c>
    </row>
    <row r="1690" spans="1:4" x14ac:dyDescent="0.35">
      <c r="A1690" t="s">
        <v>12</v>
      </c>
      <c r="B1690" t="s">
        <v>5</v>
      </c>
      <c r="C1690" t="s">
        <v>32</v>
      </c>
      <c r="D1690">
        <v>0</v>
      </c>
    </row>
    <row r="1691" spans="1:4" x14ac:dyDescent="0.35">
      <c r="A1691" t="s">
        <v>13</v>
      </c>
      <c r="B1691" t="s">
        <v>5</v>
      </c>
      <c r="C1691" t="s">
        <v>32</v>
      </c>
      <c r="D1691">
        <v>0</v>
      </c>
    </row>
    <row r="1692" spans="1:4" x14ac:dyDescent="0.35">
      <c r="A1692" t="s">
        <v>14</v>
      </c>
      <c r="B1692" t="s">
        <v>5</v>
      </c>
      <c r="C1692" t="s">
        <v>32</v>
      </c>
      <c r="D1692">
        <v>0</v>
      </c>
    </row>
    <row r="1693" spans="1:4" x14ac:dyDescent="0.35">
      <c r="A1693" t="s">
        <v>15</v>
      </c>
      <c r="B1693" t="s">
        <v>5</v>
      </c>
      <c r="C1693" t="s">
        <v>32</v>
      </c>
      <c r="D1693">
        <v>0</v>
      </c>
    </row>
    <row r="1694" spans="1:4" x14ac:dyDescent="0.35">
      <c r="A1694" t="s">
        <v>16</v>
      </c>
      <c r="B1694" t="s">
        <v>5</v>
      </c>
      <c r="C1694" t="s">
        <v>32</v>
      </c>
      <c r="D1694">
        <v>0</v>
      </c>
    </row>
    <row r="1695" spans="1:4" x14ac:dyDescent="0.35">
      <c r="A1695" t="s">
        <v>17</v>
      </c>
      <c r="B1695" t="s">
        <v>5</v>
      </c>
      <c r="C1695" t="s">
        <v>32</v>
      </c>
      <c r="D1695">
        <v>0</v>
      </c>
    </row>
    <row r="1696" spans="1:4" x14ac:dyDescent="0.35">
      <c r="A1696" t="s">
        <v>18</v>
      </c>
      <c r="B1696" t="s">
        <v>5</v>
      </c>
      <c r="C1696" t="s">
        <v>32</v>
      </c>
      <c r="D1696">
        <v>0</v>
      </c>
    </row>
    <row r="1697" spans="1:4" x14ac:dyDescent="0.35">
      <c r="A1697" t="s">
        <v>19</v>
      </c>
      <c r="B1697" t="s">
        <v>5</v>
      </c>
      <c r="C1697" t="s">
        <v>32</v>
      </c>
      <c r="D1697">
        <v>0</v>
      </c>
    </row>
    <row r="1698" spans="1:4" x14ac:dyDescent="0.35">
      <c r="A1698" t="s">
        <v>20</v>
      </c>
      <c r="B1698" t="s">
        <v>5</v>
      </c>
      <c r="C1698" t="s">
        <v>32</v>
      </c>
      <c r="D1698">
        <v>0</v>
      </c>
    </row>
    <row r="1699" spans="1:4" x14ac:dyDescent="0.35">
      <c r="A1699" t="s">
        <v>21</v>
      </c>
      <c r="B1699" t="s">
        <v>5</v>
      </c>
      <c r="C1699" t="s">
        <v>32</v>
      </c>
      <c r="D1699">
        <v>0</v>
      </c>
    </row>
    <row r="1700" spans="1:4" x14ac:dyDescent="0.35">
      <c r="A1700" t="s">
        <v>22</v>
      </c>
      <c r="B1700" t="s">
        <v>5</v>
      </c>
      <c r="C1700" t="s">
        <v>32</v>
      </c>
      <c r="D1700">
        <v>0</v>
      </c>
    </row>
    <row r="1701" spans="1:4" x14ac:dyDescent="0.35">
      <c r="A1701" t="s">
        <v>23</v>
      </c>
      <c r="B1701" t="s">
        <v>5</v>
      </c>
      <c r="C1701" t="s">
        <v>32</v>
      </c>
      <c r="D1701">
        <v>0</v>
      </c>
    </row>
    <row r="1702" spans="1:4" x14ac:dyDescent="0.35">
      <c r="A1702" t="s">
        <v>24</v>
      </c>
      <c r="B1702" t="s">
        <v>5</v>
      </c>
      <c r="C1702" t="s">
        <v>32</v>
      </c>
      <c r="D1702">
        <v>0</v>
      </c>
    </row>
    <row r="1703" spans="1:4" x14ac:dyDescent="0.35">
      <c r="A1703" t="s">
        <v>25</v>
      </c>
      <c r="B1703" t="s">
        <v>5</v>
      </c>
      <c r="C1703" t="s">
        <v>32</v>
      </c>
      <c r="D1703">
        <v>0</v>
      </c>
    </row>
    <row r="1704" spans="1:4" x14ac:dyDescent="0.35">
      <c r="A1704" t="s">
        <v>26</v>
      </c>
      <c r="B1704" t="s">
        <v>5</v>
      </c>
      <c r="C1704" t="s">
        <v>32</v>
      </c>
      <c r="D1704">
        <v>0</v>
      </c>
    </row>
    <row r="1705" spans="1:4" x14ac:dyDescent="0.35">
      <c r="A1705" t="s">
        <v>27</v>
      </c>
      <c r="B1705" t="s">
        <v>5</v>
      </c>
      <c r="C1705" t="s">
        <v>32</v>
      </c>
      <c r="D1705">
        <v>0</v>
      </c>
    </row>
    <row r="1706" spans="1:4" x14ac:dyDescent="0.35">
      <c r="A1706" t="s">
        <v>28</v>
      </c>
      <c r="B1706" t="s">
        <v>5</v>
      </c>
      <c r="C1706" t="s">
        <v>32</v>
      </c>
      <c r="D1706">
        <v>0</v>
      </c>
    </row>
    <row r="1707" spans="1:4" x14ac:dyDescent="0.35">
      <c r="A1707" t="s">
        <v>29</v>
      </c>
      <c r="B1707" t="s">
        <v>5</v>
      </c>
      <c r="C1707" t="s">
        <v>32</v>
      </c>
      <c r="D1707">
        <v>0</v>
      </c>
    </row>
    <row r="1708" spans="1:4" x14ac:dyDescent="0.35">
      <c r="A1708" t="s">
        <v>30</v>
      </c>
      <c r="B1708" t="s">
        <v>5</v>
      </c>
      <c r="C1708" t="s">
        <v>32</v>
      </c>
      <c r="D1708">
        <v>0</v>
      </c>
    </row>
    <row r="1709" spans="1:4" x14ac:dyDescent="0.35">
      <c r="A1709" t="s">
        <v>31</v>
      </c>
      <c r="B1709" t="s">
        <v>5</v>
      </c>
      <c r="C1709" t="s">
        <v>32</v>
      </c>
      <c r="D1709">
        <v>0</v>
      </c>
    </row>
    <row r="1710" spans="1:4" x14ac:dyDescent="0.35">
      <c r="A1710" t="s">
        <v>32</v>
      </c>
      <c r="B1710" t="s">
        <v>5</v>
      </c>
      <c r="C1710" t="s">
        <v>32</v>
      </c>
      <c r="D1710">
        <v>0</v>
      </c>
    </row>
    <row r="1711" spans="1:4" x14ac:dyDescent="0.35">
      <c r="A1711" t="s">
        <v>33</v>
      </c>
      <c r="B1711" t="s">
        <v>5</v>
      </c>
      <c r="C1711" t="s">
        <v>32</v>
      </c>
      <c r="D1711">
        <v>0</v>
      </c>
    </row>
    <row r="1712" spans="1:4" x14ac:dyDescent="0.35">
      <c r="A1712" t="s">
        <v>34</v>
      </c>
      <c r="B1712" t="s">
        <v>5</v>
      </c>
      <c r="C1712" t="s">
        <v>32</v>
      </c>
      <c r="D1712">
        <v>0</v>
      </c>
    </row>
    <row r="1713" spans="1:4" x14ac:dyDescent="0.35">
      <c r="A1713" t="s">
        <v>35</v>
      </c>
      <c r="B1713" t="s">
        <v>5</v>
      </c>
      <c r="C1713" t="s">
        <v>32</v>
      </c>
      <c r="D1713">
        <v>0</v>
      </c>
    </row>
    <row r="1714" spans="1:4" x14ac:dyDescent="0.35">
      <c r="A1714" t="s">
        <v>36</v>
      </c>
      <c r="B1714" t="s">
        <v>5</v>
      </c>
      <c r="C1714" t="s">
        <v>32</v>
      </c>
      <c r="D1714">
        <v>0</v>
      </c>
    </row>
    <row r="1715" spans="1:4" x14ac:dyDescent="0.35">
      <c r="A1715" t="s">
        <v>37</v>
      </c>
      <c r="B1715" t="s">
        <v>5</v>
      </c>
      <c r="C1715" t="s">
        <v>32</v>
      </c>
      <c r="D1715">
        <v>0</v>
      </c>
    </row>
    <row r="1716" spans="1:4" x14ac:dyDescent="0.35">
      <c r="A1716" t="s">
        <v>38</v>
      </c>
      <c r="B1716" t="s">
        <v>5</v>
      </c>
      <c r="C1716" t="s">
        <v>32</v>
      </c>
      <c r="D1716">
        <v>0</v>
      </c>
    </row>
    <row r="1717" spans="1:4" x14ac:dyDescent="0.35">
      <c r="A1717" t="s">
        <v>39</v>
      </c>
      <c r="B1717" t="s">
        <v>5</v>
      </c>
      <c r="C1717" t="s">
        <v>32</v>
      </c>
      <c r="D1717">
        <v>0</v>
      </c>
    </row>
    <row r="1718" spans="1:4" x14ac:dyDescent="0.35">
      <c r="A1718" t="s">
        <v>7</v>
      </c>
      <c r="B1718" t="s">
        <v>4</v>
      </c>
      <c r="C1718" t="s">
        <v>33</v>
      </c>
      <c r="D1718">
        <v>0</v>
      </c>
    </row>
    <row r="1719" spans="1:4" x14ac:dyDescent="0.35">
      <c r="A1719" t="s">
        <v>8</v>
      </c>
      <c r="B1719" t="s">
        <v>4</v>
      </c>
      <c r="C1719" t="s">
        <v>33</v>
      </c>
      <c r="D1719">
        <v>0</v>
      </c>
    </row>
    <row r="1720" spans="1:4" x14ac:dyDescent="0.35">
      <c r="A1720" t="s">
        <v>9</v>
      </c>
      <c r="B1720" t="s">
        <v>4</v>
      </c>
      <c r="C1720" t="s">
        <v>33</v>
      </c>
      <c r="D1720">
        <v>0</v>
      </c>
    </row>
    <row r="1721" spans="1:4" x14ac:dyDescent="0.35">
      <c r="A1721" t="s">
        <v>10</v>
      </c>
      <c r="B1721" t="s">
        <v>4</v>
      </c>
      <c r="C1721" t="s">
        <v>33</v>
      </c>
      <c r="D1721">
        <v>0</v>
      </c>
    </row>
    <row r="1722" spans="1:4" x14ac:dyDescent="0.35">
      <c r="A1722" t="s">
        <v>11</v>
      </c>
      <c r="B1722" t="s">
        <v>4</v>
      </c>
      <c r="C1722" t="s">
        <v>33</v>
      </c>
      <c r="D1722">
        <v>0</v>
      </c>
    </row>
    <row r="1723" spans="1:4" x14ac:dyDescent="0.35">
      <c r="A1723" t="s">
        <v>12</v>
      </c>
      <c r="B1723" t="s">
        <v>4</v>
      </c>
      <c r="C1723" t="s">
        <v>33</v>
      </c>
      <c r="D1723">
        <v>0</v>
      </c>
    </row>
    <row r="1724" spans="1:4" x14ac:dyDescent="0.35">
      <c r="A1724" t="s">
        <v>13</v>
      </c>
      <c r="B1724" t="s">
        <v>4</v>
      </c>
      <c r="C1724" t="s">
        <v>33</v>
      </c>
      <c r="D1724">
        <v>0</v>
      </c>
    </row>
    <row r="1725" spans="1:4" x14ac:dyDescent="0.35">
      <c r="A1725" t="s">
        <v>14</v>
      </c>
      <c r="B1725" t="s">
        <v>4</v>
      </c>
      <c r="C1725" t="s">
        <v>33</v>
      </c>
      <c r="D1725">
        <v>0</v>
      </c>
    </row>
    <row r="1726" spans="1:4" x14ac:dyDescent="0.35">
      <c r="A1726" t="s">
        <v>15</v>
      </c>
      <c r="B1726" t="s">
        <v>4</v>
      </c>
      <c r="C1726" t="s">
        <v>33</v>
      </c>
      <c r="D1726">
        <v>0</v>
      </c>
    </row>
    <row r="1727" spans="1:4" x14ac:dyDescent="0.35">
      <c r="A1727" t="s">
        <v>16</v>
      </c>
      <c r="B1727" t="s">
        <v>4</v>
      </c>
      <c r="C1727" t="s">
        <v>33</v>
      </c>
      <c r="D1727">
        <v>0</v>
      </c>
    </row>
    <row r="1728" spans="1:4" x14ac:dyDescent="0.35">
      <c r="A1728" t="s">
        <v>17</v>
      </c>
      <c r="B1728" t="s">
        <v>4</v>
      </c>
      <c r="C1728" t="s">
        <v>33</v>
      </c>
      <c r="D1728">
        <v>0</v>
      </c>
    </row>
    <row r="1729" spans="1:4" x14ac:dyDescent="0.35">
      <c r="A1729" t="s">
        <v>18</v>
      </c>
      <c r="B1729" t="s">
        <v>4</v>
      </c>
      <c r="C1729" t="s">
        <v>33</v>
      </c>
      <c r="D1729">
        <v>0</v>
      </c>
    </row>
    <row r="1730" spans="1:4" x14ac:dyDescent="0.35">
      <c r="A1730" t="s">
        <v>19</v>
      </c>
      <c r="B1730" t="s">
        <v>4</v>
      </c>
      <c r="C1730" t="s">
        <v>33</v>
      </c>
      <c r="D1730">
        <v>0</v>
      </c>
    </row>
    <row r="1731" spans="1:4" x14ac:dyDescent="0.35">
      <c r="A1731" t="s">
        <v>20</v>
      </c>
      <c r="B1731" t="s">
        <v>4</v>
      </c>
      <c r="C1731" t="s">
        <v>33</v>
      </c>
      <c r="D1731">
        <v>0</v>
      </c>
    </row>
    <row r="1732" spans="1:4" x14ac:dyDescent="0.35">
      <c r="A1732" t="s">
        <v>21</v>
      </c>
      <c r="B1732" t="s">
        <v>4</v>
      </c>
      <c r="C1732" t="s">
        <v>33</v>
      </c>
      <c r="D1732">
        <v>0</v>
      </c>
    </row>
    <row r="1733" spans="1:4" x14ac:dyDescent="0.35">
      <c r="A1733" t="s">
        <v>22</v>
      </c>
      <c r="B1733" t="s">
        <v>4</v>
      </c>
      <c r="C1733" t="s">
        <v>33</v>
      </c>
      <c r="D1733">
        <v>0</v>
      </c>
    </row>
    <row r="1734" spans="1:4" x14ac:dyDescent="0.35">
      <c r="A1734" t="s">
        <v>23</v>
      </c>
      <c r="B1734" t="s">
        <v>4</v>
      </c>
      <c r="C1734" t="s">
        <v>33</v>
      </c>
      <c r="D1734">
        <v>0</v>
      </c>
    </row>
    <row r="1735" spans="1:4" x14ac:dyDescent="0.35">
      <c r="A1735" t="s">
        <v>24</v>
      </c>
      <c r="B1735" t="s">
        <v>4</v>
      </c>
      <c r="C1735" t="s">
        <v>33</v>
      </c>
      <c r="D1735">
        <v>0</v>
      </c>
    </row>
    <row r="1736" spans="1:4" x14ac:dyDescent="0.35">
      <c r="A1736" t="s">
        <v>25</v>
      </c>
      <c r="B1736" t="s">
        <v>4</v>
      </c>
      <c r="C1736" t="s">
        <v>33</v>
      </c>
      <c r="D1736">
        <v>0</v>
      </c>
    </row>
    <row r="1737" spans="1:4" x14ac:dyDescent="0.35">
      <c r="A1737" t="s">
        <v>26</v>
      </c>
      <c r="B1737" t="s">
        <v>4</v>
      </c>
      <c r="C1737" t="s">
        <v>33</v>
      </c>
      <c r="D1737">
        <v>0</v>
      </c>
    </row>
    <row r="1738" spans="1:4" x14ac:dyDescent="0.35">
      <c r="A1738" t="s">
        <v>27</v>
      </c>
      <c r="B1738" t="s">
        <v>4</v>
      </c>
      <c r="C1738" t="s">
        <v>33</v>
      </c>
      <c r="D1738">
        <v>0</v>
      </c>
    </row>
    <row r="1739" spans="1:4" x14ac:dyDescent="0.35">
      <c r="A1739" t="s">
        <v>28</v>
      </c>
      <c r="B1739" t="s">
        <v>4</v>
      </c>
      <c r="C1739" t="s">
        <v>33</v>
      </c>
      <c r="D1739">
        <v>0</v>
      </c>
    </row>
    <row r="1740" spans="1:4" x14ac:dyDescent="0.35">
      <c r="A1740" t="s">
        <v>29</v>
      </c>
      <c r="B1740" t="s">
        <v>4</v>
      </c>
      <c r="C1740" t="s">
        <v>33</v>
      </c>
      <c r="D1740">
        <v>0</v>
      </c>
    </row>
    <row r="1741" spans="1:4" x14ac:dyDescent="0.35">
      <c r="A1741" t="s">
        <v>30</v>
      </c>
      <c r="B1741" t="s">
        <v>4</v>
      </c>
      <c r="C1741" t="s">
        <v>33</v>
      </c>
      <c r="D1741">
        <v>0</v>
      </c>
    </row>
    <row r="1742" spans="1:4" x14ac:dyDescent="0.35">
      <c r="A1742" t="s">
        <v>31</v>
      </c>
      <c r="B1742" t="s">
        <v>4</v>
      </c>
      <c r="C1742" t="s">
        <v>33</v>
      </c>
      <c r="D1742">
        <v>0</v>
      </c>
    </row>
    <row r="1743" spans="1:4" x14ac:dyDescent="0.35">
      <c r="A1743" t="s">
        <v>32</v>
      </c>
      <c r="B1743" t="s">
        <v>4</v>
      </c>
      <c r="C1743" t="s">
        <v>33</v>
      </c>
      <c r="D1743">
        <v>0</v>
      </c>
    </row>
    <row r="1744" spans="1:4" x14ac:dyDescent="0.35">
      <c r="A1744" t="s">
        <v>33</v>
      </c>
      <c r="B1744" t="s">
        <v>4</v>
      </c>
      <c r="C1744" t="s">
        <v>33</v>
      </c>
      <c r="D1744">
        <v>0</v>
      </c>
    </row>
    <row r="1745" spans="1:4" x14ac:dyDescent="0.35">
      <c r="A1745" t="s">
        <v>34</v>
      </c>
      <c r="B1745" t="s">
        <v>4</v>
      </c>
      <c r="C1745" t="s">
        <v>33</v>
      </c>
      <c r="D1745">
        <v>0</v>
      </c>
    </row>
    <row r="1746" spans="1:4" x14ac:dyDescent="0.35">
      <c r="A1746" t="s">
        <v>35</v>
      </c>
      <c r="B1746" t="s">
        <v>4</v>
      </c>
      <c r="C1746" t="s">
        <v>33</v>
      </c>
      <c r="D1746">
        <v>0</v>
      </c>
    </row>
    <row r="1747" spans="1:4" x14ac:dyDescent="0.35">
      <c r="A1747" t="s">
        <v>36</v>
      </c>
      <c r="B1747" t="s">
        <v>4</v>
      </c>
      <c r="C1747" t="s">
        <v>33</v>
      </c>
      <c r="D1747">
        <v>0</v>
      </c>
    </row>
    <row r="1748" spans="1:4" x14ac:dyDescent="0.35">
      <c r="A1748" t="s">
        <v>37</v>
      </c>
      <c r="B1748" t="s">
        <v>4</v>
      </c>
      <c r="C1748" t="s">
        <v>33</v>
      </c>
      <c r="D1748">
        <v>0</v>
      </c>
    </row>
    <row r="1749" spans="1:4" x14ac:dyDescent="0.35">
      <c r="A1749" t="s">
        <v>38</v>
      </c>
      <c r="B1749" t="s">
        <v>4</v>
      </c>
      <c r="C1749" t="s">
        <v>33</v>
      </c>
      <c r="D1749">
        <v>0</v>
      </c>
    </row>
    <row r="1750" spans="1:4" x14ac:dyDescent="0.35">
      <c r="A1750" t="s">
        <v>39</v>
      </c>
      <c r="B1750" t="s">
        <v>4</v>
      </c>
      <c r="C1750" t="s">
        <v>33</v>
      </c>
      <c r="D1750">
        <v>0</v>
      </c>
    </row>
    <row r="1751" spans="1:4" x14ac:dyDescent="0.35">
      <c r="A1751" t="s">
        <v>7</v>
      </c>
      <c r="B1751" t="s">
        <v>5</v>
      </c>
      <c r="C1751" t="s">
        <v>33</v>
      </c>
      <c r="D1751">
        <v>0</v>
      </c>
    </row>
    <row r="1752" spans="1:4" x14ac:dyDescent="0.35">
      <c r="A1752" t="s">
        <v>8</v>
      </c>
      <c r="B1752" t="s">
        <v>5</v>
      </c>
      <c r="C1752" t="s">
        <v>33</v>
      </c>
      <c r="D1752">
        <v>0</v>
      </c>
    </row>
    <row r="1753" spans="1:4" x14ac:dyDescent="0.35">
      <c r="A1753" t="s">
        <v>9</v>
      </c>
      <c r="B1753" t="s">
        <v>5</v>
      </c>
      <c r="C1753" t="s">
        <v>33</v>
      </c>
      <c r="D1753">
        <v>0</v>
      </c>
    </row>
    <row r="1754" spans="1:4" x14ac:dyDescent="0.35">
      <c r="A1754" t="s">
        <v>10</v>
      </c>
      <c r="B1754" t="s">
        <v>5</v>
      </c>
      <c r="C1754" t="s">
        <v>33</v>
      </c>
      <c r="D1754">
        <v>0</v>
      </c>
    </row>
    <row r="1755" spans="1:4" x14ac:dyDescent="0.35">
      <c r="A1755" t="s">
        <v>11</v>
      </c>
      <c r="B1755" t="s">
        <v>5</v>
      </c>
      <c r="C1755" t="s">
        <v>33</v>
      </c>
      <c r="D1755">
        <v>0</v>
      </c>
    </row>
    <row r="1756" spans="1:4" x14ac:dyDescent="0.35">
      <c r="A1756" t="s">
        <v>12</v>
      </c>
      <c r="B1756" t="s">
        <v>5</v>
      </c>
      <c r="C1756" t="s">
        <v>33</v>
      </c>
      <c r="D1756">
        <v>0</v>
      </c>
    </row>
    <row r="1757" spans="1:4" x14ac:dyDescent="0.35">
      <c r="A1757" t="s">
        <v>13</v>
      </c>
      <c r="B1757" t="s">
        <v>5</v>
      </c>
      <c r="C1757" t="s">
        <v>33</v>
      </c>
      <c r="D1757">
        <v>0</v>
      </c>
    </row>
    <row r="1758" spans="1:4" x14ac:dyDescent="0.35">
      <c r="A1758" t="s">
        <v>14</v>
      </c>
      <c r="B1758" t="s">
        <v>5</v>
      </c>
      <c r="C1758" t="s">
        <v>33</v>
      </c>
      <c r="D1758">
        <v>0</v>
      </c>
    </row>
    <row r="1759" spans="1:4" x14ac:dyDescent="0.35">
      <c r="A1759" t="s">
        <v>15</v>
      </c>
      <c r="B1759" t="s">
        <v>5</v>
      </c>
      <c r="C1759" t="s">
        <v>33</v>
      </c>
      <c r="D1759">
        <v>0</v>
      </c>
    </row>
    <row r="1760" spans="1:4" x14ac:dyDescent="0.35">
      <c r="A1760" t="s">
        <v>16</v>
      </c>
      <c r="B1760" t="s">
        <v>5</v>
      </c>
      <c r="C1760" t="s">
        <v>33</v>
      </c>
      <c r="D1760">
        <v>0</v>
      </c>
    </row>
    <row r="1761" spans="1:4" x14ac:dyDescent="0.35">
      <c r="A1761" t="s">
        <v>17</v>
      </c>
      <c r="B1761" t="s">
        <v>5</v>
      </c>
      <c r="C1761" t="s">
        <v>33</v>
      </c>
      <c r="D1761">
        <v>0</v>
      </c>
    </row>
    <row r="1762" spans="1:4" x14ac:dyDescent="0.35">
      <c r="A1762" t="s">
        <v>18</v>
      </c>
      <c r="B1762" t="s">
        <v>5</v>
      </c>
      <c r="C1762" t="s">
        <v>33</v>
      </c>
      <c r="D1762">
        <v>0</v>
      </c>
    </row>
    <row r="1763" spans="1:4" x14ac:dyDescent="0.35">
      <c r="A1763" t="s">
        <v>19</v>
      </c>
      <c r="B1763" t="s">
        <v>5</v>
      </c>
      <c r="C1763" t="s">
        <v>33</v>
      </c>
      <c r="D1763">
        <v>0</v>
      </c>
    </row>
    <row r="1764" spans="1:4" x14ac:dyDescent="0.35">
      <c r="A1764" t="s">
        <v>20</v>
      </c>
      <c r="B1764" t="s">
        <v>5</v>
      </c>
      <c r="C1764" t="s">
        <v>33</v>
      </c>
      <c r="D1764">
        <v>0</v>
      </c>
    </row>
    <row r="1765" spans="1:4" x14ac:dyDescent="0.35">
      <c r="A1765" t="s">
        <v>21</v>
      </c>
      <c r="B1765" t="s">
        <v>5</v>
      </c>
      <c r="C1765" t="s">
        <v>33</v>
      </c>
      <c r="D1765">
        <v>0</v>
      </c>
    </row>
    <row r="1766" spans="1:4" x14ac:dyDescent="0.35">
      <c r="A1766" t="s">
        <v>22</v>
      </c>
      <c r="B1766" t="s">
        <v>5</v>
      </c>
      <c r="C1766" t="s">
        <v>33</v>
      </c>
      <c r="D1766">
        <v>0</v>
      </c>
    </row>
    <row r="1767" spans="1:4" x14ac:dyDescent="0.35">
      <c r="A1767" t="s">
        <v>23</v>
      </c>
      <c r="B1767" t="s">
        <v>5</v>
      </c>
      <c r="C1767" t="s">
        <v>33</v>
      </c>
      <c r="D1767">
        <v>0</v>
      </c>
    </row>
    <row r="1768" spans="1:4" x14ac:dyDescent="0.35">
      <c r="A1768" t="s">
        <v>24</v>
      </c>
      <c r="B1768" t="s">
        <v>5</v>
      </c>
      <c r="C1768" t="s">
        <v>33</v>
      </c>
      <c r="D1768">
        <v>0</v>
      </c>
    </row>
    <row r="1769" spans="1:4" x14ac:dyDescent="0.35">
      <c r="A1769" t="s">
        <v>25</v>
      </c>
      <c r="B1769" t="s">
        <v>5</v>
      </c>
      <c r="C1769" t="s">
        <v>33</v>
      </c>
      <c r="D1769">
        <v>0</v>
      </c>
    </row>
    <row r="1770" spans="1:4" x14ac:dyDescent="0.35">
      <c r="A1770" t="s">
        <v>26</v>
      </c>
      <c r="B1770" t="s">
        <v>5</v>
      </c>
      <c r="C1770" t="s">
        <v>33</v>
      </c>
      <c r="D1770">
        <v>0</v>
      </c>
    </row>
    <row r="1771" spans="1:4" x14ac:dyDescent="0.35">
      <c r="A1771" t="s">
        <v>27</v>
      </c>
      <c r="B1771" t="s">
        <v>5</v>
      </c>
      <c r="C1771" t="s">
        <v>33</v>
      </c>
      <c r="D1771">
        <v>0</v>
      </c>
    </row>
    <row r="1772" spans="1:4" x14ac:dyDescent="0.35">
      <c r="A1772" t="s">
        <v>28</v>
      </c>
      <c r="B1772" t="s">
        <v>5</v>
      </c>
      <c r="C1772" t="s">
        <v>33</v>
      </c>
      <c r="D1772">
        <v>0</v>
      </c>
    </row>
    <row r="1773" spans="1:4" x14ac:dyDescent="0.35">
      <c r="A1773" t="s">
        <v>29</v>
      </c>
      <c r="B1773" t="s">
        <v>5</v>
      </c>
      <c r="C1773" t="s">
        <v>33</v>
      </c>
      <c r="D1773">
        <v>0</v>
      </c>
    </row>
    <row r="1774" spans="1:4" x14ac:dyDescent="0.35">
      <c r="A1774" t="s">
        <v>30</v>
      </c>
      <c r="B1774" t="s">
        <v>5</v>
      </c>
      <c r="C1774" t="s">
        <v>33</v>
      </c>
      <c r="D1774">
        <v>0</v>
      </c>
    </row>
    <row r="1775" spans="1:4" x14ac:dyDescent="0.35">
      <c r="A1775" t="s">
        <v>31</v>
      </c>
      <c r="B1775" t="s">
        <v>5</v>
      </c>
      <c r="C1775" t="s">
        <v>33</v>
      </c>
      <c r="D1775">
        <v>0</v>
      </c>
    </row>
    <row r="1776" spans="1:4" x14ac:dyDescent="0.35">
      <c r="A1776" t="s">
        <v>32</v>
      </c>
      <c r="B1776" t="s">
        <v>5</v>
      </c>
      <c r="C1776" t="s">
        <v>33</v>
      </c>
      <c r="D1776">
        <v>0</v>
      </c>
    </row>
    <row r="1777" spans="1:4" x14ac:dyDescent="0.35">
      <c r="A1777" t="s">
        <v>33</v>
      </c>
      <c r="B1777" t="s">
        <v>5</v>
      </c>
      <c r="C1777" t="s">
        <v>33</v>
      </c>
      <c r="D1777">
        <v>0</v>
      </c>
    </row>
    <row r="1778" spans="1:4" x14ac:dyDescent="0.35">
      <c r="A1778" t="s">
        <v>34</v>
      </c>
      <c r="B1778" t="s">
        <v>5</v>
      </c>
      <c r="C1778" t="s">
        <v>33</v>
      </c>
      <c r="D1778">
        <v>0</v>
      </c>
    </row>
    <row r="1779" spans="1:4" x14ac:dyDescent="0.35">
      <c r="A1779" t="s">
        <v>35</v>
      </c>
      <c r="B1779" t="s">
        <v>5</v>
      </c>
      <c r="C1779" t="s">
        <v>33</v>
      </c>
      <c r="D1779">
        <v>0</v>
      </c>
    </row>
    <row r="1780" spans="1:4" x14ac:dyDescent="0.35">
      <c r="A1780" t="s">
        <v>36</v>
      </c>
      <c r="B1780" t="s">
        <v>5</v>
      </c>
      <c r="C1780" t="s">
        <v>33</v>
      </c>
      <c r="D1780">
        <v>0</v>
      </c>
    </row>
    <row r="1781" spans="1:4" x14ac:dyDescent="0.35">
      <c r="A1781" t="s">
        <v>37</v>
      </c>
      <c r="B1781" t="s">
        <v>5</v>
      </c>
      <c r="C1781" t="s">
        <v>33</v>
      </c>
      <c r="D1781">
        <v>0</v>
      </c>
    </row>
    <row r="1782" spans="1:4" x14ac:dyDescent="0.35">
      <c r="A1782" t="s">
        <v>38</v>
      </c>
      <c r="B1782" t="s">
        <v>5</v>
      </c>
      <c r="C1782" t="s">
        <v>33</v>
      </c>
      <c r="D1782">
        <v>0</v>
      </c>
    </row>
    <row r="1783" spans="1:4" x14ac:dyDescent="0.35">
      <c r="A1783" t="s">
        <v>39</v>
      </c>
      <c r="B1783" t="s">
        <v>5</v>
      </c>
      <c r="C1783" t="s">
        <v>33</v>
      </c>
      <c r="D1783">
        <v>0</v>
      </c>
    </row>
    <row r="1784" spans="1:4" x14ac:dyDescent="0.35">
      <c r="A1784" t="s">
        <v>7</v>
      </c>
      <c r="B1784" t="s">
        <v>4</v>
      </c>
      <c r="C1784" t="s">
        <v>34</v>
      </c>
      <c r="D1784">
        <v>0</v>
      </c>
    </row>
    <row r="1785" spans="1:4" x14ac:dyDescent="0.35">
      <c r="A1785" t="s">
        <v>8</v>
      </c>
      <c r="B1785" t="s">
        <v>4</v>
      </c>
      <c r="C1785" t="s">
        <v>34</v>
      </c>
      <c r="D1785">
        <v>0</v>
      </c>
    </row>
    <row r="1786" spans="1:4" x14ac:dyDescent="0.35">
      <c r="A1786" t="s">
        <v>9</v>
      </c>
      <c r="B1786" t="s">
        <v>4</v>
      </c>
      <c r="C1786" t="s">
        <v>34</v>
      </c>
      <c r="D1786">
        <v>0</v>
      </c>
    </row>
    <row r="1787" spans="1:4" x14ac:dyDescent="0.35">
      <c r="A1787" t="s">
        <v>10</v>
      </c>
      <c r="B1787" t="s">
        <v>4</v>
      </c>
      <c r="C1787" t="s">
        <v>34</v>
      </c>
      <c r="D1787">
        <v>0</v>
      </c>
    </row>
    <row r="1788" spans="1:4" x14ac:dyDescent="0.35">
      <c r="A1788" t="s">
        <v>11</v>
      </c>
      <c r="B1788" t="s">
        <v>4</v>
      </c>
      <c r="C1788" t="s">
        <v>34</v>
      </c>
      <c r="D1788">
        <v>0</v>
      </c>
    </row>
    <row r="1789" spans="1:4" x14ac:dyDescent="0.35">
      <c r="A1789" t="s">
        <v>12</v>
      </c>
      <c r="B1789" t="s">
        <v>4</v>
      </c>
      <c r="C1789" t="s">
        <v>34</v>
      </c>
      <c r="D1789">
        <v>0</v>
      </c>
    </row>
    <row r="1790" spans="1:4" x14ac:dyDescent="0.35">
      <c r="A1790" t="s">
        <v>13</v>
      </c>
      <c r="B1790" t="s">
        <v>4</v>
      </c>
      <c r="C1790" t="s">
        <v>34</v>
      </c>
      <c r="D1790">
        <v>0</v>
      </c>
    </row>
    <row r="1791" spans="1:4" x14ac:dyDescent="0.35">
      <c r="A1791" t="s">
        <v>14</v>
      </c>
      <c r="B1791" t="s">
        <v>4</v>
      </c>
      <c r="C1791" t="s">
        <v>34</v>
      </c>
      <c r="D1791">
        <v>0</v>
      </c>
    </row>
    <row r="1792" spans="1:4" x14ac:dyDescent="0.35">
      <c r="A1792" t="s">
        <v>15</v>
      </c>
      <c r="B1792" t="s">
        <v>4</v>
      </c>
      <c r="C1792" t="s">
        <v>34</v>
      </c>
      <c r="D1792">
        <v>0</v>
      </c>
    </row>
    <row r="1793" spans="1:4" x14ac:dyDescent="0.35">
      <c r="A1793" t="s">
        <v>16</v>
      </c>
      <c r="B1793" t="s">
        <v>4</v>
      </c>
      <c r="C1793" t="s">
        <v>34</v>
      </c>
      <c r="D1793">
        <v>0</v>
      </c>
    </row>
    <row r="1794" spans="1:4" x14ac:dyDescent="0.35">
      <c r="A1794" t="s">
        <v>17</v>
      </c>
      <c r="B1794" t="s">
        <v>4</v>
      </c>
      <c r="C1794" t="s">
        <v>34</v>
      </c>
      <c r="D1794">
        <v>0</v>
      </c>
    </row>
    <row r="1795" spans="1:4" x14ac:dyDescent="0.35">
      <c r="A1795" t="s">
        <v>18</v>
      </c>
      <c r="B1795" t="s">
        <v>4</v>
      </c>
      <c r="C1795" t="s">
        <v>34</v>
      </c>
      <c r="D1795">
        <v>0</v>
      </c>
    </row>
    <row r="1796" spans="1:4" x14ac:dyDescent="0.35">
      <c r="A1796" t="s">
        <v>19</v>
      </c>
      <c r="B1796" t="s">
        <v>4</v>
      </c>
      <c r="C1796" t="s">
        <v>34</v>
      </c>
      <c r="D1796">
        <v>0</v>
      </c>
    </row>
    <row r="1797" spans="1:4" x14ac:dyDescent="0.35">
      <c r="A1797" t="s">
        <v>20</v>
      </c>
      <c r="B1797" t="s">
        <v>4</v>
      </c>
      <c r="C1797" t="s">
        <v>34</v>
      </c>
      <c r="D1797">
        <v>0</v>
      </c>
    </row>
    <row r="1798" spans="1:4" x14ac:dyDescent="0.35">
      <c r="A1798" t="s">
        <v>21</v>
      </c>
      <c r="B1798" t="s">
        <v>4</v>
      </c>
      <c r="C1798" t="s">
        <v>34</v>
      </c>
      <c r="D1798">
        <v>0</v>
      </c>
    </row>
    <row r="1799" spans="1:4" x14ac:dyDescent="0.35">
      <c r="A1799" t="s">
        <v>22</v>
      </c>
      <c r="B1799" t="s">
        <v>4</v>
      </c>
      <c r="C1799" t="s">
        <v>34</v>
      </c>
      <c r="D1799">
        <v>0</v>
      </c>
    </row>
    <row r="1800" spans="1:4" x14ac:dyDescent="0.35">
      <c r="A1800" t="s">
        <v>23</v>
      </c>
      <c r="B1800" t="s">
        <v>4</v>
      </c>
      <c r="C1800" t="s">
        <v>34</v>
      </c>
      <c r="D1800">
        <v>0</v>
      </c>
    </row>
    <row r="1801" spans="1:4" x14ac:dyDescent="0.35">
      <c r="A1801" t="s">
        <v>24</v>
      </c>
      <c r="B1801" t="s">
        <v>4</v>
      </c>
      <c r="C1801" t="s">
        <v>34</v>
      </c>
      <c r="D1801">
        <v>0</v>
      </c>
    </row>
    <row r="1802" spans="1:4" x14ac:dyDescent="0.35">
      <c r="A1802" t="s">
        <v>25</v>
      </c>
      <c r="B1802" t="s">
        <v>4</v>
      </c>
      <c r="C1802" t="s">
        <v>34</v>
      </c>
      <c r="D1802">
        <v>0</v>
      </c>
    </row>
    <row r="1803" spans="1:4" x14ac:dyDescent="0.35">
      <c r="A1803" t="s">
        <v>26</v>
      </c>
      <c r="B1803" t="s">
        <v>4</v>
      </c>
      <c r="C1803" t="s">
        <v>34</v>
      </c>
      <c r="D1803">
        <v>0</v>
      </c>
    </row>
    <row r="1804" spans="1:4" x14ac:dyDescent="0.35">
      <c r="A1804" t="s">
        <v>27</v>
      </c>
      <c r="B1804" t="s">
        <v>4</v>
      </c>
      <c r="C1804" t="s">
        <v>34</v>
      </c>
      <c r="D1804">
        <v>0</v>
      </c>
    </row>
    <row r="1805" spans="1:4" x14ac:dyDescent="0.35">
      <c r="A1805" t="s">
        <v>28</v>
      </c>
      <c r="B1805" t="s">
        <v>4</v>
      </c>
      <c r="C1805" t="s">
        <v>34</v>
      </c>
      <c r="D1805">
        <v>0</v>
      </c>
    </row>
    <row r="1806" spans="1:4" x14ac:dyDescent="0.35">
      <c r="A1806" t="s">
        <v>29</v>
      </c>
      <c r="B1806" t="s">
        <v>4</v>
      </c>
      <c r="C1806" t="s">
        <v>34</v>
      </c>
      <c r="D1806">
        <v>0</v>
      </c>
    </row>
    <row r="1807" spans="1:4" x14ac:dyDescent="0.35">
      <c r="A1807" t="s">
        <v>30</v>
      </c>
      <c r="B1807" t="s">
        <v>4</v>
      </c>
      <c r="C1807" t="s">
        <v>34</v>
      </c>
      <c r="D1807">
        <v>0</v>
      </c>
    </row>
    <row r="1808" spans="1:4" x14ac:dyDescent="0.35">
      <c r="A1808" t="s">
        <v>31</v>
      </c>
      <c r="B1808" t="s">
        <v>4</v>
      </c>
      <c r="C1808" t="s">
        <v>34</v>
      </c>
      <c r="D1808">
        <v>0</v>
      </c>
    </row>
    <row r="1809" spans="1:4" x14ac:dyDescent="0.35">
      <c r="A1809" t="s">
        <v>32</v>
      </c>
      <c r="B1809" t="s">
        <v>4</v>
      </c>
      <c r="C1809" t="s">
        <v>34</v>
      </c>
      <c r="D1809">
        <v>0</v>
      </c>
    </row>
    <row r="1810" spans="1:4" x14ac:dyDescent="0.35">
      <c r="A1810" t="s">
        <v>33</v>
      </c>
      <c r="B1810" t="s">
        <v>4</v>
      </c>
      <c r="C1810" t="s">
        <v>34</v>
      </c>
      <c r="D1810">
        <v>0</v>
      </c>
    </row>
    <row r="1811" spans="1:4" x14ac:dyDescent="0.35">
      <c r="A1811" t="s">
        <v>34</v>
      </c>
      <c r="B1811" t="s">
        <v>4</v>
      </c>
      <c r="C1811" t="s">
        <v>34</v>
      </c>
      <c r="D1811">
        <v>0</v>
      </c>
    </row>
    <row r="1812" spans="1:4" x14ac:dyDescent="0.35">
      <c r="A1812" t="s">
        <v>35</v>
      </c>
      <c r="B1812" t="s">
        <v>4</v>
      </c>
      <c r="C1812" t="s">
        <v>34</v>
      </c>
      <c r="D1812">
        <v>0</v>
      </c>
    </row>
    <row r="1813" spans="1:4" x14ac:dyDescent="0.35">
      <c r="A1813" t="s">
        <v>36</v>
      </c>
      <c r="B1813" t="s">
        <v>4</v>
      </c>
      <c r="C1813" t="s">
        <v>34</v>
      </c>
      <c r="D1813">
        <v>0</v>
      </c>
    </row>
    <row r="1814" spans="1:4" x14ac:dyDescent="0.35">
      <c r="A1814" t="s">
        <v>37</v>
      </c>
      <c r="B1814" t="s">
        <v>4</v>
      </c>
      <c r="C1814" t="s">
        <v>34</v>
      </c>
      <c r="D1814">
        <v>0</v>
      </c>
    </row>
    <row r="1815" spans="1:4" x14ac:dyDescent="0.35">
      <c r="A1815" t="s">
        <v>38</v>
      </c>
      <c r="B1815" t="s">
        <v>4</v>
      </c>
      <c r="C1815" t="s">
        <v>34</v>
      </c>
      <c r="D1815">
        <v>0</v>
      </c>
    </row>
    <row r="1816" spans="1:4" x14ac:dyDescent="0.35">
      <c r="A1816" t="s">
        <v>39</v>
      </c>
      <c r="B1816" t="s">
        <v>4</v>
      </c>
      <c r="C1816" t="s">
        <v>34</v>
      </c>
      <c r="D1816">
        <v>0</v>
      </c>
    </row>
    <row r="1817" spans="1:4" x14ac:dyDescent="0.35">
      <c r="A1817" t="s">
        <v>7</v>
      </c>
      <c r="B1817" t="s">
        <v>5</v>
      </c>
      <c r="C1817" t="s">
        <v>34</v>
      </c>
      <c r="D1817">
        <v>0</v>
      </c>
    </row>
    <row r="1818" spans="1:4" x14ac:dyDescent="0.35">
      <c r="A1818" t="s">
        <v>8</v>
      </c>
      <c r="B1818" t="s">
        <v>5</v>
      </c>
      <c r="C1818" t="s">
        <v>34</v>
      </c>
      <c r="D1818">
        <v>0</v>
      </c>
    </row>
    <row r="1819" spans="1:4" x14ac:dyDescent="0.35">
      <c r="A1819" t="s">
        <v>9</v>
      </c>
      <c r="B1819" t="s">
        <v>5</v>
      </c>
      <c r="C1819" t="s">
        <v>34</v>
      </c>
      <c r="D1819">
        <v>0</v>
      </c>
    </row>
    <row r="1820" spans="1:4" x14ac:dyDescent="0.35">
      <c r="A1820" t="s">
        <v>10</v>
      </c>
      <c r="B1820" t="s">
        <v>5</v>
      </c>
      <c r="C1820" t="s">
        <v>34</v>
      </c>
      <c r="D1820">
        <v>0</v>
      </c>
    </row>
    <row r="1821" spans="1:4" x14ac:dyDescent="0.35">
      <c r="A1821" t="s">
        <v>11</v>
      </c>
      <c r="B1821" t="s">
        <v>5</v>
      </c>
      <c r="C1821" t="s">
        <v>34</v>
      </c>
      <c r="D1821">
        <v>0</v>
      </c>
    </row>
    <row r="1822" spans="1:4" x14ac:dyDescent="0.35">
      <c r="A1822" t="s">
        <v>12</v>
      </c>
      <c r="B1822" t="s">
        <v>5</v>
      </c>
      <c r="C1822" t="s">
        <v>34</v>
      </c>
      <c r="D1822">
        <v>0</v>
      </c>
    </row>
    <row r="1823" spans="1:4" x14ac:dyDescent="0.35">
      <c r="A1823" t="s">
        <v>13</v>
      </c>
      <c r="B1823" t="s">
        <v>5</v>
      </c>
      <c r="C1823" t="s">
        <v>34</v>
      </c>
      <c r="D1823">
        <v>0</v>
      </c>
    </row>
    <row r="1824" spans="1:4" x14ac:dyDescent="0.35">
      <c r="A1824" t="s">
        <v>14</v>
      </c>
      <c r="B1824" t="s">
        <v>5</v>
      </c>
      <c r="C1824" t="s">
        <v>34</v>
      </c>
      <c r="D1824">
        <v>0</v>
      </c>
    </row>
    <row r="1825" spans="1:4" x14ac:dyDescent="0.35">
      <c r="A1825" t="s">
        <v>15</v>
      </c>
      <c r="B1825" t="s">
        <v>5</v>
      </c>
      <c r="C1825" t="s">
        <v>34</v>
      </c>
      <c r="D1825">
        <v>0</v>
      </c>
    </row>
    <row r="1826" spans="1:4" x14ac:dyDescent="0.35">
      <c r="A1826" t="s">
        <v>16</v>
      </c>
      <c r="B1826" t="s">
        <v>5</v>
      </c>
      <c r="C1826" t="s">
        <v>34</v>
      </c>
      <c r="D1826">
        <v>0</v>
      </c>
    </row>
    <row r="1827" spans="1:4" x14ac:dyDescent="0.35">
      <c r="A1827" t="s">
        <v>17</v>
      </c>
      <c r="B1827" t="s">
        <v>5</v>
      </c>
      <c r="C1827" t="s">
        <v>34</v>
      </c>
      <c r="D1827">
        <v>0</v>
      </c>
    </row>
    <row r="1828" spans="1:4" x14ac:dyDescent="0.35">
      <c r="A1828" t="s">
        <v>18</v>
      </c>
      <c r="B1828" t="s">
        <v>5</v>
      </c>
      <c r="C1828" t="s">
        <v>34</v>
      </c>
      <c r="D1828">
        <v>0</v>
      </c>
    </row>
    <row r="1829" spans="1:4" x14ac:dyDescent="0.35">
      <c r="A1829" t="s">
        <v>19</v>
      </c>
      <c r="B1829" t="s">
        <v>5</v>
      </c>
      <c r="C1829" t="s">
        <v>34</v>
      </c>
      <c r="D1829">
        <v>0</v>
      </c>
    </row>
    <row r="1830" spans="1:4" x14ac:dyDescent="0.35">
      <c r="A1830" t="s">
        <v>20</v>
      </c>
      <c r="B1830" t="s">
        <v>5</v>
      </c>
      <c r="C1830" t="s">
        <v>34</v>
      </c>
      <c r="D1830">
        <v>0</v>
      </c>
    </row>
    <row r="1831" spans="1:4" x14ac:dyDescent="0.35">
      <c r="A1831" t="s">
        <v>21</v>
      </c>
      <c r="B1831" t="s">
        <v>5</v>
      </c>
      <c r="C1831" t="s">
        <v>34</v>
      </c>
      <c r="D1831">
        <v>0</v>
      </c>
    </row>
    <row r="1832" spans="1:4" x14ac:dyDescent="0.35">
      <c r="A1832" t="s">
        <v>22</v>
      </c>
      <c r="B1832" t="s">
        <v>5</v>
      </c>
      <c r="C1832" t="s">
        <v>34</v>
      </c>
      <c r="D1832">
        <v>0</v>
      </c>
    </row>
    <row r="1833" spans="1:4" x14ac:dyDescent="0.35">
      <c r="A1833" t="s">
        <v>23</v>
      </c>
      <c r="B1833" t="s">
        <v>5</v>
      </c>
      <c r="C1833" t="s">
        <v>34</v>
      </c>
      <c r="D1833">
        <v>0</v>
      </c>
    </row>
    <row r="1834" spans="1:4" x14ac:dyDescent="0.35">
      <c r="A1834" t="s">
        <v>24</v>
      </c>
      <c r="B1834" t="s">
        <v>5</v>
      </c>
      <c r="C1834" t="s">
        <v>34</v>
      </c>
      <c r="D1834">
        <v>0</v>
      </c>
    </row>
    <row r="1835" spans="1:4" x14ac:dyDescent="0.35">
      <c r="A1835" t="s">
        <v>25</v>
      </c>
      <c r="B1835" t="s">
        <v>5</v>
      </c>
      <c r="C1835" t="s">
        <v>34</v>
      </c>
      <c r="D1835">
        <v>0</v>
      </c>
    </row>
    <row r="1836" spans="1:4" x14ac:dyDescent="0.35">
      <c r="A1836" t="s">
        <v>26</v>
      </c>
      <c r="B1836" t="s">
        <v>5</v>
      </c>
      <c r="C1836" t="s">
        <v>34</v>
      </c>
      <c r="D1836">
        <v>0</v>
      </c>
    </row>
    <row r="1837" spans="1:4" x14ac:dyDescent="0.35">
      <c r="A1837" t="s">
        <v>27</v>
      </c>
      <c r="B1837" t="s">
        <v>5</v>
      </c>
      <c r="C1837" t="s">
        <v>34</v>
      </c>
      <c r="D1837">
        <v>0</v>
      </c>
    </row>
    <row r="1838" spans="1:4" x14ac:dyDescent="0.35">
      <c r="A1838" t="s">
        <v>28</v>
      </c>
      <c r="B1838" t="s">
        <v>5</v>
      </c>
      <c r="C1838" t="s">
        <v>34</v>
      </c>
      <c r="D1838">
        <v>0</v>
      </c>
    </row>
    <row r="1839" spans="1:4" x14ac:dyDescent="0.35">
      <c r="A1839" t="s">
        <v>29</v>
      </c>
      <c r="B1839" t="s">
        <v>5</v>
      </c>
      <c r="C1839" t="s">
        <v>34</v>
      </c>
      <c r="D1839">
        <v>0</v>
      </c>
    </row>
    <row r="1840" spans="1:4" x14ac:dyDescent="0.35">
      <c r="A1840" t="s">
        <v>30</v>
      </c>
      <c r="B1840" t="s">
        <v>5</v>
      </c>
      <c r="C1840" t="s">
        <v>34</v>
      </c>
      <c r="D1840">
        <v>0</v>
      </c>
    </row>
    <row r="1841" spans="1:4" x14ac:dyDescent="0.35">
      <c r="A1841" t="s">
        <v>31</v>
      </c>
      <c r="B1841" t="s">
        <v>5</v>
      </c>
      <c r="C1841" t="s">
        <v>34</v>
      </c>
      <c r="D1841">
        <v>0</v>
      </c>
    </row>
    <row r="1842" spans="1:4" x14ac:dyDescent="0.35">
      <c r="A1842" t="s">
        <v>32</v>
      </c>
      <c r="B1842" t="s">
        <v>5</v>
      </c>
      <c r="C1842" t="s">
        <v>34</v>
      </c>
      <c r="D1842">
        <v>0</v>
      </c>
    </row>
    <row r="1843" spans="1:4" x14ac:dyDescent="0.35">
      <c r="A1843" t="s">
        <v>33</v>
      </c>
      <c r="B1843" t="s">
        <v>5</v>
      </c>
      <c r="C1843" t="s">
        <v>34</v>
      </c>
      <c r="D1843">
        <v>0</v>
      </c>
    </row>
    <row r="1844" spans="1:4" x14ac:dyDescent="0.35">
      <c r="A1844" t="s">
        <v>34</v>
      </c>
      <c r="B1844" t="s">
        <v>5</v>
      </c>
      <c r="C1844" t="s">
        <v>34</v>
      </c>
      <c r="D1844">
        <v>0</v>
      </c>
    </row>
    <row r="1845" spans="1:4" x14ac:dyDescent="0.35">
      <c r="A1845" t="s">
        <v>35</v>
      </c>
      <c r="B1845" t="s">
        <v>5</v>
      </c>
      <c r="C1845" t="s">
        <v>34</v>
      </c>
      <c r="D1845">
        <v>0</v>
      </c>
    </row>
    <row r="1846" spans="1:4" x14ac:dyDescent="0.35">
      <c r="A1846" t="s">
        <v>36</v>
      </c>
      <c r="B1846" t="s">
        <v>5</v>
      </c>
      <c r="C1846" t="s">
        <v>34</v>
      </c>
      <c r="D1846">
        <v>0</v>
      </c>
    </row>
    <row r="1847" spans="1:4" x14ac:dyDescent="0.35">
      <c r="A1847" t="s">
        <v>37</v>
      </c>
      <c r="B1847" t="s">
        <v>5</v>
      </c>
      <c r="C1847" t="s">
        <v>34</v>
      </c>
      <c r="D1847">
        <v>0</v>
      </c>
    </row>
    <row r="1848" spans="1:4" x14ac:dyDescent="0.35">
      <c r="A1848" t="s">
        <v>38</v>
      </c>
      <c r="B1848" t="s">
        <v>5</v>
      </c>
      <c r="C1848" t="s">
        <v>34</v>
      </c>
      <c r="D1848">
        <v>0</v>
      </c>
    </row>
    <row r="1849" spans="1:4" x14ac:dyDescent="0.35">
      <c r="A1849" t="s">
        <v>39</v>
      </c>
      <c r="B1849" t="s">
        <v>5</v>
      </c>
      <c r="C1849" t="s">
        <v>34</v>
      </c>
      <c r="D1849">
        <v>0</v>
      </c>
    </row>
    <row r="1850" spans="1:4" x14ac:dyDescent="0.35">
      <c r="A1850" t="s">
        <v>7</v>
      </c>
      <c r="B1850" t="s">
        <v>4</v>
      </c>
      <c r="C1850" t="s">
        <v>35</v>
      </c>
      <c r="D1850">
        <v>0</v>
      </c>
    </row>
    <row r="1851" spans="1:4" x14ac:dyDescent="0.35">
      <c r="A1851" t="s">
        <v>8</v>
      </c>
      <c r="B1851" t="s">
        <v>4</v>
      </c>
      <c r="C1851" t="s">
        <v>35</v>
      </c>
      <c r="D1851">
        <v>0</v>
      </c>
    </row>
    <row r="1852" spans="1:4" x14ac:dyDescent="0.35">
      <c r="A1852" t="s">
        <v>9</v>
      </c>
      <c r="B1852" t="s">
        <v>4</v>
      </c>
      <c r="C1852" t="s">
        <v>35</v>
      </c>
      <c r="D1852">
        <v>0</v>
      </c>
    </row>
    <row r="1853" spans="1:4" x14ac:dyDescent="0.35">
      <c r="A1853" t="s">
        <v>10</v>
      </c>
      <c r="B1853" t="s">
        <v>4</v>
      </c>
      <c r="C1853" t="s">
        <v>35</v>
      </c>
      <c r="D1853">
        <v>0</v>
      </c>
    </row>
    <row r="1854" spans="1:4" x14ac:dyDescent="0.35">
      <c r="A1854" t="s">
        <v>11</v>
      </c>
      <c r="B1854" t="s">
        <v>4</v>
      </c>
      <c r="C1854" t="s">
        <v>35</v>
      </c>
      <c r="D1854">
        <v>0</v>
      </c>
    </row>
    <row r="1855" spans="1:4" x14ac:dyDescent="0.35">
      <c r="A1855" t="s">
        <v>12</v>
      </c>
      <c r="B1855" t="s">
        <v>4</v>
      </c>
      <c r="C1855" t="s">
        <v>35</v>
      </c>
      <c r="D1855">
        <v>0</v>
      </c>
    </row>
    <row r="1856" spans="1:4" x14ac:dyDescent="0.35">
      <c r="A1856" t="s">
        <v>13</v>
      </c>
      <c r="B1856" t="s">
        <v>4</v>
      </c>
      <c r="C1856" t="s">
        <v>35</v>
      </c>
      <c r="D1856">
        <v>0</v>
      </c>
    </row>
    <row r="1857" spans="1:4" x14ac:dyDescent="0.35">
      <c r="A1857" t="s">
        <v>14</v>
      </c>
      <c r="B1857" t="s">
        <v>4</v>
      </c>
      <c r="C1857" t="s">
        <v>35</v>
      </c>
      <c r="D1857">
        <v>0</v>
      </c>
    </row>
    <row r="1858" spans="1:4" x14ac:dyDescent="0.35">
      <c r="A1858" t="s">
        <v>15</v>
      </c>
      <c r="B1858" t="s">
        <v>4</v>
      </c>
      <c r="C1858" t="s">
        <v>35</v>
      </c>
      <c r="D1858">
        <v>0</v>
      </c>
    </row>
    <row r="1859" spans="1:4" x14ac:dyDescent="0.35">
      <c r="A1859" t="s">
        <v>16</v>
      </c>
      <c r="B1859" t="s">
        <v>4</v>
      </c>
      <c r="C1859" t="s">
        <v>35</v>
      </c>
      <c r="D1859">
        <v>0</v>
      </c>
    </row>
    <row r="1860" spans="1:4" x14ac:dyDescent="0.35">
      <c r="A1860" t="s">
        <v>17</v>
      </c>
      <c r="B1860" t="s">
        <v>4</v>
      </c>
      <c r="C1860" t="s">
        <v>35</v>
      </c>
      <c r="D1860">
        <v>0</v>
      </c>
    </row>
    <row r="1861" spans="1:4" x14ac:dyDescent="0.35">
      <c r="A1861" t="s">
        <v>18</v>
      </c>
      <c r="B1861" t="s">
        <v>4</v>
      </c>
      <c r="C1861" t="s">
        <v>35</v>
      </c>
      <c r="D1861">
        <v>0</v>
      </c>
    </row>
    <row r="1862" spans="1:4" x14ac:dyDescent="0.35">
      <c r="A1862" t="s">
        <v>19</v>
      </c>
      <c r="B1862" t="s">
        <v>4</v>
      </c>
      <c r="C1862" t="s">
        <v>35</v>
      </c>
      <c r="D1862">
        <v>0</v>
      </c>
    </row>
    <row r="1863" spans="1:4" x14ac:dyDescent="0.35">
      <c r="A1863" t="s">
        <v>20</v>
      </c>
      <c r="B1863" t="s">
        <v>4</v>
      </c>
      <c r="C1863" t="s">
        <v>35</v>
      </c>
      <c r="D1863">
        <v>0</v>
      </c>
    </row>
    <row r="1864" spans="1:4" x14ac:dyDescent="0.35">
      <c r="A1864" t="s">
        <v>21</v>
      </c>
      <c r="B1864" t="s">
        <v>4</v>
      </c>
      <c r="C1864" t="s">
        <v>35</v>
      </c>
      <c r="D1864">
        <v>0</v>
      </c>
    </row>
    <row r="1865" spans="1:4" x14ac:dyDescent="0.35">
      <c r="A1865" t="s">
        <v>22</v>
      </c>
      <c r="B1865" t="s">
        <v>4</v>
      </c>
      <c r="C1865" t="s">
        <v>35</v>
      </c>
      <c r="D1865">
        <v>0</v>
      </c>
    </row>
    <row r="1866" spans="1:4" x14ac:dyDescent="0.35">
      <c r="A1866" t="s">
        <v>23</v>
      </c>
      <c r="B1866" t="s">
        <v>4</v>
      </c>
      <c r="C1866" t="s">
        <v>35</v>
      </c>
      <c r="D1866">
        <v>0</v>
      </c>
    </row>
    <row r="1867" spans="1:4" x14ac:dyDescent="0.35">
      <c r="A1867" t="s">
        <v>24</v>
      </c>
      <c r="B1867" t="s">
        <v>4</v>
      </c>
      <c r="C1867" t="s">
        <v>35</v>
      </c>
      <c r="D1867">
        <v>0</v>
      </c>
    </row>
    <row r="1868" spans="1:4" x14ac:dyDescent="0.35">
      <c r="A1868" t="s">
        <v>25</v>
      </c>
      <c r="B1868" t="s">
        <v>4</v>
      </c>
      <c r="C1868" t="s">
        <v>35</v>
      </c>
      <c r="D1868">
        <v>0</v>
      </c>
    </row>
    <row r="1869" spans="1:4" x14ac:dyDescent="0.35">
      <c r="A1869" t="s">
        <v>26</v>
      </c>
      <c r="B1869" t="s">
        <v>4</v>
      </c>
      <c r="C1869" t="s">
        <v>35</v>
      </c>
      <c r="D1869">
        <v>0</v>
      </c>
    </row>
    <row r="1870" spans="1:4" x14ac:dyDescent="0.35">
      <c r="A1870" t="s">
        <v>27</v>
      </c>
      <c r="B1870" t="s">
        <v>4</v>
      </c>
      <c r="C1870" t="s">
        <v>35</v>
      </c>
      <c r="D1870">
        <v>0</v>
      </c>
    </row>
    <row r="1871" spans="1:4" x14ac:dyDescent="0.35">
      <c r="A1871" t="s">
        <v>28</v>
      </c>
      <c r="B1871" t="s">
        <v>4</v>
      </c>
      <c r="C1871" t="s">
        <v>35</v>
      </c>
      <c r="D1871">
        <v>0</v>
      </c>
    </row>
    <row r="1872" spans="1:4" x14ac:dyDescent="0.35">
      <c r="A1872" t="s">
        <v>29</v>
      </c>
      <c r="B1872" t="s">
        <v>4</v>
      </c>
      <c r="C1872" t="s">
        <v>35</v>
      </c>
      <c r="D1872">
        <v>0</v>
      </c>
    </row>
    <row r="1873" spans="1:4" x14ac:dyDescent="0.35">
      <c r="A1873" t="s">
        <v>30</v>
      </c>
      <c r="B1873" t="s">
        <v>4</v>
      </c>
      <c r="C1873" t="s">
        <v>35</v>
      </c>
      <c r="D1873">
        <v>0</v>
      </c>
    </row>
    <row r="1874" spans="1:4" x14ac:dyDescent="0.35">
      <c r="A1874" t="s">
        <v>31</v>
      </c>
      <c r="B1874" t="s">
        <v>4</v>
      </c>
      <c r="C1874" t="s">
        <v>35</v>
      </c>
      <c r="D1874">
        <v>0</v>
      </c>
    </row>
    <row r="1875" spans="1:4" x14ac:dyDescent="0.35">
      <c r="A1875" t="s">
        <v>32</v>
      </c>
      <c r="B1875" t="s">
        <v>4</v>
      </c>
      <c r="C1875" t="s">
        <v>35</v>
      </c>
      <c r="D1875">
        <v>0</v>
      </c>
    </row>
    <row r="1876" spans="1:4" x14ac:dyDescent="0.35">
      <c r="A1876" t="s">
        <v>33</v>
      </c>
      <c r="B1876" t="s">
        <v>4</v>
      </c>
      <c r="C1876" t="s">
        <v>35</v>
      </c>
      <c r="D1876">
        <v>0</v>
      </c>
    </row>
    <row r="1877" spans="1:4" x14ac:dyDescent="0.35">
      <c r="A1877" t="s">
        <v>34</v>
      </c>
      <c r="B1877" t="s">
        <v>4</v>
      </c>
      <c r="C1877" t="s">
        <v>35</v>
      </c>
      <c r="D1877">
        <v>0</v>
      </c>
    </row>
    <row r="1878" spans="1:4" x14ac:dyDescent="0.35">
      <c r="A1878" t="s">
        <v>35</v>
      </c>
      <c r="B1878" t="s">
        <v>4</v>
      </c>
      <c r="C1878" t="s">
        <v>35</v>
      </c>
      <c r="D1878">
        <v>0</v>
      </c>
    </row>
    <row r="1879" spans="1:4" x14ac:dyDescent="0.35">
      <c r="A1879" t="s">
        <v>36</v>
      </c>
      <c r="B1879" t="s">
        <v>4</v>
      </c>
      <c r="C1879" t="s">
        <v>35</v>
      </c>
      <c r="D1879">
        <v>0</v>
      </c>
    </row>
    <row r="1880" spans="1:4" x14ac:dyDescent="0.35">
      <c r="A1880" t="s">
        <v>37</v>
      </c>
      <c r="B1880" t="s">
        <v>4</v>
      </c>
      <c r="C1880" t="s">
        <v>35</v>
      </c>
      <c r="D1880">
        <v>0</v>
      </c>
    </row>
    <row r="1881" spans="1:4" x14ac:dyDescent="0.35">
      <c r="A1881" t="s">
        <v>38</v>
      </c>
      <c r="B1881" t="s">
        <v>4</v>
      </c>
      <c r="C1881" t="s">
        <v>35</v>
      </c>
      <c r="D1881">
        <v>0</v>
      </c>
    </row>
    <row r="1882" spans="1:4" x14ac:dyDescent="0.35">
      <c r="A1882" t="s">
        <v>39</v>
      </c>
      <c r="B1882" t="s">
        <v>4</v>
      </c>
      <c r="C1882" t="s">
        <v>35</v>
      </c>
      <c r="D1882">
        <v>0</v>
      </c>
    </row>
    <row r="1883" spans="1:4" x14ac:dyDescent="0.35">
      <c r="A1883" t="s">
        <v>7</v>
      </c>
      <c r="B1883" t="s">
        <v>5</v>
      </c>
      <c r="C1883" t="s">
        <v>35</v>
      </c>
      <c r="D1883">
        <v>0</v>
      </c>
    </row>
    <row r="1884" spans="1:4" x14ac:dyDescent="0.35">
      <c r="A1884" t="s">
        <v>8</v>
      </c>
      <c r="B1884" t="s">
        <v>5</v>
      </c>
      <c r="C1884" t="s">
        <v>35</v>
      </c>
      <c r="D1884">
        <v>0</v>
      </c>
    </row>
    <row r="1885" spans="1:4" x14ac:dyDescent="0.35">
      <c r="A1885" t="s">
        <v>9</v>
      </c>
      <c r="B1885" t="s">
        <v>5</v>
      </c>
      <c r="C1885" t="s">
        <v>35</v>
      </c>
      <c r="D1885">
        <v>0</v>
      </c>
    </row>
    <row r="1886" spans="1:4" x14ac:dyDescent="0.35">
      <c r="A1886" t="s">
        <v>10</v>
      </c>
      <c r="B1886" t="s">
        <v>5</v>
      </c>
      <c r="C1886" t="s">
        <v>35</v>
      </c>
      <c r="D1886">
        <v>0</v>
      </c>
    </row>
    <row r="1887" spans="1:4" x14ac:dyDescent="0.35">
      <c r="A1887" t="s">
        <v>11</v>
      </c>
      <c r="B1887" t="s">
        <v>5</v>
      </c>
      <c r="C1887" t="s">
        <v>35</v>
      </c>
      <c r="D1887">
        <v>0</v>
      </c>
    </row>
    <row r="1888" spans="1:4" x14ac:dyDescent="0.35">
      <c r="A1888" t="s">
        <v>12</v>
      </c>
      <c r="B1888" t="s">
        <v>5</v>
      </c>
      <c r="C1888" t="s">
        <v>35</v>
      </c>
      <c r="D1888">
        <v>0</v>
      </c>
    </row>
    <row r="1889" spans="1:4" x14ac:dyDescent="0.35">
      <c r="A1889" t="s">
        <v>13</v>
      </c>
      <c r="B1889" t="s">
        <v>5</v>
      </c>
      <c r="C1889" t="s">
        <v>35</v>
      </c>
      <c r="D1889">
        <v>0</v>
      </c>
    </row>
    <row r="1890" spans="1:4" x14ac:dyDescent="0.35">
      <c r="A1890" t="s">
        <v>14</v>
      </c>
      <c r="B1890" t="s">
        <v>5</v>
      </c>
      <c r="C1890" t="s">
        <v>35</v>
      </c>
      <c r="D1890">
        <v>0</v>
      </c>
    </row>
    <row r="1891" spans="1:4" x14ac:dyDescent="0.35">
      <c r="A1891" t="s">
        <v>15</v>
      </c>
      <c r="B1891" t="s">
        <v>5</v>
      </c>
      <c r="C1891" t="s">
        <v>35</v>
      </c>
      <c r="D1891">
        <v>0</v>
      </c>
    </row>
    <row r="1892" spans="1:4" x14ac:dyDescent="0.35">
      <c r="A1892" t="s">
        <v>16</v>
      </c>
      <c r="B1892" t="s">
        <v>5</v>
      </c>
      <c r="C1892" t="s">
        <v>35</v>
      </c>
      <c r="D1892">
        <v>0</v>
      </c>
    </row>
    <row r="1893" spans="1:4" x14ac:dyDescent="0.35">
      <c r="A1893" t="s">
        <v>17</v>
      </c>
      <c r="B1893" t="s">
        <v>5</v>
      </c>
      <c r="C1893" t="s">
        <v>35</v>
      </c>
      <c r="D1893">
        <v>0</v>
      </c>
    </row>
    <row r="1894" spans="1:4" x14ac:dyDescent="0.35">
      <c r="A1894" t="s">
        <v>18</v>
      </c>
      <c r="B1894" t="s">
        <v>5</v>
      </c>
      <c r="C1894" t="s">
        <v>35</v>
      </c>
      <c r="D1894">
        <v>0</v>
      </c>
    </row>
    <row r="1895" spans="1:4" x14ac:dyDescent="0.35">
      <c r="A1895" t="s">
        <v>19</v>
      </c>
      <c r="B1895" t="s">
        <v>5</v>
      </c>
      <c r="C1895" t="s">
        <v>35</v>
      </c>
      <c r="D1895">
        <v>0</v>
      </c>
    </row>
    <row r="1896" spans="1:4" x14ac:dyDescent="0.35">
      <c r="A1896" t="s">
        <v>20</v>
      </c>
      <c r="B1896" t="s">
        <v>5</v>
      </c>
      <c r="C1896" t="s">
        <v>35</v>
      </c>
      <c r="D1896">
        <v>0</v>
      </c>
    </row>
    <row r="1897" spans="1:4" x14ac:dyDescent="0.35">
      <c r="A1897" t="s">
        <v>21</v>
      </c>
      <c r="B1897" t="s">
        <v>5</v>
      </c>
      <c r="C1897" t="s">
        <v>35</v>
      </c>
      <c r="D1897">
        <v>0</v>
      </c>
    </row>
    <row r="1898" spans="1:4" x14ac:dyDescent="0.35">
      <c r="A1898" t="s">
        <v>22</v>
      </c>
      <c r="B1898" t="s">
        <v>5</v>
      </c>
      <c r="C1898" t="s">
        <v>35</v>
      </c>
      <c r="D1898">
        <v>0</v>
      </c>
    </row>
    <row r="1899" spans="1:4" x14ac:dyDescent="0.35">
      <c r="A1899" t="s">
        <v>23</v>
      </c>
      <c r="B1899" t="s">
        <v>5</v>
      </c>
      <c r="C1899" t="s">
        <v>35</v>
      </c>
      <c r="D1899">
        <v>0</v>
      </c>
    </row>
    <row r="1900" spans="1:4" x14ac:dyDescent="0.35">
      <c r="A1900" t="s">
        <v>24</v>
      </c>
      <c r="B1900" t="s">
        <v>5</v>
      </c>
      <c r="C1900" t="s">
        <v>35</v>
      </c>
      <c r="D1900">
        <v>0</v>
      </c>
    </row>
    <row r="1901" spans="1:4" x14ac:dyDescent="0.35">
      <c r="A1901" t="s">
        <v>25</v>
      </c>
      <c r="B1901" t="s">
        <v>5</v>
      </c>
      <c r="C1901" t="s">
        <v>35</v>
      </c>
      <c r="D1901">
        <v>0</v>
      </c>
    </row>
    <row r="1902" spans="1:4" x14ac:dyDescent="0.35">
      <c r="A1902" t="s">
        <v>26</v>
      </c>
      <c r="B1902" t="s">
        <v>5</v>
      </c>
      <c r="C1902" t="s">
        <v>35</v>
      </c>
      <c r="D1902">
        <v>0</v>
      </c>
    </row>
    <row r="1903" spans="1:4" x14ac:dyDescent="0.35">
      <c r="A1903" t="s">
        <v>27</v>
      </c>
      <c r="B1903" t="s">
        <v>5</v>
      </c>
      <c r="C1903" t="s">
        <v>35</v>
      </c>
      <c r="D1903">
        <v>0</v>
      </c>
    </row>
    <row r="1904" spans="1:4" x14ac:dyDescent="0.35">
      <c r="A1904" t="s">
        <v>28</v>
      </c>
      <c r="B1904" t="s">
        <v>5</v>
      </c>
      <c r="C1904" t="s">
        <v>35</v>
      </c>
      <c r="D1904">
        <v>0</v>
      </c>
    </row>
    <row r="1905" spans="1:4" x14ac:dyDescent="0.35">
      <c r="A1905" t="s">
        <v>29</v>
      </c>
      <c r="B1905" t="s">
        <v>5</v>
      </c>
      <c r="C1905" t="s">
        <v>35</v>
      </c>
      <c r="D1905">
        <v>0</v>
      </c>
    </row>
    <row r="1906" spans="1:4" x14ac:dyDescent="0.35">
      <c r="A1906" t="s">
        <v>30</v>
      </c>
      <c r="B1906" t="s">
        <v>5</v>
      </c>
      <c r="C1906" t="s">
        <v>35</v>
      </c>
      <c r="D1906">
        <v>0</v>
      </c>
    </row>
    <row r="1907" spans="1:4" x14ac:dyDescent="0.35">
      <c r="A1907" t="s">
        <v>31</v>
      </c>
      <c r="B1907" t="s">
        <v>5</v>
      </c>
      <c r="C1907" t="s">
        <v>35</v>
      </c>
      <c r="D1907">
        <v>0</v>
      </c>
    </row>
    <row r="1908" spans="1:4" x14ac:dyDescent="0.35">
      <c r="A1908" t="s">
        <v>32</v>
      </c>
      <c r="B1908" t="s">
        <v>5</v>
      </c>
      <c r="C1908" t="s">
        <v>35</v>
      </c>
      <c r="D1908">
        <v>0</v>
      </c>
    </row>
    <row r="1909" spans="1:4" x14ac:dyDescent="0.35">
      <c r="A1909" t="s">
        <v>33</v>
      </c>
      <c r="B1909" t="s">
        <v>5</v>
      </c>
      <c r="C1909" t="s">
        <v>35</v>
      </c>
      <c r="D1909">
        <v>0</v>
      </c>
    </row>
    <row r="1910" spans="1:4" x14ac:dyDescent="0.35">
      <c r="A1910" t="s">
        <v>34</v>
      </c>
      <c r="B1910" t="s">
        <v>5</v>
      </c>
      <c r="C1910" t="s">
        <v>35</v>
      </c>
      <c r="D1910">
        <v>0</v>
      </c>
    </row>
    <row r="1911" spans="1:4" x14ac:dyDescent="0.35">
      <c r="A1911" t="s">
        <v>35</v>
      </c>
      <c r="B1911" t="s">
        <v>5</v>
      </c>
      <c r="C1911" t="s">
        <v>35</v>
      </c>
      <c r="D1911">
        <v>0</v>
      </c>
    </row>
    <row r="1912" spans="1:4" x14ac:dyDescent="0.35">
      <c r="A1912" t="s">
        <v>36</v>
      </c>
      <c r="B1912" t="s">
        <v>5</v>
      </c>
      <c r="C1912" t="s">
        <v>35</v>
      </c>
      <c r="D1912">
        <v>0</v>
      </c>
    </row>
    <row r="1913" spans="1:4" x14ac:dyDescent="0.35">
      <c r="A1913" t="s">
        <v>37</v>
      </c>
      <c r="B1913" t="s">
        <v>5</v>
      </c>
      <c r="C1913" t="s">
        <v>35</v>
      </c>
      <c r="D1913">
        <v>0</v>
      </c>
    </row>
    <row r="1914" spans="1:4" x14ac:dyDescent="0.35">
      <c r="A1914" t="s">
        <v>38</v>
      </c>
      <c r="B1914" t="s">
        <v>5</v>
      </c>
      <c r="C1914" t="s">
        <v>35</v>
      </c>
      <c r="D1914">
        <v>0</v>
      </c>
    </row>
    <row r="1915" spans="1:4" x14ac:dyDescent="0.35">
      <c r="A1915" t="s">
        <v>39</v>
      </c>
      <c r="B1915" t="s">
        <v>5</v>
      </c>
      <c r="C1915" t="s">
        <v>35</v>
      </c>
      <c r="D1915">
        <v>0</v>
      </c>
    </row>
    <row r="1916" spans="1:4" x14ac:dyDescent="0.35">
      <c r="A1916" t="s">
        <v>7</v>
      </c>
      <c r="B1916" t="s">
        <v>4</v>
      </c>
      <c r="C1916" t="s">
        <v>36</v>
      </c>
      <c r="D1916">
        <v>0</v>
      </c>
    </row>
    <row r="1917" spans="1:4" x14ac:dyDescent="0.35">
      <c r="A1917" t="s">
        <v>8</v>
      </c>
      <c r="B1917" t="s">
        <v>4</v>
      </c>
      <c r="C1917" t="s">
        <v>36</v>
      </c>
      <c r="D1917">
        <v>0</v>
      </c>
    </row>
    <row r="1918" spans="1:4" x14ac:dyDescent="0.35">
      <c r="A1918" t="s">
        <v>9</v>
      </c>
      <c r="B1918" t="s">
        <v>4</v>
      </c>
      <c r="C1918" t="s">
        <v>36</v>
      </c>
      <c r="D1918">
        <v>0</v>
      </c>
    </row>
    <row r="1919" spans="1:4" x14ac:dyDescent="0.35">
      <c r="A1919" t="s">
        <v>10</v>
      </c>
      <c r="B1919" t="s">
        <v>4</v>
      </c>
      <c r="C1919" t="s">
        <v>36</v>
      </c>
      <c r="D1919">
        <v>0</v>
      </c>
    </row>
    <row r="1920" spans="1:4" x14ac:dyDescent="0.35">
      <c r="A1920" t="s">
        <v>11</v>
      </c>
      <c r="B1920" t="s">
        <v>4</v>
      </c>
      <c r="C1920" t="s">
        <v>36</v>
      </c>
      <c r="D1920">
        <v>0</v>
      </c>
    </row>
    <row r="1921" spans="1:4" x14ac:dyDescent="0.35">
      <c r="A1921" t="s">
        <v>12</v>
      </c>
      <c r="B1921" t="s">
        <v>4</v>
      </c>
      <c r="C1921" t="s">
        <v>36</v>
      </c>
      <c r="D1921">
        <v>0</v>
      </c>
    </row>
    <row r="1922" spans="1:4" x14ac:dyDescent="0.35">
      <c r="A1922" t="s">
        <v>13</v>
      </c>
      <c r="B1922" t="s">
        <v>4</v>
      </c>
      <c r="C1922" t="s">
        <v>36</v>
      </c>
      <c r="D1922">
        <v>0</v>
      </c>
    </row>
    <row r="1923" spans="1:4" x14ac:dyDescent="0.35">
      <c r="A1923" t="s">
        <v>14</v>
      </c>
      <c r="B1923" t="s">
        <v>4</v>
      </c>
      <c r="C1923" t="s">
        <v>36</v>
      </c>
      <c r="D1923">
        <v>0</v>
      </c>
    </row>
    <row r="1924" spans="1:4" x14ac:dyDescent="0.35">
      <c r="A1924" t="s">
        <v>15</v>
      </c>
      <c r="B1924" t="s">
        <v>4</v>
      </c>
      <c r="C1924" t="s">
        <v>36</v>
      </c>
      <c r="D1924">
        <v>0</v>
      </c>
    </row>
    <row r="1925" spans="1:4" x14ac:dyDescent="0.35">
      <c r="A1925" t="s">
        <v>16</v>
      </c>
      <c r="B1925" t="s">
        <v>4</v>
      </c>
      <c r="C1925" t="s">
        <v>36</v>
      </c>
      <c r="D1925">
        <v>0</v>
      </c>
    </row>
    <row r="1926" spans="1:4" x14ac:dyDescent="0.35">
      <c r="A1926" t="s">
        <v>17</v>
      </c>
      <c r="B1926" t="s">
        <v>4</v>
      </c>
      <c r="C1926" t="s">
        <v>36</v>
      </c>
      <c r="D1926">
        <v>0</v>
      </c>
    </row>
    <row r="1927" spans="1:4" x14ac:dyDescent="0.35">
      <c r="A1927" t="s">
        <v>18</v>
      </c>
      <c r="B1927" t="s">
        <v>4</v>
      </c>
      <c r="C1927" t="s">
        <v>36</v>
      </c>
      <c r="D1927">
        <v>0</v>
      </c>
    </row>
    <row r="1928" spans="1:4" x14ac:dyDescent="0.35">
      <c r="A1928" t="s">
        <v>19</v>
      </c>
      <c r="B1928" t="s">
        <v>4</v>
      </c>
      <c r="C1928" t="s">
        <v>36</v>
      </c>
      <c r="D1928">
        <v>0</v>
      </c>
    </row>
    <row r="1929" spans="1:4" x14ac:dyDescent="0.35">
      <c r="A1929" t="s">
        <v>20</v>
      </c>
      <c r="B1929" t="s">
        <v>4</v>
      </c>
      <c r="C1929" t="s">
        <v>36</v>
      </c>
      <c r="D1929">
        <v>0</v>
      </c>
    </row>
    <row r="1930" spans="1:4" x14ac:dyDescent="0.35">
      <c r="A1930" t="s">
        <v>21</v>
      </c>
      <c r="B1930" t="s">
        <v>4</v>
      </c>
      <c r="C1930" t="s">
        <v>36</v>
      </c>
      <c r="D1930">
        <v>0</v>
      </c>
    </row>
    <row r="1931" spans="1:4" x14ac:dyDescent="0.35">
      <c r="A1931" t="s">
        <v>22</v>
      </c>
      <c r="B1931" t="s">
        <v>4</v>
      </c>
      <c r="C1931" t="s">
        <v>36</v>
      </c>
      <c r="D1931">
        <v>0</v>
      </c>
    </row>
    <row r="1932" spans="1:4" x14ac:dyDescent="0.35">
      <c r="A1932" t="s">
        <v>23</v>
      </c>
      <c r="B1932" t="s">
        <v>4</v>
      </c>
      <c r="C1932" t="s">
        <v>36</v>
      </c>
      <c r="D1932">
        <v>0</v>
      </c>
    </row>
    <row r="1933" spans="1:4" x14ac:dyDescent="0.35">
      <c r="A1933" t="s">
        <v>24</v>
      </c>
      <c r="B1933" t="s">
        <v>4</v>
      </c>
      <c r="C1933" t="s">
        <v>36</v>
      </c>
      <c r="D1933">
        <v>0</v>
      </c>
    </row>
    <row r="1934" spans="1:4" x14ac:dyDescent="0.35">
      <c r="A1934" t="s">
        <v>25</v>
      </c>
      <c r="B1934" t="s">
        <v>4</v>
      </c>
      <c r="C1934" t="s">
        <v>36</v>
      </c>
      <c r="D1934">
        <v>0</v>
      </c>
    </row>
    <row r="1935" spans="1:4" x14ac:dyDescent="0.35">
      <c r="A1935" t="s">
        <v>26</v>
      </c>
      <c r="B1935" t="s">
        <v>4</v>
      </c>
      <c r="C1935" t="s">
        <v>36</v>
      </c>
      <c r="D1935">
        <v>0</v>
      </c>
    </row>
    <row r="1936" spans="1:4" x14ac:dyDescent="0.35">
      <c r="A1936" t="s">
        <v>27</v>
      </c>
      <c r="B1936" t="s">
        <v>4</v>
      </c>
      <c r="C1936" t="s">
        <v>36</v>
      </c>
      <c r="D1936">
        <v>0</v>
      </c>
    </row>
    <row r="1937" spans="1:4" x14ac:dyDescent="0.35">
      <c r="A1937" t="s">
        <v>28</v>
      </c>
      <c r="B1937" t="s">
        <v>4</v>
      </c>
      <c r="C1937" t="s">
        <v>36</v>
      </c>
      <c r="D1937">
        <v>0</v>
      </c>
    </row>
    <row r="1938" spans="1:4" x14ac:dyDescent="0.35">
      <c r="A1938" t="s">
        <v>29</v>
      </c>
      <c r="B1938" t="s">
        <v>4</v>
      </c>
      <c r="C1938" t="s">
        <v>36</v>
      </c>
      <c r="D1938">
        <v>0</v>
      </c>
    </row>
    <row r="1939" spans="1:4" x14ac:dyDescent="0.35">
      <c r="A1939" t="s">
        <v>30</v>
      </c>
      <c r="B1939" t="s">
        <v>4</v>
      </c>
      <c r="C1939" t="s">
        <v>36</v>
      </c>
      <c r="D1939">
        <v>0</v>
      </c>
    </row>
    <row r="1940" spans="1:4" x14ac:dyDescent="0.35">
      <c r="A1940" t="s">
        <v>31</v>
      </c>
      <c r="B1940" t="s">
        <v>4</v>
      </c>
      <c r="C1940" t="s">
        <v>36</v>
      </c>
      <c r="D1940">
        <v>0</v>
      </c>
    </row>
    <row r="1941" spans="1:4" x14ac:dyDescent="0.35">
      <c r="A1941" t="s">
        <v>32</v>
      </c>
      <c r="B1941" t="s">
        <v>4</v>
      </c>
      <c r="C1941" t="s">
        <v>36</v>
      </c>
      <c r="D1941">
        <v>0</v>
      </c>
    </row>
    <row r="1942" spans="1:4" x14ac:dyDescent="0.35">
      <c r="A1942" t="s">
        <v>33</v>
      </c>
      <c r="B1942" t="s">
        <v>4</v>
      </c>
      <c r="C1942" t="s">
        <v>36</v>
      </c>
      <c r="D1942">
        <v>0</v>
      </c>
    </row>
    <row r="1943" spans="1:4" x14ac:dyDescent="0.35">
      <c r="A1943" t="s">
        <v>34</v>
      </c>
      <c r="B1943" t="s">
        <v>4</v>
      </c>
      <c r="C1943" t="s">
        <v>36</v>
      </c>
      <c r="D1943">
        <v>0</v>
      </c>
    </row>
    <row r="1944" spans="1:4" x14ac:dyDescent="0.35">
      <c r="A1944" t="s">
        <v>35</v>
      </c>
      <c r="B1944" t="s">
        <v>4</v>
      </c>
      <c r="C1944" t="s">
        <v>36</v>
      </c>
      <c r="D1944">
        <v>0</v>
      </c>
    </row>
    <row r="1945" spans="1:4" x14ac:dyDescent="0.35">
      <c r="A1945" t="s">
        <v>36</v>
      </c>
      <c r="B1945" t="s">
        <v>4</v>
      </c>
      <c r="C1945" t="s">
        <v>36</v>
      </c>
      <c r="D1945">
        <v>0</v>
      </c>
    </row>
    <row r="1946" spans="1:4" x14ac:dyDescent="0.35">
      <c r="A1946" t="s">
        <v>37</v>
      </c>
      <c r="B1946" t="s">
        <v>4</v>
      </c>
      <c r="C1946" t="s">
        <v>36</v>
      </c>
      <c r="D1946">
        <v>0</v>
      </c>
    </row>
    <row r="1947" spans="1:4" x14ac:dyDescent="0.35">
      <c r="A1947" t="s">
        <v>38</v>
      </c>
      <c r="B1947" t="s">
        <v>4</v>
      </c>
      <c r="C1947" t="s">
        <v>36</v>
      </c>
      <c r="D1947">
        <v>0</v>
      </c>
    </row>
    <row r="1948" spans="1:4" x14ac:dyDescent="0.35">
      <c r="A1948" t="s">
        <v>39</v>
      </c>
      <c r="B1948" t="s">
        <v>4</v>
      </c>
      <c r="C1948" t="s">
        <v>36</v>
      </c>
      <c r="D1948">
        <v>0</v>
      </c>
    </row>
    <row r="1949" spans="1:4" x14ac:dyDescent="0.35">
      <c r="A1949" t="s">
        <v>7</v>
      </c>
      <c r="B1949" t="s">
        <v>5</v>
      </c>
      <c r="C1949" t="s">
        <v>36</v>
      </c>
      <c r="D1949">
        <v>0</v>
      </c>
    </row>
    <row r="1950" spans="1:4" x14ac:dyDescent="0.35">
      <c r="A1950" t="s">
        <v>8</v>
      </c>
      <c r="B1950" t="s">
        <v>5</v>
      </c>
      <c r="C1950" t="s">
        <v>36</v>
      </c>
      <c r="D1950">
        <v>0</v>
      </c>
    </row>
    <row r="1951" spans="1:4" x14ac:dyDescent="0.35">
      <c r="A1951" t="s">
        <v>9</v>
      </c>
      <c r="B1951" t="s">
        <v>5</v>
      </c>
      <c r="C1951" t="s">
        <v>36</v>
      </c>
      <c r="D1951">
        <v>0</v>
      </c>
    </row>
    <row r="1952" spans="1:4" x14ac:dyDescent="0.35">
      <c r="A1952" t="s">
        <v>10</v>
      </c>
      <c r="B1952" t="s">
        <v>5</v>
      </c>
      <c r="C1952" t="s">
        <v>36</v>
      </c>
      <c r="D1952">
        <v>0</v>
      </c>
    </row>
    <row r="1953" spans="1:4" x14ac:dyDescent="0.35">
      <c r="A1953" t="s">
        <v>11</v>
      </c>
      <c r="B1953" t="s">
        <v>5</v>
      </c>
      <c r="C1953" t="s">
        <v>36</v>
      </c>
      <c r="D1953">
        <v>0</v>
      </c>
    </row>
    <row r="1954" spans="1:4" x14ac:dyDescent="0.35">
      <c r="A1954" t="s">
        <v>12</v>
      </c>
      <c r="B1954" t="s">
        <v>5</v>
      </c>
      <c r="C1954" t="s">
        <v>36</v>
      </c>
      <c r="D1954">
        <v>0</v>
      </c>
    </row>
    <row r="1955" spans="1:4" x14ac:dyDescent="0.35">
      <c r="A1955" t="s">
        <v>13</v>
      </c>
      <c r="B1955" t="s">
        <v>5</v>
      </c>
      <c r="C1955" t="s">
        <v>36</v>
      </c>
      <c r="D1955">
        <v>0</v>
      </c>
    </row>
    <row r="1956" spans="1:4" x14ac:dyDescent="0.35">
      <c r="A1956" t="s">
        <v>14</v>
      </c>
      <c r="B1956" t="s">
        <v>5</v>
      </c>
      <c r="C1956" t="s">
        <v>36</v>
      </c>
      <c r="D1956">
        <v>0</v>
      </c>
    </row>
    <row r="1957" spans="1:4" x14ac:dyDescent="0.35">
      <c r="A1957" t="s">
        <v>15</v>
      </c>
      <c r="B1957" t="s">
        <v>5</v>
      </c>
      <c r="C1957" t="s">
        <v>36</v>
      </c>
      <c r="D1957">
        <v>0</v>
      </c>
    </row>
    <row r="1958" spans="1:4" x14ac:dyDescent="0.35">
      <c r="A1958" t="s">
        <v>16</v>
      </c>
      <c r="B1958" t="s">
        <v>5</v>
      </c>
      <c r="C1958" t="s">
        <v>36</v>
      </c>
      <c r="D1958">
        <v>0</v>
      </c>
    </row>
    <row r="1959" spans="1:4" x14ac:dyDescent="0.35">
      <c r="A1959" t="s">
        <v>17</v>
      </c>
      <c r="B1959" t="s">
        <v>5</v>
      </c>
      <c r="C1959" t="s">
        <v>36</v>
      </c>
      <c r="D1959">
        <v>0</v>
      </c>
    </row>
    <row r="1960" spans="1:4" x14ac:dyDescent="0.35">
      <c r="A1960" t="s">
        <v>18</v>
      </c>
      <c r="B1960" t="s">
        <v>5</v>
      </c>
      <c r="C1960" t="s">
        <v>36</v>
      </c>
      <c r="D1960">
        <v>0</v>
      </c>
    </row>
    <row r="1961" spans="1:4" x14ac:dyDescent="0.35">
      <c r="A1961" t="s">
        <v>19</v>
      </c>
      <c r="B1961" t="s">
        <v>5</v>
      </c>
      <c r="C1961" t="s">
        <v>36</v>
      </c>
      <c r="D1961">
        <v>0</v>
      </c>
    </row>
    <row r="1962" spans="1:4" x14ac:dyDescent="0.35">
      <c r="A1962" t="s">
        <v>20</v>
      </c>
      <c r="B1962" t="s">
        <v>5</v>
      </c>
      <c r="C1962" t="s">
        <v>36</v>
      </c>
      <c r="D1962">
        <v>0</v>
      </c>
    </row>
    <row r="1963" spans="1:4" x14ac:dyDescent="0.35">
      <c r="A1963" t="s">
        <v>21</v>
      </c>
      <c r="B1963" t="s">
        <v>5</v>
      </c>
      <c r="C1963" t="s">
        <v>36</v>
      </c>
      <c r="D1963">
        <v>0</v>
      </c>
    </row>
    <row r="1964" spans="1:4" x14ac:dyDescent="0.35">
      <c r="A1964" t="s">
        <v>22</v>
      </c>
      <c r="B1964" t="s">
        <v>5</v>
      </c>
      <c r="C1964" t="s">
        <v>36</v>
      </c>
      <c r="D1964">
        <v>0</v>
      </c>
    </row>
    <row r="1965" spans="1:4" x14ac:dyDescent="0.35">
      <c r="A1965" t="s">
        <v>23</v>
      </c>
      <c r="B1965" t="s">
        <v>5</v>
      </c>
      <c r="C1965" t="s">
        <v>36</v>
      </c>
      <c r="D1965">
        <v>0</v>
      </c>
    </row>
    <row r="1966" spans="1:4" x14ac:dyDescent="0.35">
      <c r="A1966" t="s">
        <v>24</v>
      </c>
      <c r="B1966" t="s">
        <v>5</v>
      </c>
      <c r="C1966" t="s">
        <v>36</v>
      </c>
      <c r="D1966">
        <v>0</v>
      </c>
    </row>
    <row r="1967" spans="1:4" x14ac:dyDescent="0.35">
      <c r="A1967" t="s">
        <v>25</v>
      </c>
      <c r="B1967" t="s">
        <v>5</v>
      </c>
      <c r="C1967" t="s">
        <v>36</v>
      </c>
      <c r="D1967">
        <v>0</v>
      </c>
    </row>
    <row r="1968" spans="1:4" x14ac:dyDescent="0.35">
      <c r="A1968" t="s">
        <v>26</v>
      </c>
      <c r="B1968" t="s">
        <v>5</v>
      </c>
      <c r="C1968" t="s">
        <v>36</v>
      </c>
      <c r="D1968">
        <v>0</v>
      </c>
    </row>
    <row r="1969" spans="1:4" x14ac:dyDescent="0.35">
      <c r="A1969" t="s">
        <v>27</v>
      </c>
      <c r="B1969" t="s">
        <v>5</v>
      </c>
      <c r="C1969" t="s">
        <v>36</v>
      </c>
      <c r="D1969">
        <v>0</v>
      </c>
    </row>
    <row r="1970" spans="1:4" x14ac:dyDescent="0.35">
      <c r="A1970" t="s">
        <v>28</v>
      </c>
      <c r="B1970" t="s">
        <v>5</v>
      </c>
      <c r="C1970" t="s">
        <v>36</v>
      </c>
      <c r="D1970">
        <v>0</v>
      </c>
    </row>
    <row r="1971" spans="1:4" x14ac:dyDescent="0.35">
      <c r="A1971" t="s">
        <v>29</v>
      </c>
      <c r="B1971" t="s">
        <v>5</v>
      </c>
      <c r="C1971" t="s">
        <v>36</v>
      </c>
      <c r="D1971">
        <v>0</v>
      </c>
    </row>
    <row r="1972" spans="1:4" x14ac:dyDescent="0.35">
      <c r="A1972" t="s">
        <v>30</v>
      </c>
      <c r="B1972" t="s">
        <v>5</v>
      </c>
      <c r="C1972" t="s">
        <v>36</v>
      </c>
      <c r="D1972">
        <v>0</v>
      </c>
    </row>
    <row r="1973" spans="1:4" x14ac:dyDescent="0.35">
      <c r="A1973" t="s">
        <v>31</v>
      </c>
      <c r="B1973" t="s">
        <v>5</v>
      </c>
      <c r="C1973" t="s">
        <v>36</v>
      </c>
      <c r="D1973">
        <v>0</v>
      </c>
    </row>
    <row r="1974" spans="1:4" x14ac:dyDescent="0.35">
      <c r="A1974" t="s">
        <v>32</v>
      </c>
      <c r="B1974" t="s">
        <v>5</v>
      </c>
      <c r="C1974" t="s">
        <v>36</v>
      </c>
      <c r="D1974">
        <v>0</v>
      </c>
    </row>
    <row r="1975" spans="1:4" x14ac:dyDescent="0.35">
      <c r="A1975" t="s">
        <v>33</v>
      </c>
      <c r="B1975" t="s">
        <v>5</v>
      </c>
      <c r="C1975" t="s">
        <v>36</v>
      </c>
      <c r="D1975">
        <v>0</v>
      </c>
    </row>
    <row r="1976" spans="1:4" x14ac:dyDescent="0.35">
      <c r="A1976" t="s">
        <v>34</v>
      </c>
      <c r="B1976" t="s">
        <v>5</v>
      </c>
      <c r="C1976" t="s">
        <v>36</v>
      </c>
      <c r="D1976">
        <v>0</v>
      </c>
    </row>
    <row r="1977" spans="1:4" x14ac:dyDescent="0.35">
      <c r="A1977" t="s">
        <v>35</v>
      </c>
      <c r="B1977" t="s">
        <v>5</v>
      </c>
      <c r="C1977" t="s">
        <v>36</v>
      </c>
      <c r="D1977">
        <v>0</v>
      </c>
    </row>
    <row r="1978" spans="1:4" x14ac:dyDescent="0.35">
      <c r="A1978" t="s">
        <v>36</v>
      </c>
      <c r="B1978" t="s">
        <v>5</v>
      </c>
      <c r="C1978" t="s">
        <v>36</v>
      </c>
      <c r="D1978">
        <v>0</v>
      </c>
    </row>
    <row r="1979" spans="1:4" x14ac:dyDescent="0.35">
      <c r="A1979" t="s">
        <v>37</v>
      </c>
      <c r="B1979" t="s">
        <v>5</v>
      </c>
      <c r="C1979" t="s">
        <v>36</v>
      </c>
      <c r="D1979">
        <v>0</v>
      </c>
    </row>
    <row r="1980" spans="1:4" x14ac:dyDescent="0.35">
      <c r="A1980" t="s">
        <v>38</v>
      </c>
      <c r="B1980" t="s">
        <v>5</v>
      </c>
      <c r="C1980" t="s">
        <v>36</v>
      </c>
      <c r="D1980">
        <v>0</v>
      </c>
    </row>
    <row r="1981" spans="1:4" x14ac:dyDescent="0.35">
      <c r="A1981" t="s">
        <v>39</v>
      </c>
      <c r="B1981" t="s">
        <v>5</v>
      </c>
      <c r="C1981" t="s">
        <v>36</v>
      </c>
      <c r="D1981">
        <v>0</v>
      </c>
    </row>
    <row r="1982" spans="1:4" x14ac:dyDescent="0.35">
      <c r="A1982" t="s">
        <v>7</v>
      </c>
      <c r="B1982" t="s">
        <v>4</v>
      </c>
      <c r="C1982" t="s">
        <v>37</v>
      </c>
      <c r="D1982">
        <v>0</v>
      </c>
    </row>
    <row r="1983" spans="1:4" x14ac:dyDescent="0.35">
      <c r="A1983" t="s">
        <v>8</v>
      </c>
      <c r="B1983" t="s">
        <v>4</v>
      </c>
      <c r="C1983" t="s">
        <v>37</v>
      </c>
      <c r="D1983">
        <v>0</v>
      </c>
    </row>
    <row r="1984" spans="1:4" x14ac:dyDescent="0.35">
      <c r="A1984" t="s">
        <v>9</v>
      </c>
      <c r="B1984" t="s">
        <v>4</v>
      </c>
      <c r="C1984" t="s">
        <v>37</v>
      </c>
      <c r="D1984">
        <v>0</v>
      </c>
    </row>
    <row r="1985" spans="1:4" x14ac:dyDescent="0.35">
      <c r="A1985" t="s">
        <v>10</v>
      </c>
      <c r="B1985" t="s">
        <v>4</v>
      </c>
      <c r="C1985" t="s">
        <v>37</v>
      </c>
      <c r="D1985">
        <v>0</v>
      </c>
    </row>
    <row r="1986" spans="1:4" x14ac:dyDescent="0.35">
      <c r="A1986" t="s">
        <v>11</v>
      </c>
      <c r="B1986" t="s">
        <v>4</v>
      </c>
      <c r="C1986" t="s">
        <v>37</v>
      </c>
      <c r="D1986">
        <v>0</v>
      </c>
    </row>
    <row r="1987" spans="1:4" x14ac:dyDescent="0.35">
      <c r="A1987" t="s">
        <v>12</v>
      </c>
      <c r="B1987" t="s">
        <v>4</v>
      </c>
      <c r="C1987" t="s">
        <v>37</v>
      </c>
      <c r="D1987">
        <v>0</v>
      </c>
    </row>
    <row r="1988" spans="1:4" x14ac:dyDescent="0.35">
      <c r="A1988" t="s">
        <v>13</v>
      </c>
      <c r="B1988" t="s">
        <v>4</v>
      </c>
      <c r="C1988" t="s">
        <v>37</v>
      </c>
      <c r="D1988">
        <v>0</v>
      </c>
    </row>
    <row r="1989" spans="1:4" x14ac:dyDescent="0.35">
      <c r="A1989" t="s">
        <v>14</v>
      </c>
      <c r="B1989" t="s">
        <v>4</v>
      </c>
      <c r="C1989" t="s">
        <v>37</v>
      </c>
      <c r="D1989">
        <v>0</v>
      </c>
    </row>
    <row r="1990" spans="1:4" x14ac:dyDescent="0.35">
      <c r="A1990" t="s">
        <v>15</v>
      </c>
      <c r="B1990" t="s">
        <v>4</v>
      </c>
      <c r="C1990" t="s">
        <v>37</v>
      </c>
      <c r="D1990">
        <v>0</v>
      </c>
    </row>
    <row r="1991" spans="1:4" x14ac:dyDescent="0.35">
      <c r="A1991" t="s">
        <v>16</v>
      </c>
      <c r="B1991" t="s">
        <v>4</v>
      </c>
      <c r="C1991" t="s">
        <v>37</v>
      </c>
      <c r="D1991">
        <v>0</v>
      </c>
    </row>
    <row r="1992" spans="1:4" x14ac:dyDescent="0.35">
      <c r="A1992" t="s">
        <v>17</v>
      </c>
      <c r="B1992" t="s">
        <v>4</v>
      </c>
      <c r="C1992" t="s">
        <v>37</v>
      </c>
      <c r="D1992">
        <v>0</v>
      </c>
    </row>
    <row r="1993" spans="1:4" x14ac:dyDescent="0.35">
      <c r="A1993" t="s">
        <v>18</v>
      </c>
      <c r="B1993" t="s">
        <v>4</v>
      </c>
      <c r="C1993" t="s">
        <v>37</v>
      </c>
      <c r="D1993">
        <v>0</v>
      </c>
    </row>
    <row r="1994" spans="1:4" x14ac:dyDescent="0.35">
      <c r="A1994" t="s">
        <v>19</v>
      </c>
      <c r="B1994" t="s">
        <v>4</v>
      </c>
      <c r="C1994" t="s">
        <v>37</v>
      </c>
      <c r="D1994">
        <v>0</v>
      </c>
    </row>
    <row r="1995" spans="1:4" x14ac:dyDescent="0.35">
      <c r="A1995" t="s">
        <v>20</v>
      </c>
      <c r="B1995" t="s">
        <v>4</v>
      </c>
      <c r="C1995" t="s">
        <v>37</v>
      </c>
      <c r="D1995">
        <v>0</v>
      </c>
    </row>
    <row r="1996" spans="1:4" x14ac:dyDescent="0.35">
      <c r="A1996" t="s">
        <v>21</v>
      </c>
      <c r="B1996" t="s">
        <v>4</v>
      </c>
      <c r="C1996" t="s">
        <v>37</v>
      </c>
      <c r="D1996">
        <v>0</v>
      </c>
    </row>
    <row r="1997" spans="1:4" x14ac:dyDescent="0.35">
      <c r="A1997" t="s">
        <v>22</v>
      </c>
      <c r="B1997" t="s">
        <v>4</v>
      </c>
      <c r="C1997" t="s">
        <v>37</v>
      </c>
      <c r="D1997">
        <v>0</v>
      </c>
    </row>
    <row r="1998" spans="1:4" x14ac:dyDescent="0.35">
      <c r="A1998" t="s">
        <v>23</v>
      </c>
      <c r="B1998" t="s">
        <v>4</v>
      </c>
      <c r="C1998" t="s">
        <v>37</v>
      </c>
      <c r="D1998">
        <v>0</v>
      </c>
    </row>
    <row r="1999" spans="1:4" x14ac:dyDescent="0.35">
      <c r="A1999" t="s">
        <v>24</v>
      </c>
      <c r="B1999" t="s">
        <v>4</v>
      </c>
      <c r="C1999" t="s">
        <v>37</v>
      </c>
      <c r="D1999">
        <v>0</v>
      </c>
    </row>
    <row r="2000" spans="1:4" x14ac:dyDescent="0.35">
      <c r="A2000" t="s">
        <v>25</v>
      </c>
      <c r="B2000" t="s">
        <v>4</v>
      </c>
      <c r="C2000" t="s">
        <v>37</v>
      </c>
      <c r="D2000">
        <v>0</v>
      </c>
    </row>
    <row r="2001" spans="1:4" x14ac:dyDescent="0.35">
      <c r="A2001" t="s">
        <v>26</v>
      </c>
      <c r="B2001" t="s">
        <v>4</v>
      </c>
      <c r="C2001" t="s">
        <v>37</v>
      </c>
      <c r="D2001">
        <v>0</v>
      </c>
    </row>
    <row r="2002" spans="1:4" x14ac:dyDescent="0.35">
      <c r="A2002" t="s">
        <v>27</v>
      </c>
      <c r="B2002" t="s">
        <v>4</v>
      </c>
      <c r="C2002" t="s">
        <v>37</v>
      </c>
      <c r="D2002">
        <v>0</v>
      </c>
    </row>
    <row r="2003" spans="1:4" x14ac:dyDescent="0.35">
      <c r="A2003" t="s">
        <v>28</v>
      </c>
      <c r="B2003" t="s">
        <v>4</v>
      </c>
      <c r="C2003" t="s">
        <v>37</v>
      </c>
      <c r="D2003">
        <v>0</v>
      </c>
    </row>
    <row r="2004" spans="1:4" x14ac:dyDescent="0.35">
      <c r="A2004" t="s">
        <v>29</v>
      </c>
      <c r="B2004" t="s">
        <v>4</v>
      </c>
      <c r="C2004" t="s">
        <v>37</v>
      </c>
      <c r="D2004">
        <v>0</v>
      </c>
    </row>
    <row r="2005" spans="1:4" x14ac:dyDescent="0.35">
      <c r="A2005" t="s">
        <v>30</v>
      </c>
      <c r="B2005" t="s">
        <v>4</v>
      </c>
      <c r="C2005" t="s">
        <v>37</v>
      </c>
      <c r="D2005">
        <v>0</v>
      </c>
    </row>
    <row r="2006" spans="1:4" x14ac:dyDescent="0.35">
      <c r="A2006" t="s">
        <v>31</v>
      </c>
      <c r="B2006" t="s">
        <v>4</v>
      </c>
      <c r="C2006" t="s">
        <v>37</v>
      </c>
      <c r="D2006">
        <v>0</v>
      </c>
    </row>
    <row r="2007" spans="1:4" x14ac:dyDescent="0.35">
      <c r="A2007" t="s">
        <v>32</v>
      </c>
      <c r="B2007" t="s">
        <v>4</v>
      </c>
      <c r="C2007" t="s">
        <v>37</v>
      </c>
      <c r="D2007">
        <v>0</v>
      </c>
    </row>
    <row r="2008" spans="1:4" x14ac:dyDescent="0.35">
      <c r="A2008" t="s">
        <v>33</v>
      </c>
      <c r="B2008" t="s">
        <v>4</v>
      </c>
      <c r="C2008" t="s">
        <v>37</v>
      </c>
      <c r="D2008">
        <v>0</v>
      </c>
    </row>
    <row r="2009" spans="1:4" x14ac:dyDescent="0.35">
      <c r="A2009" t="s">
        <v>34</v>
      </c>
      <c r="B2009" t="s">
        <v>4</v>
      </c>
      <c r="C2009" t="s">
        <v>37</v>
      </c>
      <c r="D2009">
        <v>0</v>
      </c>
    </row>
    <row r="2010" spans="1:4" x14ac:dyDescent="0.35">
      <c r="A2010" t="s">
        <v>35</v>
      </c>
      <c r="B2010" t="s">
        <v>4</v>
      </c>
      <c r="C2010" t="s">
        <v>37</v>
      </c>
      <c r="D2010">
        <v>0</v>
      </c>
    </row>
    <row r="2011" spans="1:4" x14ac:dyDescent="0.35">
      <c r="A2011" t="s">
        <v>36</v>
      </c>
      <c r="B2011" t="s">
        <v>4</v>
      </c>
      <c r="C2011" t="s">
        <v>37</v>
      </c>
      <c r="D2011">
        <v>0</v>
      </c>
    </row>
    <row r="2012" spans="1:4" x14ac:dyDescent="0.35">
      <c r="A2012" t="s">
        <v>37</v>
      </c>
      <c r="B2012" t="s">
        <v>4</v>
      </c>
      <c r="C2012" t="s">
        <v>37</v>
      </c>
      <c r="D2012">
        <v>0</v>
      </c>
    </row>
    <row r="2013" spans="1:4" x14ac:dyDescent="0.35">
      <c r="A2013" t="s">
        <v>38</v>
      </c>
      <c r="B2013" t="s">
        <v>4</v>
      </c>
      <c r="C2013" t="s">
        <v>37</v>
      </c>
      <c r="D2013">
        <v>0</v>
      </c>
    </row>
    <row r="2014" spans="1:4" x14ac:dyDescent="0.35">
      <c r="A2014" t="s">
        <v>39</v>
      </c>
      <c r="B2014" t="s">
        <v>4</v>
      </c>
      <c r="C2014" t="s">
        <v>37</v>
      </c>
      <c r="D2014">
        <v>0</v>
      </c>
    </row>
    <row r="2015" spans="1:4" x14ac:dyDescent="0.35">
      <c r="A2015" t="s">
        <v>7</v>
      </c>
      <c r="B2015" t="s">
        <v>5</v>
      </c>
      <c r="C2015" t="s">
        <v>37</v>
      </c>
      <c r="D2015">
        <v>0</v>
      </c>
    </row>
    <row r="2016" spans="1:4" x14ac:dyDescent="0.35">
      <c r="A2016" t="s">
        <v>8</v>
      </c>
      <c r="B2016" t="s">
        <v>5</v>
      </c>
      <c r="C2016" t="s">
        <v>37</v>
      </c>
      <c r="D2016">
        <v>0</v>
      </c>
    </row>
    <row r="2017" spans="1:4" x14ac:dyDescent="0.35">
      <c r="A2017" t="s">
        <v>9</v>
      </c>
      <c r="B2017" t="s">
        <v>5</v>
      </c>
      <c r="C2017" t="s">
        <v>37</v>
      </c>
      <c r="D2017">
        <v>0</v>
      </c>
    </row>
    <row r="2018" spans="1:4" x14ac:dyDescent="0.35">
      <c r="A2018" t="s">
        <v>10</v>
      </c>
      <c r="B2018" t="s">
        <v>5</v>
      </c>
      <c r="C2018" t="s">
        <v>37</v>
      </c>
      <c r="D2018">
        <v>0</v>
      </c>
    </row>
    <row r="2019" spans="1:4" x14ac:dyDescent="0.35">
      <c r="A2019" t="s">
        <v>11</v>
      </c>
      <c r="B2019" t="s">
        <v>5</v>
      </c>
      <c r="C2019" t="s">
        <v>37</v>
      </c>
      <c r="D2019">
        <v>0</v>
      </c>
    </row>
    <row r="2020" spans="1:4" x14ac:dyDescent="0.35">
      <c r="A2020" t="s">
        <v>12</v>
      </c>
      <c r="B2020" t="s">
        <v>5</v>
      </c>
      <c r="C2020" t="s">
        <v>37</v>
      </c>
      <c r="D2020">
        <v>0</v>
      </c>
    </row>
    <row r="2021" spans="1:4" x14ac:dyDescent="0.35">
      <c r="A2021" t="s">
        <v>13</v>
      </c>
      <c r="B2021" t="s">
        <v>5</v>
      </c>
      <c r="C2021" t="s">
        <v>37</v>
      </c>
      <c r="D2021">
        <v>0</v>
      </c>
    </row>
    <row r="2022" spans="1:4" x14ac:dyDescent="0.35">
      <c r="A2022" t="s">
        <v>14</v>
      </c>
      <c r="B2022" t="s">
        <v>5</v>
      </c>
      <c r="C2022" t="s">
        <v>37</v>
      </c>
      <c r="D2022">
        <v>0</v>
      </c>
    </row>
    <row r="2023" spans="1:4" x14ac:dyDescent="0.35">
      <c r="A2023" t="s">
        <v>15</v>
      </c>
      <c r="B2023" t="s">
        <v>5</v>
      </c>
      <c r="C2023" t="s">
        <v>37</v>
      </c>
      <c r="D2023">
        <v>0</v>
      </c>
    </row>
    <row r="2024" spans="1:4" x14ac:dyDescent="0.35">
      <c r="A2024" t="s">
        <v>16</v>
      </c>
      <c r="B2024" t="s">
        <v>5</v>
      </c>
      <c r="C2024" t="s">
        <v>37</v>
      </c>
      <c r="D2024">
        <v>0</v>
      </c>
    </row>
    <row r="2025" spans="1:4" x14ac:dyDescent="0.35">
      <c r="A2025" t="s">
        <v>17</v>
      </c>
      <c r="B2025" t="s">
        <v>5</v>
      </c>
      <c r="C2025" t="s">
        <v>37</v>
      </c>
      <c r="D2025">
        <v>0</v>
      </c>
    </row>
    <row r="2026" spans="1:4" x14ac:dyDescent="0.35">
      <c r="A2026" t="s">
        <v>18</v>
      </c>
      <c r="B2026" t="s">
        <v>5</v>
      </c>
      <c r="C2026" t="s">
        <v>37</v>
      </c>
      <c r="D2026">
        <v>0</v>
      </c>
    </row>
    <row r="2027" spans="1:4" x14ac:dyDescent="0.35">
      <c r="A2027" t="s">
        <v>19</v>
      </c>
      <c r="B2027" t="s">
        <v>5</v>
      </c>
      <c r="C2027" t="s">
        <v>37</v>
      </c>
      <c r="D2027">
        <v>0</v>
      </c>
    </row>
    <row r="2028" spans="1:4" x14ac:dyDescent="0.35">
      <c r="A2028" t="s">
        <v>20</v>
      </c>
      <c r="B2028" t="s">
        <v>5</v>
      </c>
      <c r="C2028" t="s">
        <v>37</v>
      </c>
      <c r="D2028">
        <v>0</v>
      </c>
    </row>
    <row r="2029" spans="1:4" x14ac:dyDescent="0.35">
      <c r="A2029" t="s">
        <v>21</v>
      </c>
      <c r="B2029" t="s">
        <v>5</v>
      </c>
      <c r="C2029" t="s">
        <v>37</v>
      </c>
      <c r="D2029">
        <v>0</v>
      </c>
    </row>
    <row r="2030" spans="1:4" x14ac:dyDescent="0.35">
      <c r="A2030" t="s">
        <v>22</v>
      </c>
      <c r="B2030" t="s">
        <v>5</v>
      </c>
      <c r="C2030" t="s">
        <v>37</v>
      </c>
      <c r="D2030">
        <v>0</v>
      </c>
    </row>
    <row r="2031" spans="1:4" x14ac:dyDescent="0.35">
      <c r="A2031" t="s">
        <v>23</v>
      </c>
      <c r="B2031" t="s">
        <v>5</v>
      </c>
      <c r="C2031" t="s">
        <v>37</v>
      </c>
      <c r="D2031">
        <v>0</v>
      </c>
    </row>
    <row r="2032" spans="1:4" x14ac:dyDescent="0.35">
      <c r="A2032" t="s">
        <v>24</v>
      </c>
      <c r="B2032" t="s">
        <v>5</v>
      </c>
      <c r="C2032" t="s">
        <v>37</v>
      </c>
      <c r="D2032">
        <v>0</v>
      </c>
    </row>
    <row r="2033" spans="1:4" x14ac:dyDescent="0.35">
      <c r="A2033" t="s">
        <v>25</v>
      </c>
      <c r="B2033" t="s">
        <v>5</v>
      </c>
      <c r="C2033" t="s">
        <v>37</v>
      </c>
      <c r="D2033">
        <v>0</v>
      </c>
    </row>
    <row r="2034" spans="1:4" x14ac:dyDescent="0.35">
      <c r="A2034" t="s">
        <v>26</v>
      </c>
      <c r="B2034" t="s">
        <v>5</v>
      </c>
      <c r="C2034" t="s">
        <v>37</v>
      </c>
      <c r="D2034">
        <v>0</v>
      </c>
    </row>
    <row r="2035" spans="1:4" x14ac:dyDescent="0.35">
      <c r="A2035" t="s">
        <v>27</v>
      </c>
      <c r="B2035" t="s">
        <v>5</v>
      </c>
      <c r="C2035" t="s">
        <v>37</v>
      </c>
      <c r="D2035">
        <v>0</v>
      </c>
    </row>
    <row r="2036" spans="1:4" x14ac:dyDescent="0.35">
      <c r="A2036" t="s">
        <v>28</v>
      </c>
      <c r="B2036" t="s">
        <v>5</v>
      </c>
      <c r="C2036" t="s">
        <v>37</v>
      </c>
      <c r="D2036">
        <v>0</v>
      </c>
    </row>
    <row r="2037" spans="1:4" x14ac:dyDescent="0.35">
      <c r="A2037" t="s">
        <v>29</v>
      </c>
      <c r="B2037" t="s">
        <v>5</v>
      </c>
      <c r="C2037" t="s">
        <v>37</v>
      </c>
      <c r="D2037">
        <v>0</v>
      </c>
    </row>
    <row r="2038" spans="1:4" x14ac:dyDescent="0.35">
      <c r="A2038" t="s">
        <v>30</v>
      </c>
      <c r="B2038" t="s">
        <v>5</v>
      </c>
      <c r="C2038" t="s">
        <v>37</v>
      </c>
      <c r="D2038">
        <v>0</v>
      </c>
    </row>
    <row r="2039" spans="1:4" x14ac:dyDescent="0.35">
      <c r="A2039" t="s">
        <v>31</v>
      </c>
      <c r="B2039" t="s">
        <v>5</v>
      </c>
      <c r="C2039" t="s">
        <v>37</v>
      </c>
      <c r="D2039">
        <v>0</v>
      </c>
    </row>
    <row r="2040" spans="1:4" x14ac:dyDescent="0.35">
      <c r="A2040" t="s">
        <v>32</v>
      </c>
      <c r="B2040" t="s">
        <v>5</v>
      </c>
      <c r="C2040" t="s">
        <v>37</v>
      </c>
      <c r="D2040">
        <v>0</v>
      </c>
    </row>
    <row r="2041" spans="1:4" x14ac:dyDescent="0.35">
      <c r="A2041" t="s">
        <v>33</v>
      </c>
      <c r="B2041" t="s">
        <v>5</v>
      </c>
      <c r="C2041" t="s">
        <v>37</v>
      </c>
      <c r="D2041">
        <v>0</v>
      </c>
    </row>
    <row r="2042" spans="1:4" x14ac:dyDescent="0.35">
      <c r="A2042" t="s">
        <v>34</v>
      </c>
      <c r="B2042" t="s">
        <v>5</v>
      </c>
      <c r="C2042" t="s">
        <v>37</v>
      </c>
      <c r="D2042">
        <v>0</v>
      </c>
    </row>
    <row r="2043" spans="1:4" x14ac:dyDescent="0.35">
      <c r="A2043" t="s">
        <v>35</v>
      </c>
      <c r="B2043" t="s">
        <v>5</v>
      </c>
      <c r="C2043" t="s">
        <v>37</v>
      </c>
      <c r="D2043">
        <v>0</v>
      </c>
    </row>
    <row r="2044" spans="1:4" x14ac:dyDescent="0.35">
      <c r="A2044" t="s">
        <v>36</v>
      </c>
      <c r="B2044" t="s">
        <v>5</v>
      </c>
      <c r="C2044" t="s">
        <v>37</v>
      </c>
      <c r="D2044">
        <v>0</v>
      </c>
    </row>
    <row r="2045" spans="1:4" x14ac:dyDescent="0.35">
      <c r="A2045" t="s">
        <v>37</v>
      </c>
      <c r="B2045" t="s">
        <v>5</v>
      </c>
      <c r="C2045" t="s">
        <v>37</v>
      </c>
      <c r="D2045">
        <v>0</v>
      </c>
    </row>
    <row r="2046" spans="1:4" x14ac:dyDescent="0.35">
      <c r="A2046" t="s">
        <v>38</v>
      </c>
      <c r="B2046" t="s">
        <v>5</v>
      </c>
      <c r="C2046" t="s">
        <v>37</v>
      </c>
      <c r="D2046">
        <v>0</v>
      </c>
    </row>
    <row r="2047" spans="1:4" x14ac:dyDescent="0.35">
      <c r="A2047" t="s">
        <v>39</v>
      </c>
      <c r="B2047" t="s">
        <v>5</v>
      </c>
      <c r="C2047" t="s">
        <v>37</v>
      </c>
      <c r="D2047">
        <v>0</v>
      </c>
    </row>
    <row r="2048" spans="1:4" x14ac:dyDescent="0.35">
      <c r="A2048" t="s">
        <v>7</v>
      </c>
      <c r="B2048" t="s">
        <v>4</v>
      </c>
      <c r="C2048" t="s">
        <v>38</v>
      </c>
      <c r="D2048">
        <v>0</v>
      </c>
    </row>
    <row r="2049" spans="1:4" x14ac:dyDescent="0.35">
      <c r="A2049" t="s">
        <v>8</v>
      </c>
      <c r="B2049" t="s">
        <v>4</v>
      </c>
      <c r="C2049" t="s">
        <v>38</v>
      </c>
      <c r="D2049">
        <v>0</v>
      </c>
    </row>
    <row r="2050" spans="1:4" x14ac:dyDescent="0.35">
      <c r="A2050" t="s">
        <v>9</v>
      </c>
      <c r="B2050" t="s">
        <v>4</v>
      </c>
      <c r="C2050" t="s">
        <v>38</v>
      </c>
      <c r="D2050">
        <v>0</v>
      </c>
    </row>
    <row r="2051" spans="1:4" x14ac:dyDescent="0.35">
      <c r="A2051" t="s">
        <v>10</v>
      </c>
      <c r="B2051" t="s">
        <v>4</v>
      </c>
      <c r="C2051" t="s">
        <v>38</v>
      </c>
      <c r="D2051">
        <v>0</v>
      </c>
    </row>
    <row r="2052" spans="1:4" x14ac:dyDescent="0.35">
      <c r="A2052" t="s">
        <v>11</v>
      </c>
      <c r="B2052" t="s">
        <v>4</v>
      </c>
      <c r="C2052" t="s">
        <v>38</v>
      </c>
      <c r="D2052">
        <v>0</v>
      </c>
    </row>
    <row r="2053" spans="1:4" x14ac:dyDescent="0.35">
      <c r="A2053" t="s">
        <v>12</v>
      </c>
      <c r="B2053" t="s">
        <v>4</v>
      </c>
      <c r="C2053" t="s">
        <v>38</v>
      </c>
      <c r="D2053">
        <v>0</v>
      </c>
    </row>
    <row r="2054" spans="1:4" x14ac:dyDescent="0.35">
      <c r="A2054" t="s">
        <v>13</v>
      </c>
      <c r="B2054" t="s">
        <v>4</v>
      </c>
      <c r="C2054" t="s">
        <v>38</v>
      </c>
      <c r="D2054">
        <v>0</v>
      </c>
    </row>
    <row r="2055" spans="1:4" x14ac:dyDescent="0.35">
      <c r="A2055" t="s">
        <v>14</v>
      </c>
      <c r="B2055" t="s">
        <v>4</v>
      </c>
      <c r="C2055" t="s">
        <v>38</v>
      </c>
      <c r="D2055">
        <v>0</v>
      </c>
    </row>
    <row r="2056" spans="1:4" x14ac:dyDescent="0.35">
      <c r="A2056" t="s">
        <v>15</v>
      </c>
      <c r="B2056" t="s">
        <v>4</v>
      </c>
      <c r="C2056" t="s">
        <v>38</v>
      </c>
      <c r="D2056">
        <v>0</v>
      </c>
    </row>
    <row r="2057" spans="1:4" x14ac:dyDescent="0.35">
      <c r="A2057" t="s">
        <v>16</v>
      </c>
      <c r="B2057" t="s">
        <v>4</v>
      </c>
      <c r="C2057" t="s">
        <v>38</v>
      </c>
      <c r="D2057">
        <v>0</v>
      </c>
    </row>
    <row r="2058" spans="1:4" x14ac:dyDescent="0.35">
      <c r="A2058" t="s">
        <v>17</v>
      </c>
      <c r="B2058" t="s">
        <v>4</v>
      </c>
      <c r="C2058" t="s">
        <v>38</v>
      </c>
      <c r="D2058">
        <v>0</v>
      </c>
    </row>
    <row r="2059" spans="1:4" x14ac:dyDescent="0.35">
      <c r="A2059" t="s">
        <v>18</v>
      </c>
      <c r="B2059" t="s">
        <v>4</v>
      </c>
      <c r="C2059" t="s">
        <v>38</v>
      </c>
      <c r="D2059">
        <v>0</v>
      </c>
    </row>
    <row r="2060" spans="1:4" x14ac:dyDescent="0.35">
      <c r="A2060" t="s">
        <v>19</v>
      </c>
      <c r="B2060" t="s">
        <v>4</v>
      </c>
      <c r="C2060" t="s">
        <v>38</v>
      </c>
      <c r="D2060">
        <v>0</v>
      </c>
    </row>
    <row r="2061" spans="1:4" x14ac:dyDescent="0.35">
      <c r="A2061" t="s">
        <v>20</v>
      </c>
      <c r="B2061" t="s">
        <v>4</v>
      </c>
      <c r="C2061" t="s">
        <v>38</v>
      </c>
      <c r="D2061">
        <v>0</v>
      </c>
    </row>
    <row r="2062" spans="1:4" x14ac:dyDescent="0.35">
      <c r="A2062" t="s">
        <v>21</v>
      </c>
      <c r="B2062" t="s">
        <v>4</v>
      </c>
      <c r="C2062" t="s">
        <v>38</v>
      </c>
      <c r="D2062">
        <v>0</v>
      </c>
    </row>
    <row r="2063" spans="1:4" x14ac:dyDescent="0.35">
      <c r="A2063" t="s">
        <v>22</v>
      </c>
      <c r="B2063" t="s">
        <v>4</v>
      </c>
      <c r="C2063" t="s">
        <v>38</v>
      </c>
      <c r="D2063">
        <v>0</v>
      </c>
    </row>
    <row r="2064" spans="1:4" x14ac:dyDescent="0.35">
      <c r="A2064" t="s">
        <v>23</v>
      </c>
      <c r="B2064" t="s">
        <v>4</v>
      </c>
      <c r="C2064" t="s">
        <v>38</v>
      </c>
      <c r="D2064">
        <v>0</v>
      </c>
    </row>
    <row r="2065" spans="1:4" x14ac:dyDescent="0.35">
      <c r="A2065" t="s">
        <v>24</v>
      </c>
      <c r="B2065" t="s">
        <v>4</v>
      </c>
      <c r="C2065" t="s">
        <v>38</v>
      </c>
      <c r="D2065">
        <v>0</v>
      </c>
    </row>
    <row r="2066" spans="1:4" x14ac:dyDescent="0.35">
      <c r="A2066" t="s">
        <v>25</v>
      </c>
      <c r="B2066" t="s">
        <v>4</v>
      </c>
      <c r="C2066" t="s">
        <v>38</v>
      </c>
      <c r="D2066">
        <v>0</v>
      </c>
    </row>
    <row r="2067" spans="1:4" x14ac:dyDescent="0.35">
      <c r="A2067" t="s">
        <v>26</v>
      </c>
      <c r="B2067" t="s">
        <v>4</v>
      </c>
      <c r="C2067" t="s">
        <v>38</v>
      </c>
      <c r="D2067">
        <v>0</v>
      </c>
    </row>
    <row r="2068" spans="1:4" x14ac:dyDescent="0.35">
      <c r="A2068" t="s">
        <v>27</v>
      </c>
      <c r="B2068" t="s">
        <v>4</v>
      </c>
      <c r="C2068" t="s">
        <v>38</v>
      </c>
      <c r="D2068">
        <v>0</v>
      </c>
    </row>
    <row r="2069" spans="1:4" x14ac:dyDescent="0.35">
      <c r="A2069" t="s">
        <v>28</v>
      </c>
      <c r="B2069" t="s">
        <v>4</v>
      </c>
      <c r="C2069" t="s">
        <v>38</v>
      </c>
      <c r="D2069">
        <v>0</v>
      </c>
    </row>
    <row r="2070" spans="1:4" x14ac:dyDescent="0.35">
      <c r="A2070" t="s">
        <v>29</v>
      </c>
      <c r="B2070" t="s">
        <v>4</v>
      </c>
      <c r="C2070" t="s">
        <v>38</v>
      </c>
      <c r="D2070">
        <v>0</v>
      </c>
    </row>
    <row r="2071" spans="1:4" x14ac:dyDescent="0.35">
      <c r="A2071" t="s">
        <v>30</v>
      </c>
      <c r="B2071" t="s">
        <v>4</v>
      </c>
      <c r="C2071" t="s">
        <v>38</v>
      </c>
      <c r="D2071">
        <v>0</v>
      </c>
    </row>
    <row r="2072" spans="1:4" x14ac:dyDescent="0.35">
      <c r="A2072" t="s">
        <v>31</v>
      </c>
      <c r="B2072" t="s">
        <v>4</v>
      </c>
      <c r="C2072" t="s">
        <v>38</v>
      </c>
      <c r="D2072">
        <v>0</v>
      </c>
    </row>
    <row r="2073" spans="1:4" x14ac:dyDescent="0.35">
      <c r="A2073" t="s">
        <v>32</v>
      </c>
      <c r="B2073" t="s">
        <v>4</v>
      </c>
      <c r="C2073" t="s">
        <v>38</v>
      </c>
      <c r="D2073">
        <v>0</v>
      </c>
    </row>
    <row r="2074" spans="1:4" x14ac:dyDescent="0.35">
      <c r="A2074" t="s">
        <v>33</v>
      </c>
      <c r="B2074" t="s">
        <v>4</v>
      </c>
      <c r="C2074" t="s">
        <v>38</v>
      </c>
      <c r="D2074">
        <v>0</v>
      </c>
    </row>
    <row r="2075" spans="1:4" x14ac:dyDescent="0.35">
      <c r="A2075" t="s">
        <v>34</v>
      </c>
      <c r="B2075" t="s">
        <v>4</v>
      </c>
      <c r="C2075" t="s">
        <v>38</v>
      </c>
      <c r="D2075">
        <v>0</v>
      </c>
    </row>
    <row r="2076" spans="1:4" x14ac:dyDescent="0.35">
      <c r="A2076" t="s">
        <v>35</v>
      </c>
      <c r="B2076" t="s">
        <v>4</v>
      </c>
      <c r="C2076" t="s">
        <v>38</v>
      </c>
      <c r="D2076">
        <v>0</v>
      </c>
    </row>
    <row r="2077" spans="1:4" x14ac:dyDescent="0.35">
      <c r="A2077" t="s">
        <v>36</v>
      </c>
      <c r="B2077" t="s">
        <v>4</v>
      </c>
      <c r="C2077" t="s">
        <v>38</v>
      </c>
      <c r="D2077">
        <v>0</v>
      </c>
    </row>
    <row r="2078" spans="1:4" x14ac:dyDescent="0.35">
      <c r="A2078" t="s">
        <v>37</v>
      </c>
      <c r="B2078" t="s">
        <v>4</v>
      </c>
      <c r="C2078" t="s">
        <v>38</v>
      </c>
      <c r="D2078">
        <v>0</v>
      </c>
    </row>
    <row r="2079" spans="1:4" x14ac:dyDescent="0.35">
      <c r="A2079" t="s">
        <v>38</v>
      </c>
      <c r="B2079" t="s">
        <v>4</v>
      </c>
      <c r="C2079" t="s">
        <v>38</v>
      </c>
      <c r="D2079">
        <v>0</v>
      </c>
    </row>
    <row r="2080" spans="1:4" x14ac:dyDescent="0.35">
      <c r="A2080" t="s">
        <v>39</v>
      </c>
      <c r="B2080" t="s">
        <v>4</v>
      </c>
      <c r="C2080" t="s">
        <v>38</v>
      </c>
      <c r="D2080">
        <v>0</v>
      </c>
    </row>
    <row r="2081" spans="1:4" x14ac:dyDescent="0.35">
      <c r="A2081" t="s">
        <v>7</v>
      </c>
      <c r="B2081" t="s">
        <v>5</v>
      </c>
      <c r="C2081" t="s">
        <v>38</v>
      </c>
      <c r="D2081">
        <v>0</v>
      </c>
    </row>
    <row r="2082" spans="1:4" x14ac:dyDescent="0.35">
      <c r="A2082" t="s">
        <v>8</v>
      </c>
      <c r="B2082" t="s">
        <v>5</v>
      </c>
      <c r="C2082" t="s">
        <v>38</v>
      </c>
      <c r="D2082">
        <v>0</v>
      </c>
    </row>
    <row r="2083" spans="1:4" x14ac:dyDescent="0.35">
      <c r="A2083" t="s">
        <v>9</v>
      </c>
      <c r="B2083" t="s">
        <v>5</v>
      </c>
      <c r="C2083" t="s">
        <v>38</v>
      </c>
      <c r="D2083">
        <v>0</v>
      </c>
    </row>
    <row r="2084" spans="1:4" x14ac:dyDescent="0.35">
      <c r="A2084" t="s">
        <v>10</v>
      </c>
      <c r="B2084" t="s">
        <v>5</v>
      </c>
      <c r="C2084" t="s">
        <v>38</v>
      </c>
      <c r="D2084">
        <v>0</v>
      </c>
    </row>
    <row r="2085" spans="1:4" x14ac:dyDescent="0.35">
      <c r="A2085" t="s">
        <v>11</v>
      </c>
      <c r="B2085" t="s">
        <v>5</v>
      </c>
      <c r="C2085" t="s">
        <v>38</v>
      </c>
      <c r="D2085">
        <v>0</v>
      </c>
    </row>
    <row r="2086" spans="1:4" x14ac:dyDescent="0.35">
      <c r="A2086" t="s">
        <v>12</v>
      </c>
      <c r="B2086" t="s">
        <v>5</v>
      </c>
      <c r="C2086" t="s">
        <v>38</v>
      </c>
      <c r="D2086">
        <v>0</v>
      </c>
    </row>
    <row r="2087" spans="1:4" x14ac:dyDescent="0.35">
      <c r="A2087" t="s">
        <v>13</v>
      </c>
      <c r="B2087" t="s">
        <v>5</v>
      </c>
      <c r="C2087" t="s">
        <v>38</v>
      </c>
      <c r="D2087">
        <v>0</v>
      </c>
    </row>
    <row r="2088" spans="1:4" x14ac:dyDescent="0.35">
      <c r="A2088" t="s">
        <v>14</v>
      </c>
      <c r="B2088" t="s">
        <v>5</v>
      </c>
      <c r="C2088" t="s">
        <v>38</v>
      </c>
      <c r="D2088">
        <v>0</v>
      </c>
    </row>
    <row r="2089" spans="1:4" x14ac:dyDescent="0.35">
      <c r="A2089" t="s">
        <v>15</v>
      </c>
      <c r="B2089" t="s">
        <v>5</v>
      </c>
      <c r="C2089" t="s">
        <v>38</v>
      </c>
      <c r="D2089">
        <v>0</v>
      </c>
    </row>
    <row r="2090" spans="1:4" x14ac:dyDescent="0.35">
      <c r="A2090" t="s">
        <v>16</v>
      </c>
      <c r="B2090" t="s">
        <v>5</v>
      </c>
      <c r="C2090" t="s">
        <v>38</v>
      </c>
      <c r="D2090">
        <v>0</v>
      </c>
    </row>
    <row r="2091" spans="1:4" x14ac:dyDescent="0.35">
      <c r="A2091" t="s">
        <v>17</v>
      </c>
      <c r="B2091" t="s">
        <v>5</v>
      </c>
      <c r="C2091" t="s">
        <v>38</v>
      </c>
      <c r="D2091">
        <v>0</v>
      </c>
    </row>
    <row r="2092" spans="1:4" x14ac:dyDescent="0.35">
      <c r="A2092" t="s">
        <v>18</v>
      </c>
      <c r="B2092" t="s">
        <v>5</v>
      </c>
      <c r="C2092" t="s">
        <v>38</v>
      </c>
      <c r="D2092">
        <v>0</v>
      </c>
    </row>
    <row r="2093" spans="1:4" x14ac:dyDescent="0.35">
      <c r="A2093" t="s">
        <v>19</v>
      </c>
      <c r="B2093" t="s">
        <v>5</v>
      </c>
      <c r="C2093" t="s">
        <v>38</v>
      </c>
      <c r="D2093">
        <v>0</v>
      </c>
    </row>
    <row r="2094" spans="1:4" x14ac:dyDescent="0.35">
      <c r="A2094" t="s">
        <v>20</v>
      </c>
      <c r="B2094" t="s">
        <v>5</v>
      </c>
      <c r="C2094" t="s">
        <v>38</v>
      </c>
      <c r="D2094">
        <v>0</v>
      </c>
    </row>
    <row r="2095" spans="1:4" x14ac:dyDescent="0.35">
      <c r="A2095" t="s">
        <v>21</v>
      </c>
      <c r="B2095" t="s">
        <v>5</v>
      </c>
      <c r="C2095" t="s">
        <v>38</v>
      </c>
      <c r="D2095">
        <v>0</v>
      </c>
    </row>
    <row r="2096" spans="1:4" x14ac:dyDescent="0.35">
      <c r="A2096" t="s">
        <v>22</v>
      </c>
      <c r="B2096" t="s">
        <v>5</v>
      </c>
      <c r="C2096" t="s">
        <v>38</v>
      </c>
      <c r="D2096">
        <v>0</v>
      </c>
    </row>
    <row r="2097" spans="1:4" x14ac:dyDescent="0.35">
      <c r="A2097" t="s">
        <v>23</v>
      </c>
      <c r="B2097" t="s">
        <v>5</v>
      </c>
      <c r="C2097" t="s">
        <v>38</v>
      </c>
      <c r="D2097">
        <v>0</v>
      </c>
    </row>
    <row r="2098" spans="1:4" x14ac:dyDescent="0.35">
      <c r="A2098" t="s">
        <v>24</v>
      </c>
      <c r="B2098" t="s">
        <v>5</v>
      </c>
      <c r="C2098" t="s">
        <v>38</v>
      </c>
      <c r="D2098">
        <v>0</v>
      </c>
    </row>
    <row r="2099" spans="1:4" x14ac:dyDescent="0.35">
      <c r="A2099" t="s">
        <v>25</v>
      </c>
      <c r="B2099" t="s">
        <v>5</v>
      </c>
      <c r="C2099" t="s">
        <v>38</v>
      </c>
      <c r="D2099">
        <v>0</v>
      </c>
    </row>
    <row r="2100" spans="1:4" x14ac:dyDescent="0.35">
      <c r="A2100" t="s">
        <v>26</v>
      </c>
      <c r="B2100" t="s">
        <v>5</v>
      </c>
      <c r="C2100" t="s">
        <v>38</v>
      </c>
      <c r="D2100">
        <v>0</v>
      </c>
    </row>
    <row r="2101" spans="1:4" x14ac:dyDescent="0.35">
      <c r="A2101" t="s">
        <v>27</v>
      </c>
      <c r="B2101" t="s">
        <v>5</v>
      </c>
      <c r="C2101" t="s">
        <v>38</v>
      </c>
      <c r="D2101">
        <v>0</v>
      </c>
    </row>
    <row r="2102" spans="1:4" x14ac:dyDescent="0.35">
      <c r="A2102" t="s">
        <v>28</v>
      </c>
      <c r="B2102" t="s">
        <v>5</v>
      </c>
      <c r="C2102" t="s">
        <v>38</v>
      </c>
      <c r="D2102">
        <v>0</v>
      </c>
    </row>
    <row r="2103" spans="1:4" x14ac:dyDescent="0.35">
      <c r="A2103" t="s">
        <v>29</v>
      </c>
      <c r="B2103" t="s">
        <v>5</v>
      </c>
      <c r="C2103" t="s">
        <v>38</v>
      </c>
      <c r="D2103">
        <v>0</v>
      </c>
    </row>
    <row r="2104" spans="1:4" x14ac:dyDescent="0.35">
      <c r="A2104" t="s">
        <v>30</v>
      </c>
      <c r="B2104" t="s">
        <v>5</v>
      </c>
      <c r="C2104" t="s">
        <v>38</v>
      </c>
      <c r="D2104">
        <v>0</v>
      </c>
    </row>
    <row r="2105" spans="1:4" x14ac:dyDescent="0.35">
      <c r="A2105" t="s">
        <v>31</v>
      </c>
      <c r="B2105" t="s">
        <v>5</v>
      </c>
      <c r="C2105" t="s">
        <v>38</v>
      </c>
      <c r="D2105">
        <v>0</v>
      </c>
    </row>
    <row r="2106" spans="1:4" x14ac:dyDescent="0.35">
      <c r="A2106" t="s">
        <v>32</v>
      </c>
      <c r="B2106" t="s">
        <v>5</v>
      </c>
      <c r="C2106" t="s">
        <v>38</v>
      </c>
      <c r="D2106">
        <v>0</v>
      </c>
    </row>
    <row r="2107" spans="1:4" x14ac:dyDescent="0.35">
      <c r="A2107" t="s">
        <v>33</v>
      </c>
      <c r="B2107" t="s">
        <v>5</v>
      </c>
      <c r="C2107" t="s">
        <v>38</v>
      </c>
      <c r="D2107">
        <v>0</v>
      </c>
    </row>
    <row r="2108" spans="1:4" x14ac:dyDescent="0.35">
      <c r="A2108" t="s">
        <v>34</v>
      </c>
      <c r="B2108" t="s">
        <v>5</v>
      </c>
      <c r="C2108" t="s">
        <v>38</v>
      </c>
      <c r="D2108">
        <v>0</v>
      </c>
    </row>
    <row r="2109" spans="1:4" x14ac:dyDescent="0.35">
      <c r="A2109" t="s">
        <v>35</v>
      </c>
      <c r="B2109" t="s">
        <v>5</v>
      </c>
      <c r="C2109" t="s">
        <v>38</v>
      </c>
      <c r="D2109">
        <v>0</v>
      </c>
    </row>
    <row r="2110" spans="1:4" x14ac:dyDescent="0.35">
      <c r="A2110" t="s">
        <v>36</v>
      </c>
      <c r="B2110" t="s">
        <v>5</v>
      </c>
      <c r="C2110" t="s">
        <v>38</v>
      </c>
      <c r="D2110">
        <v>0</v>
      </c>
    </row>
    <row r="2111" spans="1:4" x14ac:dyDescent="0.35">
      <c r="A2111" t="s">
        <v>37</v>
      </c>
      <c r="B2111" t="s">
        <v>5</v>
      </c>
      <c r="C2111" t="s">
        <v>38</v>
      </c>
      <c r="D2111">
        <v>0</v>
      </c>
    </row>
    <row r="2112" spans="1:4" x14ac:dyDescent="0.35">
      <c r="A2112" t="s">
        <v>38</v>
      </c>
      <c r="B2112" t="s">
        <v>5</v>
      </c>
      <c r="C2112" t="s">
        <v>38</v>
      </c>
      <c r="D2112">
        <v>0</v>
      </c>
    </row>
    <row r="2113" spans="1:4" x14ac:dyDescent="0.35">
      <c r="A2113" t="s">
        <v>39</v>
      </c>
      <c r="B2113" t="s">
        <v>5</v>
      </c>
      <c r="C2113" t="s">
        <v>38</v>
      </c>
      <c r="D2113">
        <v>0</v>
      </c>
    </row>
    <row r="2114" spans="1:4" x14ac:dyDescent="0.35">
      <c r="A2114" t="s">
        <v>7</v>
      </c>
      <c r="B2114" t="s">
        <v>4</v>
      </c>
      <c r="C2114" t="s">
        <v>39</v>
      </c>
      <c r="D2114">
        <v>0</v>
      </c>
    </row>
    <row r="2115" spans="1:4" x14ac:dyDescent="0.35">
      <c r="A2115" t="s">
        <v>8</v>
      </c>
      <c r="B2115" t="s">
        <v>4</v>
      </c>
      <c r="C2115" t="s">
        <v>39</v>
      </c>
      <c r="D2115">
        <v>0</v>
      </c>
    </row>
    <row r="2116" spans="1:4" x14ac:dyDescent="0.35">
      <c r="A2116" t="s">
        <v>9</v>
      </c>
      <c r="B2116" t="s">
        <v>4</v>
      </c>
      <c r="C2116" t="s">
        <v>39</v>
      </c>
      <c r="D2116">
        <v>0</v>
      </c>
    </row>
    <row r="2117" spans="1:4" x14ac:dyDescent="0.35">
      <c r="A2117" t="s">
        <v>10</v>
      </c>
      <c r="B2117" t="s">
        <v>4</v>
      </c>
      <c r="C2117" t="s">
        <v>39</v>
      </c>
      <c r="D2117">
        <v>0</v>
      </c>
    </row>
    <row r="2118" spans="1:4" x14ac:dyDescent="0.35">
      <c r="A2118" t="s">
        <v>11</v>
      </c>
      <c r="B2118" t="s">
        <v>4</v>
      </c>
      <c r="C2118" t="s">
        <v>39</v>
      </c>
      <c r="D2118">
        <v>0</v>
      </c>
    </row>
    <row r="2119" spans="1:4" x14ac:dyDescent="0.35">
      <c r="A2119" t="s">
        <v>12</v>
      </c>
      <c r="B2119" t="s">
        <v>4</v>
      </c>
      <c r="C2119" t="s">
        <v>39</v>
      </c>
      <c r="D2119">
        <v>0</v>
      </c>
    </row>
    <row r="2120" spans="1:4" x14ac:dyDescent="0.35">
      <c r="A2120" t="s">
        <v>13</v>
      </c>
      <c r="B2120" t="s">
        <v>4</v>
      </c>
      <c r="C2120" t="s">
        <v>39</v>
      </c>
      <c r="D2120">
        <v>0</v>
      </c>
    </row>
    <row r="2121" spans="1:4" x14ac:dyDescent="0.35">
      <c r="A2121" t="s">
        <v>14</v>
      </c>
      <c r="B2121" t="s">
        <v>4</v>
      </c>
      <c r="C2121" t="s">
        <v>39</v>
      </c>
      <c r="D2121">
        <v>0</v>
      </c>
    </row>
    <row r="2122" spans="1:4" x14ac:dyDescent="0.35">
      <c r="A2122" t="s">
        <v>15</v>
      </c>
      <c r="B2122" t="s">
        <v>4</v>
      </c>
      <c r="C2122" t="s">
        <v>39</v>
      </c>
      <c r="D2122">
        <v>0</v>
      </c>
    </row>
    <row r="2123" spans="1:4" x14ac:dyDescent="0.35">
      <c r="A2123" t="s">
        <v>16</v>
      </c>
      <c r="B2123" t="s">
        <v>4</v>
      </c>
      <c r="C2123" t="s">
        <v>39</v>
      </c>
      <c r="D2123">
        <v>0</v>
      </c>
    </row>
    <row r="2124" spans="1:4" x14ac:dyDescent="0.35">
      <c r="A2124" t="s">
        <v>17</v>
      </c>
      <c r="B2124" t="s">
        <v>4</v>
      </c>
      <c r="C2124" t="s">
        <v>39</v>
      </c>
      <c r="D2124">
        <v>0</v>
      </c>
    </row>
    <row r="2125" spans="1:4" x14ac:dyDescent="0.35">
      <c r="A2125" t="s">
        <v>18</v>
      </c>
      <c r="B2125" t="s">
        <v>4</v>
      </c>
      <c r="C2125" t="s">
        <v>39</v>
      </c>
      <c r="D2125">
        <v>0</v>
      </c>
    </row>
    <row r="2126" spans="1:4" x14ac:dyDescent="0.35">
      <c r="A2126" t="s">
        <v>19</v>
      </c>
      <c r="B2126" t="s">
        <v>4</v>
      </c>
      <c r="C2126" t="s">
        <v>39</v>
      </c>
      <c r="D2126">
        <v>0</v>
      </c>
    </row>
    <row r="2127" spans="1:4" x14ac:dyDescent="0.35">
      <c r="A2127" t="s">
        <v>20</v>
      </c>
      <c r="B2127" t="s">
        <v>4</v>
      </c>
      <c r="C2127" t="s">
        <v>39</v>
      </c>
      <c r="D2127">
        <v>0</v>
      </c>
    </row>
    <row r="2128" spans="1:4" x14ac:dyDescent="0.35">
      <c r="A2128" t="s">
        <v>21</v>
      </c>
      <c r="B2128" t="s">
        <v>4</v>
      </c>
      <c r="C2128" t="s">
        <v>39</v>
      </c>
      <c r="D2128">
        <v>0</v>
      </c>
    </row>
    <row r="2129" spans="1:4" x14ac:dyDescent="0.35">
      <c r="A2129" t="s">
        <v>22</v>
      </c>
      <c r="B2129" t="s">
        <v>4</v>
      </c>
      <c r="C2129" t="s">
        <v>39</v>
      </c>
      <c r="D2129">
        <v>0</v>
      </c>
    </row>
    <row r="2130" spans="1:4" x14ac:dyDescent="0.35">
      <c r="A2130" t="s">
        <v>23</v>
      </c>
      <c r="B2130" t="s">
        <v>4</v>
      </c>
      <c r="C2130" t="s">
        <v>39</v>
      </c>
      <c r="D2130">
        <v>0</v>
      </c>
    </row>
    <row r="2131" spans="1:4" x14ac:dyDescent="0.35">
      <c r="A2131" t="s">
        <v>24</v>
      </c>
      <c r="B2131" t="s">
        <v>4</v>
      </c>
      <c r="C2131" t="s">
        <v>39</v>
      </c>
      <c r="D2131">
        <v>0</v>
      </c>
    </row>
    <row r="2132" spans="1:4" x14ac:dyDescent="0.35">
      <c r="A2132" t="s">
        <v>25</v>
      </c>
      <c r="B2132" t="s">
        <v>4</v>
      </c>
      <c r="C2132" t="s">
        <v>39</v>
      </c>
      <c r="D2132">
        <v>0</v>
      </c>
    </row>
    <row r="2133" spans="1:4" x14ac:dyDescent="0.35">
      <c r="A2133" t="s">
        <v>26</v>
      </c>
      <c r="B2133" t="s">
        <v>4</v>
      </c>
      <c r="C2133" t="s">
        <v>39</v>
      </c>
      <c r="D2133">
        <v>0</v>
      </c>
    </row>
    <row r="2134" spans="1:4" x14ac:dyDescent="0.35">
      <c r="A2134" t="s">
        <v>27</v>
      </c>
      <c r="B2134" t="s">
        <v>4</v>
      </c>
      <c r="C2134" t="s">
        <v>39</v>
      </c>
      <c r="D2134">
        <v>0</v>
      </c>
    </row>
    <row r="2135" spans="1:4" x14ac:dyDescent="0.35">
      <c r="A2135" t="s">
        <v>28</v>
      </c>
      <c r="B2135" t="s">
        <v>4</v>
      </c>
      <c r="C2135" t="s">
        <v>39</v>
      </c>
      <c r="D2135">
        <v>0</v>
      </c>
    </row>
    <row r="2136" spans="1:4" x14ac:dyDescent="0.35">
      <c r="A2136" t="s">
        <v>29</v>
      </c>
      <c r="B2136" t="s">
        <v>4</v>
      </c>
      <c r="C2136" t="s">
        <v>39</v>
      </c>
      <c r="D2136">
        <v>0</v>
      </c>
    </row>
    <row r="2137" spans="1:4" x14ac:dyDescent="0.35">
      <c r="A2137" t="s">
        <v>30</v>
      </c>
      <c r="B2137" t="s">
        <v>4</v>
      </c>
      <c r="C2137" t="s">
        <v>39</v>
      </c>
      <c r="D2137">
        <v>0</v>
      </c>
    </row>
    <row r="2138" spans="1:4" x14ac:dyDescent="0.35">
      <c r="A2138" t="s">
        <v>31</v>
      </c>
      <c r="B2138" t="s">
        <v>4</v>
      </c>
      <c r="C2138" t="s">
        <v>39</v>
      </c>
      <c r="D2138">
        <v>0</v>
      </c>
    </row>
    <row r="2139" spans="1:4" x14ac:dyDescent="0.35">
      <c r="A2139" t="s">
        <v>32</v>
      </c>
      <c r="B2139" t="s">
        <v>4</v>
      </c>
      <c r="C2139" t="s">
        <v>39</v>
      </c>
      <c r="D2139">
        <v>0</v>
      </c>
    </row>
    <row r="2140" spans="1:4" x14ac:dyDescent="0.35">
      <c r="A2140" t="s">
        <v>33</v>
      </c>
      <c r="B2140" t="s">
        <v>4</v>
      </c>
      <c r="C2140" t="s">
        <v>39</v>
      </c>
      <c r="D2140">
        <v>0</v>
      </c>
    </row>
    <row r="2141" spans="1:4" x14ac:dyDescent="0.35">
      <c r="A2141" t="s">
        <v>34</v>
      </c>
      <c r="B2141" t="s">
        <v>4</v>
      </c>
      <c r="C2141" t="s">
        <v>39</v>
      </c>
      <c r="D2141">
        <v>0</v>
      </c>
    </row>
    <row r="2142" spans="1:4" x14ac:dyDescent="0.35">
      <c r="A2142" t="s">
        <v>35</v>
      </c>
      <c r="B2142" t="s">
        <v>4</v>
      </c>
      <c r="C2142" t="s">
        <v>39</v>
      </c>
      <c r="D2142">
        <v>0</v>
      </c>
    </row>
    <row r="2143" spans="1:4" x14ac:dyDescent="0.35">
      <c r="A2143" t="s">
        <v>36</v>
      </c>
      <c r="B2143" t="s">
        <v>4</v>
      </c>
      <c r="C2143" t="s">
        <v>39</v>
      </c>
      <c r="D2143">
        <v>0</v>
      </c>
    </row>
    <row r="2144" spans="1:4" x14ac:dyDescent="0.35">
      <c r="A2144" t="s">
        <v>37</v>
      </c>
      <c r="B2144" t="s">
        <v>4</v>
      </c>
      <c r="C2144" t="s">
        <v>39</v>
      </c>
      <c r="D2144">
        <v>0</v>
      </c>
    </row>
    <row r="2145" spans="1:4" x14ac:dyDescent="0.35">
      <c r="A2145" t="s">
        <v>38</v>
      </c>
      <c r="B2145" t="s">
        <v>4</v>
      </c>
      <c r="C2145" t="s">
        <v>39</v>
      </c>
      <c r="D2145">
        <v>0</v>
      </c>
    </row>
    <row r="2146" spans="1:4" x14ac:dyDescent="0.35">
      <c r="A2146" t="s">
        <v>39</v>
      </c>
      <c r="B2146" t="s">
        <v>4</v>
      </c>
      <c r="C2146" t="s">
        <v>39</v>
      </c>
      <c r="D2146">
        <v>0</v>
      </c>
    </row>
    <row r="2147" spans="1:4" x14ac:dyDescent="0.35">
      <c r="A2147" t="s">
        <v>7</v>
      </c>
      <c r="B2147" t="s">
        <v>5</v>
      </c>
      <c r="C2147" t="s">
        <v>39</v>
      </c>
      <c r="D2147">
        <v>0</v>
      </c>
    </row>
    <row r="2148" spans="1:4" x14ac:dyDescent="0.35">
      <c r="A2148" t="s">
        <v>8</v>
      </c>
      <c r="B2148" t="s">
        <v>5</v>
      </c>
      <c r="C2148" t="s">
        <v>39</v>
      </c>
      <c r="D2148">
        <v>0</v>
      </c>
    </row>
    <row r="2149" spans="1:4" x14ac:dyDescent="0.35">
      <c r="A2149" t="s">
        <v>9</v>
      </c>
      <c r="B2149" t="s">
        <v>5</v>
      </c>
      <c r="C2149" t="s">
        <v>39</v>
      </c>
      <c r="D2149">
        <v>0</v>
      </c>
    </row>
    <row r="2150" spans="1:4" x14ac:dyDescent="0.35">
      <c r="A2150" t="s">
        <v>10</v>
      </c>
      <c r="B2150" t="s">
        <v>5</v>
      </c>
      <c r="C2150" t="s">
        <v>39</v>
      </c>
      <c r="D2150">
        <v>0</v>
      </c>
    </row>
    <row r="2151" spans="1:4" x14ac:dyDescent="0.35">
      <c r="A2151" t="s">
        <v>11</v>
      </c>
      <c r="B2151" t="s">
        <v>5</v>
      </c>
      <c r="C2151" t="s">
        <v>39</v>
      </c>
      <c r="D2151">
        <v>0</v>
      </c>
    </row>
    <row r="2152" spans="1:4" x14ac:dyDescent="0.35">
      <c r="A2152" t="s">
        <v>12</v>
      </c>
      <c r="B2152" t="s">
        <v>5</v>
      </c>
      <c r="C2152" t="s">
        <v>39</v>
      </c>
      <c r="D2152">
        <v>0</v>
      </c>
    </row>
    <row r="2153" spans="1:4" x14ac:dyDescent="0.35">
      <c r="A2153" t="s">
        <v>13</v>
      </c>
      <c r="B2153" t="s">
        <v>5</v>
      </c>
      <c r="C2153" t="s">
        <v>39</v>
      </c>
      <c r="D2153">
        <v>0</v>
      </c>
    </row>
    <row r="2154" spans="1:4" x14ac:dyDescent="0.35">
      <c r="A2154" t="s">
        <v>14</v>
      </c>
      <c r="B2154" t="s">
        <v>5</v>
      </c>
      <c r="C2154" t="s">
        <v>39</v>
      </c>
      <c r="D2154">
        <v>0</v>
      </c>
    </row>
    <row r="2155" spans="1:4" x14ac:dyDescent="0.35">
      <c r="A2155" t="s">
        <v>15</v>
      </c>
      <c r="B2155" t="s">
        <v>5</v>
      </c>
      <c r="C2155" t="s">
        <v>39</v>
      </c>
      <c r="D2155">
        <v>0</v>
      </c>
    </row>
    <row r="2156" spans="1:4" x14ac:dyDescent="0.35">
      <c r="A2156" t="s">
        <v>16</v>
      </c>
      <c r="B2156" t="s">
        <v>5</v>
      </c>
      <c r="C2156" t="s">
        <v>39</v>
      </c>
      <c r="D2156">
        <v>0</v>
      </c>
    </row>
    <row r="2157" spans="1:4" x14ac:dyDescent="0.35">
      <c r="A2157" t="s">
        <v>17</v>
      </c>
      <c r="B2157" t="s">
        <v>5</v>
      </c>
      <c r="C2157" t="s">
        <v>39</v>
      </c>
      <c r="D2157">
        <v>0</v>
      </c>
    </row>
    <row r="2158" spans="1:4" x14ac:dyDescent="0.35">
      <c r="A2158" t="s">
        <v>18</v>
      </c>
      <c r="B2158" t="s">
        <v>5</v>
      </c>
      <c r="C2158" t="s">
        <v>39</v>
      </c>
      <c r="D2158">
        <v>0</v>
      </c>
    </row>
    <row r="2159" spans="1:4" x14ac:dyDescent="0.35">
      <c r="A2159" t="s">
        <v>19</v>
      </c>
      <c r="B2159" t="s">
        <v>5</v>
      </c>
      <c r="C2159" t="s">
        <v>39</v>
      </c>
      <c r="D2159">
        <v>0</v>
      </c>
    </row>
    <row r="2160" spans="1:4" x14ac:dyDescent="0.35">
      <c r="A2160" t="s">
        <v>20</v>
      </c>
      <c r="B2160" t="s">
        <v>5</v>
      </c>
      <c r="C2160" t="s">
        <v>39</v>
      </c>
      <c r="D2160">
        <v>0</v>
      </c>
    </row>
    <row r="2161" spans="1:4" x14ac:dyDescent="0.35">
      <c r="A2161" t="s">
        <v>21</v>
      </c>
      <c r="B2161" t="s">
        <v>5</v>
      </c>
      <c r="C2161" t="s">
        <v>39</v>
      </c>
      <c r="D2161">
        <v>0</v>
      </c>
    </row>
    <row r="2162" spans="1:4" x14ac:dyDescent="0.35">
      <c r="A2162" t="s">
        <v>22</v>
      </c>
      <c r="B2162" t="s">
        <v>5</v>
      </c>
      <c r="C2162" t="s">
        <v>39</v>
      </c>
      <c r="D2162">
        <v>0</v>
      </c>
    </row>
    <row r="2163" spans="1:4" x14ac:dyDescent="0.35">
      <c r="A2163" t="s">
        <v>23</v>
      </c>
      <c r="B2163" t="s">
        <v>5</v>
      </c>
      <c r="C2163" t="s">
        <v>39</v>
      </c>
      <c r="D2163">
        <v>0</v>
      </c>
    </row>
    <row r="2164" spans="1:4" x14ac:dyDescent="0.35">
      <c r="A2164" t="s">
        <v>24</v>
      </c>
      <c r="B2164" t="s">
        <v>5</v>
      </c>
      <c r="C2164" t="s">
        <v>39</v>
      </c>
      <c r="D2164">
        <v>0</v>
      </c>
    </row>
    <row r="2165" spans="1:4" x14ac:dyDescent="0.35">
      <c r="A2165" t="s">
        <v>25</v>
      </c>
      <c r="B2165" t="s">
        <v>5</v>
      </c>
      <c r="C2165" t="s">
        <v>39</v>
      </c>
      <c r="D2165">
        <v>0</v>
      </c>
    </row>
    <row r="2166" spans="1:4" x14ac:dyDescent="0.35">
      <c r="A2166" t="s">
        <v>26</v>
      </c>
      <c r="B2166" t="s">
        <v>5</v>
      </c>
      <c r="C2166" t="s">
        <v>39</v>
      </c>
      <c r="D2166">
        <v>0</v>
      </c>
    </row>
    <row r="2167" spans="1:4" x14ac:dyDescent="0.35">
      <c r="A2167" t="s">
        <v>27</v>
      </c>
      <c r="B2167" t="s">
        <v>5</v>
      </c>
      <c r="C2167" t="s">
        <v>39</v>
      </c>
      <c r="D2167">
        <v>0</v>
      </c>
    </row>
    <row r="2168" spans="1:4" x14ac:dyDescent="0.35">
      <c r="A2168" t="s">
        <v>28</v>
      </c>
      <c r="B2168" t="s">
        <v>5</v>
      </c>
      <c r="C2168" t="s">
        <v>39</v>
      </c>
      <c r="D2168">
        <v>0</v>
      </c>
    </row>
    <row r="2169" spans="1:4" x14ac:dyDescent="0.35">
      <c r="A2169" t="s">
        <v>29</v>
      </c>
      <c r="B2169" t="s">
        <v>5</v>
      </c>
      <c r="C2169" t="s">
        <v>39</v>
      </c>
      <c r="D2169">
        <v>0</v>
      </c>
    </row>
    <row r="2170" spans="1:4" x14ac:dyDescent="0.35">
      <c r="A2170" t="s">
        <v>30</v>
      </c>
      <c r="B2170" t="s">
        <v>5</v>
      </c>
      <c r="C2170" t="s">
        <v>39</v>
      </c>
      <c r="D2170">
        <v>0</v>
      </c>
    </row>
    <row r="2171" spans="1:4" x14ac:dyDescent="0.35">
      <c r="A2171" t="s">
        <v>31</v>
      </c>
      <c r="B2171" t="s">
        <v>5</v>
      </c>
      <c r="C2171" t="s">
        <v>39</v>
      </c>
      <c r="D2171">
        <v>0</v>
      </c>
    </row>
    <row r="2172" spans="1:4" x14ac:dyDescent="0.35">
      <c r="A2172" t="s">
        <v>32</v>
      </c>
      <c r="B2172" t="s">
        <v>5</v>
      </c>
      <c r="C2172" t="s">
        <v>39</v>
      </c>
      <c r="D2172">
        <v>0</v>
      </c>
    </row>
    <row r="2173" spans="1:4" x14ac:dyDescent="0.35">
      <c r="A2173" t="s">
        <v>33</v>
      </c>
      <c r="B2173" t="s">
        <v>5</v>
      </c>
      <c r="C2173" t="s">
        <v>39</v>
      </c>
      <c r="D2173">
        <v>0</v>
      </c>
    </row>
    <row r="2174" spans="1:4" x14ac:dyDescent="0.35">
      <c r="A2174" t="s">
        <v>34</v>
      </c>
      <c r="B2174" t="s">
        <v>5</v>
      </c>
      <c r="C2174" t="s">
        <v>39</v>
      </c>
      <c r="D2174">
        <v>0</v>
      </c>
    </row>
    <row r="2175" spans="1:4" x14ac:dyDescent="0.35">
      <c r="A2175" t="s">
        <v>35</v>
      </c>
      <c r="B2175" t="s">
        <v>5</v>
      </c>
      <c r="C2175" t="s">
        <v>39</v>
      </c>
      <c r="D2175">
        <v>0</v>
      </c>
    </row>
    <row r="2176" spans="1:4" x14ac:dyDescent="0.35">
      <c r="A2176" t="s">
        <v>36</v>
      </c>
      <c r="B2176" t="s">
        <v>5</v>
      </c>
      <c r="C2176" t="s">
        <v>39</v>
      </c>
      <c r="D2176">
        <v>0</v>
      </c>
    </row>
    <row r="2177" spans="1:4" x14ac:dyDescent="0.35">
      <c r="A2177" t="s">
        <v>37</v>
      </c>
      <c r="B2177" t="s">
        <v>5</v>
      </c>
      <c r="C2177" t="s">
        <v>39</v>
      </c>
      <c r="D2177">
        <v>0</v>
      </c>
    </row>
    <row r="2178" spans="1:4" x14ac:dyDescent="0.35">
      <c r="A2178" t="s">
        <v>38</v>
      </c>
      <c r="B2178" t="s">
        <v>5</v>
      </c>
      <c r="C2178" t="s">
        <v>39</v>
      </c>
      <c r="D2178">
        <v>0</v>
      </c>
    </row>
    <row r="2179" spans="1:4" x14ac:dyDescent="0.35">
      <c r="A2179" t="s">
        <v>39</v>
      </c>
      <c r="B2179" t="s">
        <v>5</v>
      </c>
      <c r="C2179" t="s">
        <v>39</v>
      </c>
      <c r="D2179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6"/>
  <dimension ref="A1:C67"/>
  <sheetViews>
    <sheetView workbookViewId="0">
      <selection activeCell="B2" sqref="B2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t="s">
        <v>7</v>
      </c>
      <c r="B2" t="s">
        <v>4</v>
      </c>
      <c r="C2">
        <v>0</v>
      </c>
    </row>
    <row r="3" spans="1:3" x14ac:dyDescent="0.35">
      <c r="A3" t="s">
        <v>8</v>
      </c>
      <c r="B3" t="s">
        <v>4</v>
      </c>
      <c r="C3">
        <v>0</v>
      </c>
    </row>
    <row r="4" spans="1:3" x14ac:dyDescent="0.35">
      <c r="A4" t="s">
        <v>9</v>
      </c>
      <c r="B4" t="s">
        <v>4</v>
      </c>
      <c r="C4">
        <v>0</v>
      </c>
    </row>
    <row r="5" spans="1:3" x14ac:dyDescent="0.35">
      <c r="A5" t="s">
        <v>10</v>
      </c>
      <c r="B5" t="s">
        <v>4</v>
      </c>
      <c r="C5">
        <v>0</v>
      </c>
    </row>
    <row r="6" spans="1:3" x14ac:dyDescent="0.35">
      <c r="A6" t="s">
        <v>11</v>
      </c>
      <c r="B6" t="s">
        <v>4</v>
      </c>
      <c r="C6">
        <v>0</v>
      </c>
    </row>
    <row r="7" spans="1:3" x14ac:dyDescent="0.35">
      <c r="A7" t="s">
        <v>12</v>
      </c>
      <c r="B7" t="s">
        <v>4</v>
      </c>
      <c r="C7">
        <v>0</v>
      </c>
    </row>
    <row r="8" spans="1:3" x14ac:dyDescent="0.35">
      <c r="A8" t="s">
        <v>13</v>
      </c>
      <c r="B8" t="s">
        <v>4</v>
      </c>
      <c r="C8">
        <v>0</v>
      </c>
    </row>
    <row r="9" spans="1:3" x14ac:dyDescent="0.35">
      <c r="A9" t="s">
        <v>14</v>
      </c>
      <c r="B9" t="s">
        <v>4</v>
      </c>
      <c r="C9">
        <v>0</v>
      </c>
    </row>
    <row r="10" spans="1:3" x14ac:dyDescent="0.35">
      <c r="A10" t="s">
        <v>15</v>
      </c>
      <c r="B10" t="s">
        <v>4</v>
      </c>
      <c r="C10">
        <v>0</v>
      </c>
    </row>
    <row r="11" spans="1:3" x14ac:dyDescent="0.35">
      <c r="A11" t="s">
        <v>16</v>
      </c>
      <c r="B11" t="s">
        <v>4</v>
      </c>
      <c r="C11">
        <v>0</v>
      </c>
    </row>
    <row r="12" spans="1:3" x14ac:dyDescent="0.35">
      <c r="A12" t="s">
        <v>17</v>
      </c>
      <c r="B12" t="s">
        <v>4</v>
      </c>
      <c r="C12">
        <v>0</v>
      </c>
    </row>
    <row r="13" spans="1:3" x14ac:dyDescent="0.35">
      <c r="A13" t="s">
        <v>18</v>
      </c>
      <c r="B13" t="s">
        <v>4</v>
      </c>
      <c r="C13">
        <v>0</v>
      </c>
    </row>
    <row r="14" spans="1:3" x14ac:dyDescent="0.35">
      <c r="A14" t="s">
        <v>19</v>
      </c>
      <c r="B14" t="s">
        <v>4</v>
      </c>
      <c r="C14">
        <v>0</v>
      </c>
    </row>
    <row r="15" spans="1:3" x14ac:dyDescent="0.35">
      <c r="A15" t="s">
        <v>20</v>
      </c>
      <c r="B15" t="s">
        <v>4</v>
      </c>
      <c r="C15">
        <v>0</v>
      </c>
    </row>
    <row r="16" spans="1:3" x14ac:dyDescent="0.35">
      <c r="A16" t="s">
        <v>21</v>
      </c>
      <c r="B16" t="s">
        <v>4</v>
      </c>
      <c r="C16">
        <v>0</v>
      </c>
    </row>
    <row r="17" spans="1:3" x14ac:dyDescent="0.35">
      <c r="A17" t="s">
        <v>22</v>
      </c>
      <c r="B17" t="s">
        <v>4</v>
      </c>
      <c r="C17">
        <v>0</v>
      </c>
    </row>
    <row r="18" spans="1:3" x14ac:dyDescent="0.35">
      <c r="A18" t="s">
        <v>23</v>
      </c>
      <c r="B18" t="s">
        <v>4</v>
      </c>
      <c r="C18">
        <v>0</v>
      </c>
    </row>
    <row r="19" spans="1:3" x14ac:dyDescent="0.35">
      <c r="A19" t="s">
        <v>24</v>
      </c>
      <c r="B19" t="s">
        <v>4</v>
      </c>
      <c r="C19">
        <v>0</v>
      </c>
    </row>
    <row r="20" spans="1:3" x14ac:dyDescent="0.35">
      <c r="A20" t="s">
        <v>25</v>
      </c>
      <c r="B20" t="s">
        <v>4</v>
      </c>
      <c r="C20">
        <v>0</v>
      </c>
    </row>
    <row r="21" spans="1:3" x14ac:dyDescent="0.35">
      <c r="A21" t="s">
        <v>26</v>
      </c>
      <c r="B21" t="s">
        <v>4</v>
      </c>
      <c r="C21">
        <v>0</v>
      </c>
    </row>
    <row r="22" spans="1:3" x14ac:dyDescent="0.35">
      <c r="A22" t="s">
        <v>27</v>
      </c>
      <c r="B22" t="s">
        <v>4</v>
      </c>
      <c r="C22">
        <v>0</v>
      </c>
    </row>
    <row r="23" spans="1:3" x14ac:dyDescent="0.35">
      <c r="A23" t="s">
        <v>28</v>
      </c>
      <c r="B23" t="s">
        <v>4</v>
      </c>
      <c r="C23">
        <v>0</v>
      </c>
    </row>
    <row r="24" spans="1:3" x14ac:dyDescent="0.35">
      <c r="A24" t="s">
        <v>29</v>
      </c>
      <c r="B24" t="s">
        <v>4</v>
      </c>
      <c r="C24">
        <v>0</v>
      </c>
    </row>
    <row r="25" spans="1:3" x14ac:dyDescent="0.35">
      <c r="A25" t="s">
        <v>30</v>
      </c>
      <c r="B25" t="s">
        <v>4</v>
      </c>
      <c r="C25">
        <v>0</v>
      </c>
    </row>
    <row r="26" spans="1:3" x14ac:dyDescent="0.35">
      <c r="A26" t="s">
        <v>31</v>
      </c>
      <c r="B26" t="s">
        <v>4</v>
      </c>
      <c r="C26">
        <v>0</v>
      </c>
    </row>
    <row r="27" spans="1:3" x14ac:dyDescent="0.35">
      <c r="A27" t="s">
        <v>32</v>
      </c>
      <c r="B27" t="s">
        <v>4</v>
      </c>
      <c r="C27">
        <v>0</v>
      </c>
    </row>
    <row r="28" spans="1:3" x14ac:dyDescent="0.35">
      <c r="A28" t="s">
        <v>33</v>
      </c>
      <c r="B28" t="s">
        <v>4</v>
      </c>
      <c r="C28">
        <v>0</v>
      </c>
    </row>
    <row r="29" spans="1:3" x14ac:dyDescent="0.35">
      <c r="A29" t="s">
        <v>34</v>
      </c>
      <c r="B29" t="s">
        <v>4</v>
      </c>
      <c r="C29">
        <v>0</v>
      </c>
    </row>
    <row r="30" spans="1:3" x14ac:dyDescent="0.35">
      <c r="A30" t="s">
        <v>35</v>
      </c>
      <c r="B30" t="s">
        <v>4</v>
      </c>
      <c r="C30">
        <v>0</v>
      </c>
    </row>
    <row r="31" spans="1:3" x14ac:dyDescent="0.35">
      <c r="A31" t="s">
        <v>36</v>
      </c>
      <c r="B31" t="s">
        <v>4</v>
      </c>
      <c r="C31">
        <v>0</v>
      </c>
    </row>
    <row r="32" spans="1:3" x14ac:dyDescent="0.35">
      <c r="A32" t="s">
        <v>37</v>
      </c>
      <c r="B32" t="s">
        <v>4</v>
      </c>
      <c r="C32">
        <v>0</v>
      </c>
    </row>
    <row r="33" spans="1:3" x14ac:dyDescent="0.35">
      <c r="A33" t="s">
        <v>38</v>
      </c>
      <c r="B33" t="s">
        <v>4</v>
      </c>
      <c r="C33">
        <v>0</v>
      </c>
    </row>
    <row r="34" spans="1:3" x14ac:dyDescent="0.35">
      <c r="A34" t="s">
        <v>39</v>
      </c>
      <c r="B34" t="s">
        <v>4</v>
      </c>
      <c r="C34">
        <v>0</v>
      </c>
    </row>
    <row r="35" spans="1:3" x14ac:dyDescent="0.35">
      <c r="A35" t="s">
        <v>7</v>
      </c>
      <c r="B35" t="s">
        <v>5</v>
      </c>
      <c r="C35">
        <v>0</v>
      </c>
    </row>
    <row r="36" spans="1:3" x14ac:dyDescent="0.35">
      <c r="A36" t="s">
        <v>8</v>
      </c>
      <c r="B36" t="s">
        <v>5</v>
      </c>
      <c r="C36">
        <v>0</v>
      </c>
    </row>
    <row r="37" spans="1:3" x14ac:dyDescent="0.35">
      <c r="A37" t="s">
        <v>9</v>
      </c>
      <c r="B37" t="s">
        <v>5</v>
      </c>
      <c r="C37">
        <v>0</v>
      </c>
    </row>
    <row r="38" spans="1:3" x14ac:dyDescent="0.35">
      <c r="A38" t="s">
        <v>10</v>
      </c>
      <c r="B38" t="s">
        <v>5</v>
      </c>
      <c r="C38">
        <v>0</v>
      </c>
    </row>
    <row r="39" spans="1:3" x14ac:dyDescent="0.35">
      <c r="A39" t="s">
        <v>11</v>
      </c>
      <c r="B39" t="s">
        <v>5</v>
      </c>
      <c r="C39">
        <v>0</v>
      </c>
    </row>
    <row r="40" spans="1:3" x14ac:dyDescent="0.35">
      <c r="A40" t="s">
        <v>12</v>
      </c>
      <c r="B40" t="s">
        <v>5</v>
      </c>
      <c r="C40">
        <v>0</v>
      </c>
    </row>
    <row r="41" spans="1:3" x14ac:dyDescent="0.35">
      <c r="A41" t="s">
        <v>13</v>
      </c>
      <c r="B41" t="s">
        <v>5</v>
      </c>
      <c r="C41">
        <v>0</v>
      </c>
    </row>
    <row r="42" spans="1:3" x14ac:dyDescent="0.35">
      <c r="A42" t="s">
        <v>14</v>
      </c>
      <c r="B42" t="s">
        <v>5</v>
      </c>
      <c r="C42">
        <v>0</v>
      </c>
    </row>
    <row r="43" spans="1:3" x14ac:dyDescent="0.35">
      <c r="A43" t="s">
        <v>15</v>
      </c>
      <c r="B43" t="s">
        <v>5</v>
      </c>
      <c r="C43">
        <v>0</v>
      </c>
    </row>
    <row r="44" spans="1:3" x14ac:dyDescent="0.35">
      <c r="A44" t="s">
        <v>16</v>
      </c>
      <c r="B44" t="s">
        <v>5</v>
      </c>
      <c r="C44">
        <v>0</v>
      </c>
    </row>
    <row r="45" spans="1:3" x14ac:dyDescent="0.35">
      <c r="A45" t="s">
        <v>17</v>
      </c>
      <c r="B45" t="s">
        <v>5</v>
      </c>
      <c r="C45">
        <v>0</v>
      </c>
    </row>
    <row r="46" spans="1:3" x14ac:dyDescent="0.35">
      <c r="A46" t="s">
        <v>18</v>
      </c>
      <c r="B46" t="s">
        <v>5</v>
      </c>
      <c r="C46">
        <v>0</v>
      </c>
    </row>
    <row r="47" spans="1:3" x14ac:dyDescent="0.35">
      <c r="A47" t="s">
        <v>19</v>
      </c>
      <c r="B47" t="s">
        <v>5</v>
      </c>
      <c r="C47">
        <v>0</v>
      </c>
    </row>
    <row r="48" spans="1:3" x14ac:dyDescent="0.35">
      <c r="A48" t="s">
        <v>20</v>
      </c>
      <c r="B48" t="s">
        <v>5</v>
      </c>
      <c r="C48">
        <v>0</v>
      </c>
    </row>
    <row r="49" spans="1:3" x14ac:dyDescent="0.35">
      <c r="A49" t="s">
        <v>21</v>
      </c>
      <c r="B49" t="s">
        <v>5</v>
      </c>
      <c r="C49">
        <v>0</v>
      </c>
    </row>
    <row r="50" spans="1:3" x14ac:dyDescent="0.35">
      <c r="A50" t="s">
        <v>22</v>
      </c>
      <c r="B50" t="s">
        <v>5</v>
      </c>
      <c r="C50">
        <v>0</v>
      </c>
    </row>
    <row r="51" spans="1:3" x14ac:dyDescent="0.35">
      <c r="A51" t="s">
        <v>23</v>
      </c>
      <c r="B51" t="s">
        <v>5</v>
      </c>
      <c r="C51">
        <v>0</v>
      </c>
    </row>
    <row r="52" spans="1:3" x14ac:dyDescent="0.35">
      <c r="A52" t="s">
        <v>24</v>
      </c>
      <c r="B52" t="s">
        <v>5</v>
      </c>
      <c r="C52">
        <v>0</v>
      </c>
    </row>
    <row r="53" spans="1:3" x14ac:dyDescent="0.35">
      <c r="A53" t="s">
        <v>25</v>
      </c>
      <c r="B53" t="s">
        <v>5</v>
      </c>
      <c r="C53">
        <v>0</v>
      </c>
    </row>
    <row r="54" spans="1:3" x14ac:dyDescent="0.35">
      <c r="A54" t="s">
        <v>26</v>
      </c>
      <c r="B54" t="s">
        <v>5</v>
      </c>
      <c r="C54">
        <v>0</v>
      </c>
    </row>
    <row r="55" spans="1:3" x14ac:dyDescent="0.35">
      <c r="A55" t="s">
        <v>27</v>
      </c>
      <c r="B55" t="s">
        <v>5</v>
      </c>
      <c r="C55">
        <v>0</v>
      </c>
    </row>
    <row r="56" spans="1:3" x14ac:dyDescent="0.35">
      <c r="A56" t="s">
        <v>28</v>
      </c>
      <c r="B56" t="s">
        <v>5</v>
      </c>
      <c r="C56">
        <v>0</v>
      </c>
    </row>
    <row r="57" spans="1:3" x14ac:dyDescent="0.35">
      <c r="A57" t="s">
        <v>29</v>
      </c>
      <c r="B57" t="s">
        <v>5</v>
      </c>
      <c r="C57">
        <v>0</v>
      </c>
    </row>
    <row r="58" spans="1:3" x14ac:dyDescent="0.35">
      <c r="A58" t="s">
        <v>30</v>
      </c>
      <c r="B58" t="s">
        <v>5</v>
      </c>
      <c r="C58">
        <v>0</v>
      </c>
    </row>
    <row r="59" spans="1:3" x14ac:dyDescent="0.35">
      <c r="A59" t="s">
        <v>31</v>
      </c>
      <c r="B59" t="s">
        <v>5</v>
      </c>
      <c r="C59">
        <v>0</v>
      </c>
    </row>
    <row r="60" spans="1:3" x14ac:dyDescent="0.35">
      <c r="A60" t="s">
        <v>32</v>
      </c>
      <c r="B60" t="s">
        <v>5</v>
      </c>
      <c r="C60">
        <v>0</v>
      </c>
    </row>
    <row r="61" spans="1:3" x14ac:dyDescent="0.35">
      <c r="A61" t="s">
        <v>33</v>
      </c>
      <c r="B61" t="s">
        <v>5</v>
      </c>
      <c r="C61">
        <v>0</v>
      </c>
    </row>
    <row r="62" spans="1:3" x14ac:dyDescent="0.35">
      <c r="A62" t="s">
        <v>34</v>
      </c>
      <c r="B62" t="s">
        <v>5</v>
      </c>
      <c r="C62">
        <v>0</v>
      </c>
    </row>
    <row r="63" spans="1:3" x14ac:dyDescent="0.35">
      <c r="A63" t="s">
        <v>35</v>
      </c>
      <c r="B63" t="s">
        <v>5</v>
      </c>
      <c r="C63">
        <v>0</v>
      </c>
    </row>
    <row r="64" spans="1:3" x14ac:dyDescent="0.35">
      <c r="A64" t="s">
        <v>36</v>
      </c>
      <c r="B64" t="s">
        <v>5</v>
      </c>
      <c r="C64">
        <v>0</v>
      </c>
    </row>
    <row r="65" spans="1:3" x14ac:dyDescent="0.35">
      <c r="A65" t="s">
        <v>37</v>
      </c>
      <c r="B65" t="s">
        <v>5</v>
      </c>
      <c r="C65">
        <v>0</v>
      </c>
    </row>
    <row r="66" spans="1:3" x14ac:dyDescent="0.35">
      <c r="A66" t="s">
        <v>38</v>
      </c>
      <c r="B66" t="s">
        <v>5</v>
      </c>
      <c r="C66">
        <v>0</v>
      </c>
    </row>
    <row r="67" spans="1:3" x14ac:dyDescent="0.35">
      <c r="A67" t="s">
        <v>39</v>
      </c>
      <c r="B67" t="s">
        <v>5</v>
      </c>
      <c r="C67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B34"/>
  <sheetViews>
    <sheetView workbookViewId="0">
      <selection activeCell="A2" sqref="A2:B34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0</v>
      </c>
    </row>
    <row r="3" spans="1:2" x14ac:dyDescent="0.35">
      <c r="A3" t="s">
        <v>8</v>
      </c>
      <c r="B3">
        <v>0</v>
      </c>
    </row>
    <row r="4" spans="1:2" x14ac:dyDescent="0.35">
      <c r="A4" t="s">
        <v>9</v>
      </c>
      <c r="B4">
        <v>0</v>
      </c>
    </row>
    <row r="5" spans="1:2" x14ac:dyDescent="0.35">
      <c r="A5" t="s">
        <v>10</v>
      </c>
      <c r="B5">
        <v>0</v>
      </c>
    </row>
    <row r="6" spans="1:2" x14ac:dyDescent="0.35">
      <c r="A6" t="s">
        <v>11</v>
      </c>
      <c r="B6">
        <v>0</v>
      </c>
    </row>
    <row r="7" spans="1:2" x14ac:dyDescent="0.35">
      <c r="A7" t="s">
        <v>12</v>
      </c>
      <c r="B7">
        <v>0</v>
      </c>
    </row>
    <row r="8" spans="1:2" x14ac:dyDescent="0.35">
      <c r="A8" t="s">
        <v>13</v>
      </c>
      <c r="B8">
        <v>0</v>
      </c>
    </row>
    <row r="9" spans="1:2" x14ac:dyDescent="0.35">
      <c r="A9" t="s">
        <v>14</v>
      </c>
      <c r="B9">
        <v>0</v>
      </c>
    </row>
    <row r="10" spans="1:2" x14ac:dyDescent="0.35">
      <c r="A10" t="s">
        <v>15</v>
      </c>
      <c r="B10">
        <v>0</v>
      </c>
    </row>
    <row r="11" spans="1:2" x14ac:dyDescent="0.35">
      <c r="A11" t="s">
        <v>16</v>
      </c>
      <c r="B11">
        <v>0</v>
      </c>
    </row>
    <row r="12" spans="1:2" x14ac:dyDescent="0.35">
      <c r="A12" t="s">
        <v>17</v>
      </c>
      <c r="B12">
        <v>0</v>
      </c>
    </row>
    <row r="13" spans="1:2" x14ac:dyDescent="0.35">
      <c r="A13" t="s">
        <v>18</v>
      </c>
      <c r="B13">
        <v>0</v>
      </c>
    </row>
    <row r="14" spans="1:2" x14ac:dyDescent="0.35">
      <c r="A14" t="s">
        <v>19</v>
      </c>
      <c r="B14">
        <v>0</v>
      </c>
    </row>
    <row r="15" spans="1:2" x14ac:dyDescent="0.35">
      <c r="A15" t="s">
        <v>20</v>
      </c>
      <c r="B15">
        <v>0</v>
      </c>
    </row>
    <row r="16" spans="1:2" x14ac:dyDescent="0.35">
      <c r="A16" t="s">
        <v>21</v>
      </c>
      <c r="B16">
        <v>0</v>
      </c>
    </row>
    <row r="17" spans="1:2" x14ac:dyDescent="0.35">
      <c r="A17" t="s">
        <v>22</v>
      </c>
      <c r="B17">
        <v>0</v>
      </c>
    </row>
    <row r="18" spans="1:2" x14ac:dyDescent="0.35">
      <c r="A18" t="s">
        <v>23</v>
      </c>
      <c r="B18">
        <v>0</v>
      </c>
    </row>
    <row r="19" spans="1:2" x14ac:dyDescent="0.35">
      <c r="A19" t="s">
        <v>24</v>
      </c>
      <c r="B19">
        <v>0</v>
      </c>
    </row>
    <row r="20" spans="1:2" x14ac:dyDescent="0.35">
      <c r="A20" t="s">
        <v>25</v>
      </c>
      <c r="B20">
        <v>0</v>
      </c>
    </row>
    <row r="21" spans="1:2" x14ac:dyDescent="0.35">
      <c r="A21" t="s">
        <v>26</v>
      </c>
      <c r="B21">
        <v>0</v>
      </c>
    </row>
    <row r="22" spans="1:2" x14ac:dyDescent="0.35">
      <c r="A22" t="s">
        <v>27</v>
      </c>
      <c r="B22">
        <v>0</v>
      </c>
    </row>
    <row r="23" spans="1:2" x14ac:dyDescent="0.35">
      <c r="A23" t="s">
        <v>28</v>
      </c>
      <c r="B23">
        <v>0</v>
      </c>
    </row>
    <row r="24" spans="1:2" x14ac:dyDescent="0.35">
      <c r="A24" t="s">
        <v>29</v>
      </c>
      <c r="B24">
        <v>0</v>
      </c>
    </row>
    <row r="25" spans="1:2" x14ac:dyDescent="0.35">
      <c r="A25" t="s">
        <v>30</v>
      </c>
      <c r="B25">
        <v>0</v>
      </c>
    </row>
    <row r="26" spans="1:2" x14ac:dyDescent="0.35">
      <c r="A26" t="s">
        <v>31</v>
      </c>
      <c r="B26">
        <v>0</v>
      </c>
    </row>
    <row r="27" spans="1:2" x14ac:dyDescent="0.35">
      <c r="A27" t="s">
        <v>32</v>
      </c>
      <c r="B27">
        <v>0</v>
      </c>
    </row>
    <row r="28" spans="1:2" x14ac:dyDescent="0.35">
      <c r="A28" t="s">
        <v>33</v>
      </c>
      <c r="B28">
        <v>0</v>
      </c>
    </row>
    <row r="29" spans="1:2" x14ac:dyDescent="0.35">
      <c r="A29" t="s">
        <v>34</v>
      </c>
      <c r="B29">
        <v>0</v>
      </c>
    </row>
    <row r="30" spans="1:2" x14ac:dyDescent="0.35">
      <c r="A30" t="s">
        <v>35</v>
      </c>
      <c r="B30">
        <v>0</v>
      </c>
    </row>
    <row r="31" spans="1:2" x14ac:dyDescent="0.35">
      <c r="A31" t="s">
        <v>36</v>
      </c>
      <c r="B31">
        <v>0</v>
      </c>
    </row>
    <row r="32" spans="1:2" x14ac:dyDescent="0.35">
      <c r="A32" t="s">
        <v>37</v>
      </c>
      <c r="B32">
        <v>0</v>
      </c>
    </row>
    <row r="33" spans="1:2" x14ac:dyDescent="0.35">
      <c r="A33" t="s">
        <v>38</v>
      </c>
      <c r="B33">
        <v>0</v>
      </c>
    </row>
    <row r="34" spans="1:2" x14ac:dyDescent="0.35">
      <c r="A34" t="s">
        <v>39</v>
      </c>
      <c r="B34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8"/>
  <dimension ref="A1:C67"/>
  <sheetViews>
    <sheetView workbookViewId="0">
      <selection activeCell="A2" sqref="A2:C67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t="s">
        <v>7</v>
      </c>
      <c r="B2" t="s">
        <v>4</v>
      </c>
      <c r="C2">
        <v>0</v>
      </c>
    </row>
    <row r="3" spans="1:3" x14ac:dyDescent="0.35">
      <c r="A3" t="s">
        <v>8</v>
      </c>
      <c r="B3" t="s">
        <v>4</v>
      </c>
      <c r="C3">
        <v>0</v>
      </c>
    </row>
    <row r="4" spans="1:3" x14ac:dyDescent="0.35">
      <c r="A4" t="s">
        <v>9</v>
      </c>
      <c r="B4" t="s">
        <v>4</v>
      </c>
      <c r="C4">
        <v>0</v>
      </c>
    </row>
    <row r="5" spans="1:3" x14ac:dyDescent="0.35">
      <c r="A5" t="s">
        <v>10</v>
      </c>
      <c r="B5" t="s">
        <v>4</v>
      </c>
      <c r="C5">
        <v>0</v>
      </c>
    </row>
    <row r="6" spans="1:3" x14ac:dyDescent="0.35">
      <c r="A6" t="s">
        <v>11</v>
      </c>
      <c r="B6" t="s">
        <v>4</v>
      </c>
      <c r="C6">
        <v>0</v>
      </c>
    </row>
    <row r="7" spans="1:3" x14ac:dyDescent="0.35">
      <c r="A7" t="s">
        <v>12</v>
      </c>
      <c r="B7" t="s">
        <v>4</v>
      </c>
      <c r="C7">
        <v>0</v>
      </c>
    </row>
    <row r="8" spans="1:3" x14ac:dyDescent="0.35">
      <c r="A8" t="s">
        <v>13</v>
      </c>
      <c r="B8" t="s">
        <v>4</v>
      </c>
      <c r="C8">
        <v>0</v>
      </c>
    </row>
    <row r="9" spans="1:3" x14ac:dyDescent="0.35">
      <c r="A9" t="s">
        <v>14</v>
      </c>
      <c r="B9" t="s">
        <v>4</v>
      </c>
      <c r="C9">
        <v>0</v>
      </c>
    </row>
    <row r="10" spans="1:3" x14ac:dyDescent="0.35">
      <c r="A10" t="s">
        <v>15</v>
      </c>
      <c r="B10" t="s">
        <v>4</v>
      </c>
      <c r="C10">
        <v>0</v>
      </c>
    </row>
    <row r="11" spans="1:3" x14ac:dyDescent="0.35">
      <c r="A11" t="s">
        <v>16</v>
      </c>
      <c r="B11" t="s">
        <v>4</v>
      </c>
      <c r="C11">
        <v>0</v>
      </c>
    </row>
    <row r="12" spans="1:3" x14ac:dyDescent="0.35">
      <c r="A12" t="s">
        <v>17</v>
      </c>
      <c r="B12" t="s">
        <v>4</v>
      </c>
      <c r="C12">
        <v>0</v>
      </c>
    </row>
    <row r="13" spans="1:3" x14ac:dyDescent="0.35">
      <c r="A13" t="s">
        <v>18</v>
      </c>
      <c r="B13" t="s">
        <v>4</v>
      </c>
      <c r="C13">
        <v>0</v>
      </c>
    </row>
    <row r="14" spans="1:3" x14ac:dyDescent="0.35">
      <c r="A14" t="s">
        <v>19</v>
      </c>
      <c r="B14" t="s">
        <v>4</v>
      </c>
      <c r="C14">
        <v>0</v>
      </c>
    </row>
    <row r="15" spans="1:3" x14ac:dyDescent="0.35">
      <c r="A15" t="s">
        <v>20</v>
      </c>
      <c r="B15" t="s">
        <v>4</v>
      </c>
      <c r="C15">
        <v>0</v>
      </c>
    </row>
    <row r="16" spans="1:3" x14ac:dyDescent="0.35">
      <c r="A16" t="s">
        <v>21</v>
      </c>
      <c r="B16" t="s">
        <v>4</v>
      </c>
      <c r="C16">
        <v>0</v>
      </c>
    </row>
    <row r="17" spans="1:3" x14ac:dyDescent="0.35">
      <c r="A17" t="s">
        <v>22</v>
      </c>
      <c r="B17" t="s">
        <v>4</v>
      </c>
      <c r="C17">
        <v>0</v>
      </c>
    </row>
    <row r="18" spans="1:3" x14ac:dyDescent="0.35">
      <c r="A18" t="s">
        <v>23</v>
      </c>
      <c r="B18" t="s">
        <v>4</v>
      </c>
      <c r="C18">
        <v>0</v>
      </c>
    </row>
    <row r="19" spans="1:3" x14ac:dyDescent="0.35">
      <c r="A19" t="s">
        <v>24</v>
      </c>
      <c r="B19" t="s">
        <v>4</v>
      </c>
      <c r="C19">
        <v>0</v>
      </c>
    </row>
    <row r="20" spans="1:3" x14ac:dyDescent="0.35">
      <c r="A20" t="s">
        <v>25</v>
      </c>
      <c r="B20" t="s">
        <v>4</v>
      </c>
      <c r="C20">
        <v>0</v>
      </c>
    </row>
    <row r="21" spans="1:3" x14ac:dyDescent="0.35">
      <c r="A21" t="s">
        <v>26</v>
      </c>
      <c r="B21" t="s">
        <v>4</v>
      </c>
      <c r="C21">
        <v>0</v>
      </c>
    </row>
    <row r="22" spans="1:3" x14ac:dyDescent="0.35">
      <c r="A22" t="s">
        <v>27</v>
      </c>
      <c r="B22" t="s">
        <v>4</v>
      </c>
      <c r="C22">
        <v>0</v>
      </c>
    </row>
    <row r="23" spans="1:3" x14ac:dyDescent="0.35">
      <c r="A23" t="s">
        <v>28</v>
      </c>
      <c r="B23" t="s">
        <v>4</v>
      </c>
      <c r="C23">
        <v>0</v>
      </c>
    </row>
    <row r="24" spans="1:3" x14ac:dyDescent="0.35">
      <c r="A24" t="s">
        <v>29</v>
      </c>
      <c r="B24" t="s">
        <v>4</v>
      </c>
      <c r="C24">
        <v>0</v>
      </c>
    </row>
    <row r="25" spans="1:3" x14ac:dyDescent="0.35">
      <c r="A25" t="s">
        <v>30</v>
      </c>
      <c r="B25" t="s">
        <v>4</v>
      </c>
      <c r="C25">
        <v>0</v>
      </c>
    </row>
    <row r="26" spans="1:3" x14ac:dyDescent="0.35">
      <c r="A26" t="s">
        <v>31</v>
      </c>
      <c r="B26" t="s">
        <v>4</v>
      </c>
      <c r="C26">
        <v>0</v>
      </c>
    </row>
    <row r="27" spans="1:3" x14ac:dyDescent="0.35">
      <c r="A27" t="s">
        <v>32</v>
      </c>
      <c r="B27" t="s">
        <v>4</v>
      </c>
      <c r="C27">
        <v>0</v>
      </c>
    </row>
    <row r="28" spans="1:3" x14ac:dyDescent="0.35">
      <c r="A28" t="s">
        <v>33</v>
      </c>
      <c r="B28" t="s">
        <v>4</v>
      </c>
      <c r="C28">
        <v>0</v>
      </c>
    </row>
    <row r="29" spans="1:3" x14ac:dyDescent="0.35">
      <c r="A29" t="s">
        <v>34</v>
      </c>
      <c r="B29" t="s">
        <v>4</v>
      </c>
      <c r="C29">
        <v>0</v>
      </c>
    </row>
    <row r="30" spans="1:3" x14ac:dyDescent="0.35">
      <c r="A30" t="s">
        <v>35</v>
      </c>
      <c r="B30" t="s">
        <v>4</v>
      </c>
      <c r="C30">
        <v>0</v>
      </c>
    </row>
    <row r="31" spans="1:3" x14ac:dyDescent="0.35">
      <c r="A31" t="s">
        <v>36</v>
      </c>
      <c r="B31" t="s">
        <v>4</v>
      </c>
      <c r="C31">
        <v>0</v>
      </c>
    </row>
    <row r="32" spans="1:3" x14ac:dyDescent="0.35">
      <c r="A32" t="s">
        <v>37</v>
      </c>
      <c r="B32" t="s">
        <v>4</v>
      </c>
      <c r="C32">
        <v>0</v>
      </c>
    </row>
    <row r="33" spans="1:3" x14ac:dyDescent="0.35">
      <c r="A33" t="s">
        <v>38</v>
      </c>
      <c r="B33" t="s">
        <v>4</v>
      </c>
      <c r="C33">
        <v>0</v>
      </c>
    </row>
    <row r="34" spans="1:3" x14ac:dyDescent="0.35">
      <c r="A34" t="s">
        <v>39</v>
      </c>
      <c r="B34" t="s">
        <v>4</v>
      </c>
      <c r="C34">
        <v>0</v>
      </c>
    </row>
    <row r="35" spans="1:3" x14ac:dyDescent="0.35">
      <c r="A35" t="s">
        <v>7</v>
      </c>
      <c r="B35" t="s">
        <v>5</v>
      </c>
      <c r="C35">
        <v>0</v>
      </c>
    </row>
    <row r="36" spans="1:3" x14ac:dyDescent="0.35">
      <c r="A36" t="s">
        <v>8</v>
      </c>
      <c r="B36" t="s">
        <v>5</v>
      </c>
      <c r="C36">
        <v>0</v>
      </c>
    </row>
    <row r="37" spans="1:3" x14ac:dyDescent="0.35">
      <c r="A37" t="s">
        <v>9</v>
      </c>
      <c r="B37" t="s">
        <v>5</v>
      </c>
      <c r="C37">
        <v>0</v>
      </c>
    </row>
    <row r="38" spans="1:3" x14ac:dyDescent="0.35">
      <c r="A38" t="s">
        <v>10</v>
      </c>
      <c r="B38" t="s">
        <v>5</v>
      </c>
      <c r="C38">
        <v>0</v>
      </c>
    </row>
    <row r="39" spans="1:3" x14ac:dyDescent="0.35">
      <c r="A39" t="s">
        <v>11</v>
      </c>
      <c r="B39" t="s">
        <v>5</v>
      </c>
      <c r="C39">
        <v>0</v>
      </c>
    </row>
    <row r="40" spans="1:3" x14ac:dyDescent="0.35">
      <c r="A40" t="s">
        <v>12</v>
      </c>
      <c r="B40" t="s">
        <v>5</v>
      </c>
      <c r="C40">
        <v>0</v>
      </c>
    </row>
    <row r="41" spans="1:3" x14ac:dyDescent="0.35">
      <c r="A41" t="s">
        <v>13</v>
      </c>
      <c r="B41" t="s">
        <v>5</v>
      </c>
      <c r="C41">
        <v>0</v>
      </c>
    </row>
    <row r="42" spans="1:3" x14ac:dyDescent="0.35">
      <c r="A42" t="s">
        <v>14</v>
      </c>
      <c r="B42" t="s">
        <v>5</v>
      </c>
      <c r="C42">
        <v>0</v>
      </c>
    </row>
    <row r="43" spans="1:3" x14ac:dyDescent="0.35">
      <c r="A43" t="s">
        <v>15</v>
      </c>
      <c r="B43" t="s">
        <v>5</v>
      </c>
      <c r="C43">
        <v>0</v>
      </c>
    </row>
    <row r="44" spans="1:3" x14ac:dyDescent="0.35">
      <c r="A44" t="s">
        <v>16</v>
      </c>
      <c r="B44" t="s">
        <v>5</v>
      </c>
      <c r="C44">
        <v>0</v>
      </c>
    </row>
    <row r="45" spans="1:3" x14ac:dyDescent="0.35">
      <c r="A45" t="s">
        <v>17</v>
      </c>
      <c r="B45" t="s">
        <v>5</v>
      </c>
      <c r="C45">
        <v>0</v>
      </c>
    </row>
    <row r="46" spans="1:3" x14ac:dyDescent="0.35">
      <c r="A46" t="s">
        <v>18</v>
      </c>
      <c r="B46" t="s">
        <v>5</v>
      </c>
      <c r="C46">
        <v>0</v>
      </c>
    </row>
    <row r="47" spans="1:3" x14ac:dyDescent="0.35">
      <c r="A47" t="s">
        <v>19</v>
      </c>
      <c r="B47" t="s">
        <v>5</v>
      </c>
      <c r="C47">
        <v>0</v>
      </c>
    </row>
    <row r="48" spans="1:3" x14ac:dyDescent="0.35">
      <c r="A48" t="s">
        <v>20</v>
      </c>
      <c r="B48" t="s">
        <v>5</v>
      </c>
      <c r="C48">
        <v>0</v>
      </c>
    </row>
    <row r="49" spans="1:3" x14ac:dyDescent="0.35">
      <c r="A49" t="s">
        <v>21</v>
      </c>
      <c r="B49" t="s">
        <v>5</v>
      </c>
      <c r="C49">
        <v>0</v>
      </c>
    </row>
    <row r="50" spans="1:3" x14ac:dyDescent="0.35">
      <c r="A50" t="s">
        <v>22</v>
      </c>
      <c r="B50" t="s">
        <v>5</v>
      </c>
      <c r="C50">
        <v>0</v>
      </c>
    </row>
    <row r="51" spans="1:3" x14ac:dyDescent="0.35">
      <c r="A51" t="s">
        <v>23</v>
      </c>
      <c r="B51" t="s">
        <v>5</v>
      </c>
      <c r="C51">
        <v>0</v>
      </c>
    </row>
    <row r="52" spans="1:3" x14ac:dyDescent="0.35">
      <c r="A52" t="s">
        <v>24</v>
      </c>
      <c r="B52" t="s">
        <v>5</v>
      </c>
      <c r="C52">
        <v>0</v>
      </c>
    </row>
    <row r="53" spans="1:3" x14ac:dyDescent="0.35">
      <c r="A53" t="s">
        <v>25</v>
      </c>
      <c r="B53" t="s">
        <v>5</v>
      </c>
      <c r="C53">
        <v>0</v>
      </c>
    </row>
    <row r="54" spans="1:3" x14ac:dyDescent="0.35">
      <c r="A54" t="s">
        <v>26</v>
      </c>
      <c r="B54" t="s">
        <v>5</v>
      </c>
      <c r="C54">
        <v>0</v>
      </c>
    </row>
    <row r="55" spans="1:3" x14ac:dyDescent="0.35">
      <c r="A55" t="s">
        <v>27</v>
      </c>
      <c r="B55" t="s">
        <v>5</v>
      </c>
      <c r="C55">
        <v>0</v>
      </c>
    </row>
    <row r="56" spans="1:3" x14ac:dyDescent="0.35">
      <c r="A56" t="s">
        <v>28</v>
      </c>
      <c r="B56" t="s">
        <v>5</v>
      </c>
      <c r="C56">
        <v>0</v>
      </c>
    </row>
    <row r="57" spans="1:3" x14ac:dyDescent="0.35">
      <c r="A57" t="s">
        <v>29</v>
      </c>
      <c r="B57" t="s">
        <v>5</v>
      </c>
      <c r="C57">
        <v>0</v>
      </c>
    </row>
    <row r="58" spans="1:3" x14ac:dyDescent="0.35">
      <c r="A58" t="s">
        <v>30</v>
      </c>
      <c r="B58" t="s">
        <v>5</v>
      </c>
      <c r="C58">
        <v>0</v>
      </c>
    </row>
    <row r="59" spans="1:3" x14ac:dyDescent="0.35">
      <c r="A59" t="s">
        <v>31</v>
      </c>
      <c r="B59" t="s">
        <v>5</v>
      </c>
      <c r="C59">
        <v>0</v>
      </c>
    </row>
    <row r="60" spans="1:3" x14ac:dyDescent="0.35">
      <c r="A60" t="s">
        <v>32</v>
      </c>
      <c r="B60" t="s">
        <v>5</v>
      </c>
      <c r="C60">
        <v>0</v>
      </c>
    </row>
    <row r="61" spans="1:3" x14ac:dyDescent="0.35">
      <c r="A61" t="s">
        <v>33</v>
      </c>
      <c r="B61" t="s">
        <v>5</v>
      </c>
      <c r="C61">
        <v>0</v>
      </c>
    </row>
    <row r="62" spans="1:3" x14ac:dyDescent="0.35">
      <c r="A62" t="s">
        <v>34</v>
      </c>
      <c r="B62" t="s">
        <v>5</v>
      </c>
      <c r="C62">
        <v>0</v>
      </c>
    </row>
    <row r="63" spans="1:3" x14ac:dyDescent="0.35">
      <c r="A63" t="s">
        <v>35</v>
      </c>
      <c r="B63" t="s">
        <v>5</v>
      </c>
      <c r="C63">
        <v>0</v>
      </c>
    </row>
    <row r="64" spans="1:3" x14ac:dyDescent="0.35">
      <c r="A64" t="s">
        <v>36</v>
      </c>
      <c r="B64" t="s">
        <v>5</v>
      </c>
      <c r="C64">
        <v>0</v>
      </c>
    </row>
    <row r="65" spans="1:3" x14ac:dyDescent="0.35">
      <c r="A65" t="s">
        <v>37</v>
      </c>
      <c r="B65" t="s">
        <v>5</v>
      </c>
      <c r="C65">
        <v>0</v>
      </c>
    </row>
    <row r="66" spans="1:3" x14ac:dyDescent="0.35">
      <c r="A66" t="s">
        <v>38</v>
      </c>
      <c r="B66" t="s">
        <v>5</v>
      </c>
      <c r="C66">
        <v>0</v>
      </c>
    </row>
    <row r="67" spans="1:3" x14ac:dyDescent="0.35">
      <c r="A67" t="s">
        <v>39</v>
      </c>
      <c r="B67" t="s">
        <v>5</v>
      </c>
      <c r="C67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9">
    <tabColor rgb="FF7030A0"/>
  </sheetPr>
  <dimension ref="A1:B34"/>
  <sheetViews>
    <sheetView workbookViewId="0">
      <selection activeCell="O43" sqref="O43"/>
    </sheetView>
  </sheetViews>
  <sheetFormatPr defaultRowHeight="14.5" x14ac:dyDescent="0.35"/>
  <cols>
    <col min="8" max="8" width="11.453125" bestFit="1" customWidth="1"/>
  </cols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414.32236557237968</v>
      </c>
    </row>
    <row r="3" spans="1:2" x14ac:dyDescent="0.35">
      <c r="A3" t="s">
        <v>8</v>
      </c>
      <c r="B3">
        <v>7356.3982615262066</v>
      </c>
    </row>
    <row r="4" spans="1:2" x14ac:dyDescent="0.35">
      <c r="A4" t="s">
        <v>9</v>
      </c>
      <c r="B4">
        <v>3399.3194149811688</v>
      </c>
    </row>
    <row r="5" spans="1:2" x14ac:dyDescent="0.35">
      <c r="A5" t="s">
        <v>10</v>
      </c>
      <c r="B5">
        <v>812.48725484172519</v>
      </c>
    </row>
    <row r="6" spans="1:2" x14ac:dyDescent="0.35">
      <c r="A6" t="s">
        <v>11</v>
      </c>
      <c r="B6">
        <v>3.8106395045392389</v>
      </c>
    </row>
    <row r="7" spans="1:2" x14ac:dyDescent="0.35">
      <c r="A7" t="s">
        <v>12</v>
      </c>
      <c r="B7">
        <v>307.67357936561729</v>
      </c>
    </row>
    <row r="8" spans="1:2" x14ac:dyDescent="0.35">
      <c r="A8" t="s">
        <v>13</v>
      </c>
      <c r="B8">
        <v>879.16488389354379</v>
      </c>
    </row>
    <row r="9" spans="1:2" x14ac:dyDescent="0.35">
      <c r="A9" t="s">
        <v>14</v>
      </c>
      <c r="B9">
        <v>1928.2051990850907</v>
      </c>
    </row>
    <row r="10" spans="1:2" x14ac:dyDescent="0.35">
      <c r="A10" t="s">
        <v>15</v>
      </c>
      <c r="B10">
        <v>2436.7671420663769</v>
      </c>
    </row>
    <row r="11" spans="1:2" x14ac:dyDescent="0.35">
      <c r="A11" t="s">
        <v>16</v>
      </c>
      <c r="B11">
        <v>1202.3428113742643</v>
      </c>
    </row>
    <row r="12" spans="1:2" x14ac:dyDescent="0.35">
      <c r="A12" t="s">
        <v>17</v>
      </c>
      <c r="B12">
        <v>846.53663389192502</v>
      </c>
    </row>
    <row r="13" spans="1:2" x14ac:dyDescent="0.35">
      <c r="A13" t="s">
        <v>18</v>
      </c>
      <c r="B13">
        <v>7322.1562503243686</v>
      </c>
    </row>
    <row r="14" spans="1:2" x14ac:dyDescent="0.35">
      <c r="A14" t="s">
        <v>19</v>
      </c>
      <c r="B14">
        <v>981.83228835358841</v>
      </c>
    </row>
    <row r="15" spans="1:2" x14ac:dyDescent="0.35">
      <c r="A15" t="s">
        <v>20</v>
      </c>
      <c r="B15">
        <v>685.10684051884766</v>
      </c>
    </row>
    <row r="16" spans="1:2" x14ac:dyDescent="0.35">
      <c r="A16" t="s">
        <v>21</v>
      </c>
      <c r="B16">
        <v>614.22076407130658</v>
      </c>
    </row>
    <row r="17" spans="1:2" x14ac:dyDescent="0.35">
      <c r="A17" t="s">
        <v>22</v>
      </c>
      <c r="B17">
        <v>2002.8952977276399</v>
      </c>
    </row>
    <row r="18" spans="1:2" x14ac:dyDescent="0.35">
      <c r="A18" t="s">
        <v>23</v>
      </c>
      <c r="B18">
        <v>14299.292290434718</v>
      </c>
    </row>
    <row r="19" spans="1:2" x14ac:dyDescent="0.35">
      <c r="A19" t="s">
        <v>24</v>
      </c>
      <c r="B19">
        <v>6242.6596327770749</v>
      </c>
    </row>
    <row r="20" spans="1:2" x14ac:dyDescent="0.35">
      <c r="A20" t="s">
        <v>25</v>
      </c>
      <c r="B20">
        <v>43194.708782502654</v>
      </c>
    </row>
    <row r="21" spans="1:2" x14ac:dyDescent="0.35">
      <c r="A21" t="s">
        <v>26</v>
      </c>
      <c r="B21">
        <v>14840.133197189909</v>
      </c>
    </row>
    <row r="22" spans="1:2" x14ac:dyDescent="0.35">
      <c r="A22" t="s">
        <v>27</v>
      </c>
      <c r="B22">
        <v>4025.8983994688656</v>
      </c>
    </row>
    <row r="23" spans="1:2" x14ac:dyDescent="0.35">
      <c r="A23" t="s">
        <v>28</v>
      </c>
      <c r="B23">
        <v>359.53219943799559</v>
      </c>
    </row>
    <row r="24" spans="1:2" x14ac:dyDescent="0.35">
      <c r="A24" t="s">
        <v>29</v>
      </c>
      <c r="B24">
        <v>16606.607917574613</v>
      </c>
    </row>
    <row r="25" spans="1:2" x14ac:dyDescent="0.35">
      <c r="A25" t="s">
        <v>30</v>
      </c>
      <c r="B25">
        <v>9659.5454835185265</v>
      </c>
    </row>
    <row r="26" spans="1:2" x14ac:dyDescent="0.35">
      <c r="A26" t="s">
        <v>31</v>
      </c>
      <c r="B26">
        <v>2646.9790328041054</v>
      </c>
    </row>
    <row r="27" spans="1:2" x14ac:dyDescent="0.35">
      <c r="A27" t="s">
        <v>32</v>
      </c>
      <c r="B27">
        <v>33923.425398966334</v>
      </c>
    </row>
    <row r="28" spans="1:2" x14ac:dyDescent="0.35">
      <c r="A28" t="s">
        <v>33</v>
      </c>
      <c r="B28">
        <v>11919.158860166492</v>
      </c>
    </row>
    <row r="29" spans="1:2" x14ac:dyDescent="0.35">
      <c r="A29" t="s">
        <v>34</v>
      </c>
      <c r="B29">
        <v>6726.020856125826</v>
      </c>
    </row>
    <row r="30" spans="1:2" x14ac:dyDescent="0.35">
      <c r="A30" t="s">
        <v>35</v>
      </c>
      <c r="B30">
        <v>7398.0203187636944</v>
      </c>
    </row>
    <row r="31" spans="1:2" x14ac:dyDescent="0.35">
      <c r="A31" t="s">
        <v>36</v>
      </c>
      <c r="B31">
        <v>1751.9120483821771</v>
      </c>
    </row>
    <row r="32" spans="1:2" x14ac:dyDescent="0.35">
      <c r="A32" t="s">
        <v>37</v>
      </c>
      <c r="B32">
        <v>73.211855200504033</v>
      </c>
    </row>
    <row r="33" spans="1:2" x14ac:dyDescent="0.35">
      <c r="A33" t="s">
        <v>38</v>
      </c>
      <c r="B33">
        <v>41.61847813004897</v>
      </c>
    </row>
    <row r="34" spans="1:2" x14ac:dyDescent="0.35">
      <c r="A34" t="s">
        <v>39</v>
      </c>
      <c r="B34">
        <v>0.34192338889261009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6DA1-665F-4C15-9D1B-FEF98D054FD1}">
  <sheetPr>
    <tabColor rgb="FF7030A0"/>
  </sheetPr>
  <dimension ref="A1:C133"/>
  <sheetViews>
    <sheetView tabSelected="1" topLeftCell="A10" workbookViewId="0">
      <selection activeCell="F28" sqref="E28:F34"/>
    </sheetView>
  </sheetViews>
  <sheetFormatPr defaultRowHeight="14.5" x14ac:dyDescent="0.35"/>
  <sheetData>
    <row r="1" spans="1:3" x14ac:dyDescent="0.35">
      <c r="A1" s="1" t="s">
        <v>3</v>
      </c>
      <c r="B1" s="1" t="s">
        <v>6</v>
      </c>
      <c r="C1" s="1" t="s">
        <v>0</v>
      </c>
    </row>
    <row r="2" spans="1:3" x14ac:dyDescent="0.35">
      <c r="A2" t="s">
        <v>7</v>
      </c>
      <c r="B2" t="s">
        <v>40</v>
      </c>
      <c r="C2">
        <v>268.12814118932698</v>
      </c>
    </row>
    <row r="3" spans="1:3" x14ac:dyDescent="0.35">
      <c r="A3" t="s">
        <v>8</v>
      </c>
      <c r="B3" t="s">
        <v>40</v>
      </c>
      <c r="C3">
        <v>245.5954923725281</v>
      </c>
    </row>
    <row r="4" spans="1:3" x14ac:dyDescent="0.35">
      <c r="A4" t="s">
        <v>9</v>
      </c>
      <c r="B4" t="s">
        <v>40</v>
      </c>
      <c r="C4">
        <v>608.48634607104623</v>
      </c>
    </row>
    <row r="5" spans="1:3" x14ac:dyDescent="0.35">
      <c r="A5" t="s">
        <v>10</v>
      </c>
      <c r="B5" t="s">
        <v>40</v>
      </c>
      <c r="C5">
        <v>190.51166796777102</v>
      </c>
    </row>
    <row r="6" spans="1:3" x14ac:dyDescent="0.35">
      <c r="A6" t="s">
        <v>11</v>
      </c>
      <c r="B6" t="s">
        <v>40</v>
      </c>
      <c r="C6">
        <v>1.6986217867041848</v>
      </c>
    </row>
    <row r="7" spans="1:3" x14ac:dyDescent="0.35">
      <c r="A7" t="s">
        <v>12</v>
      </c>
      <c r="B7" t="s">
        <v>40</v>
      </c>
      <c r="C7">
        <v>143.50388031789996</v>
      </c>
    </row>
    <row r="8" spans="1:3" x14ac:dyDescent="0.35">
      <c r="A8" t="s">
        <v>13</v>
      </c>
      <c r="B8" t="s">
        <v>40</v>
      </c>
      <c r="C8">
        <v>294.40157956841603</v>
      </c>
    </row>
    <row r="9" spans="1:3" x14ac:dyDescent="0.35">
      <c r="A9" t="s">
        <v>14</v>
      </c>
      <c r="B9" t="s">
        <v>40</v>
      </c>
      <c r="C9">
        <v>58.864261092820172</v>
      </c>
    </row>
    <row r="10" spans="1:3" x14ac:dyDescent="0.35">
      <c r="A10" t="s">
        <v>15</v>
      </c>
      <c r="B10" t="s">
        <v>40</v>
      </c>
      <c r="C10">
        <v>353.94292635290475</v>
      </c>
    </row>
    <row r="11" spans="1:3" x14ac:dyDescent="0.35">
      <c r="A11" t="s">
        <v>16</v>
      </c>
      <c r="B11" t="s">
        <v>40</v>
      </c>
      <c r="C11">
        <v>159.88782621845769</v>
      </c>
    </row>
    <row r="12" spans="1:3" x14ac:dyDescent="0.35">
      <c r="A12" t="s">
        <v>17</v>
      </c>
      <c r="B12" t="s">
        <v>40</v>
      </c>
      <c r="C12">
        <v>387.41039438062609</v>
      </c>
    </row>
    <row r="13" spans="1:3" x14ac:dyDescent="0.35">
      <c r="A13" t="s">
        <v>18</v>
      </c>
      <c r="B13" t="s">
        <v>40</v>
      </c>
      <c r="C13">
        <v>920.91293641694665</v>
      </c>
    </row>
    <row r="14" spans="1:3" x14ac:dyDescent="0.35">
      <c r="A14" t="s">
        <v>19</v>
      </c>
      <c r="B14" t="s">
        <v>40</v>
      </c>
      <c r="C14">
        <v>300.58696003481066</v>
      </c>
    </row>
    <row r="15" spans="1:3" x14ac:dyDescent="0.35">
      <c r="A15" t="s">
        <v>20</v>
      </c>
      <c r="B15" t="s">
        <v>40</v>
      </c>
      <c r="C15">
        <v>172.81971264438542</v>
      </c>
    </row>
    <row r="16" spans="1:3" x14ac:dyDescent="0.35">
      <c r="A16" t="s">
        <v>21</v>
      </c>
      <c r="B16" t="s">
        <v>40</v>
      </c>
      <c r="C16">
        <v>68.532155393005922</v>
      </c>
    </row>
    <row r="17" spans="1:3" x14ac:dyDescent="0.35">
      <c r="A17" t="s">
        <v>22</v>
      </c>
      <c r="B17" t="s">
        <v>40</v>
      </c>
      <c r="C17">
        <v>656.06458506586989</v>
      </c>
    </row>
    <row r="18" spans="1:3" x14ac:dyDescent="0.35">
      <c r="A18" t="s">
        <v>23</v>
      </c>
      <c r="B18" t="s">
        <v>40</v>
      </c>
      <c r="C18">
        <v>106.88084837452848</v>
      </c>
    </row>
    <row r="19" spans="1:3" x14ac:dyDescent="0.35">
      <c r="A19" t="s">
        <v>24</v>
      </c>
      <c r="B19" t="s">
        <v>40</v>
      </c>
      <c r="C19">
        <v>19670.488717830111</v>
      </c>
    </row>
    <row r="20" spans="1:3" x14ac:dyDescent="0.35">
      <c r="A20" t="s">
        <v>25</v>
      </c>
      <c r="B20" t="s">
        <v>40</v>
      </c>
      <c r="C20">
        <v>6286.1077868243383</v>
      </c>
    </row>
    <row r="21" spans="1:3" x14ac:dyDescent="0.35">
      <c r="A21" t="s">
        <v>26</v>
      </c>
      <c r="B21" t="s">
        <v>40</v>
      </c>
      <c r="C21">
        <v>1787.5357620892894</v>
      </c>
    </row>
    <row r="22" spans="1:3" x14ac:dyDescent="0.35">
      <c r="A22" t="s">
        <v>27</v>
      </c>
      <c r="B22" t="s">
        <v>40</v>
      </c>
      <c r="C22">
        <v>383.6865486700587</v>
      </c>
    </row>
    <row r="23" spans="1:3" x14ac:dyDescent="0.35">
      <c r="A23" t="s">
        <v>28</v>
      </c>
      <c r="B23" t="s">
        <v>40</v>
      </c>
      <c r="C23">
        <v>13.134309695593833</v>
      </c>
    </row>
    <row r="24" spans="1:3" x14ac:dyDescent="0.35">
      <c r="A24" t="s">
        <v>29</v>
      </c>
      <c r="B24" t="s">
        <v>40</v>
      </c>
      <c r="C24">
        <v>1278.8472071225594</v>
      </c>
    </row>
    <row r="25" spans="1:3" x14ac:dyDescent="0.35">
      <c r="A25" t="s">
        <v>30</v>
      </c>
      <c r="B25" t="s">
        <v>40</v>
      </c>
      <c r="C25">
        <v>808.62947887625103</v>
      </c>
    </row>
    <row r="26" spans="1:3" x14ac:dyDescent="0.35">
      <c r="A26" t="s">
        <v>31</v>
      </c>
      <c r="B26" t="s">
        <v>40</v>
      </c>
      <c r="C26">
        <v>632.97931702903702</v>
      </c>
    </row>
    <row r="27" spans="1:3" x14ac:dyDescent="0.35">
      <c r="A27" t="s">
        <v>32</v>
      </c>
      <c r="B27" t="s">
        <v>40</v>
      </c>
      <c r="C27">
        <v>1539.7920412826854</v>
      </c>
    </row>
    <row r="28" spans="1:3" x14ac:dyDescent="0.35">
      <c r="A28" t="s">
        <v>33</v>
      </c>
      <c r="B28" t="s">
        <v>40</v>
      </c>
      <c r="C28">
        <v>245.82603985616259</v>
      </c>
    </row>
    <row r="29" spans="1:3" x14ac:dyDescent="0.35">
      <c r="A29" t="s">
        <v>34</v>
      </c>
      <c r="B29" t="s">
        <v>40</v>
      </c>
      <c r="C29">
        <v>17671.427569809883</v>
      </c>
    </row>
    <row r="30" spans="1:3" x14ac:dyDescent="0.35">
      <c r="A30" t="s">
        <v>35</v>
      </c>
      <c r="B30" t="s">
        <v>40</v>
      </c>
      <c r="C30">
        <v>28628.598384957419</v>
      </c>
    </row>
    <row r="31" spans="1:3" x14ac:dyDescent="0.35">
      <c r="A31" t="s">
        <v>36</v>
      </c>
      <c r="B31" t="s">
        <v>40</v>
      </c>
      <c r="C31">
        <v>1831.9951161625593</v>
      </c>
    </row>
    <row r="32" spans="1:3" x14ac:dyDescent="0.35">
      <c r="A32" t="s">
        <v>37</v>
      </c>
      <c r="B32" t="s">
        <v>40</v>
      </c>
      <c r="C32">
        <v>1390.8226565946809</v>
      </c>
    </row>
    <row r="33" spans="1:3" x14ac:dyDescent="0.35">
      <c r="A33" t="s">
        <v>38</v>
      </c>
      <c r="B33" t="s">
        <v>40</v>
      </c>
      <c r="C33">
        <v>999.51590119991647</v>
      </c>
    </row>
    <row r="34" spans="1:3" x14ac:dyDescent="0.35">
      <c r="A34" t="s">
        <v>39</v>
      </c>
      <c r="B34" t="s">
        <v>40</v>
      </c>
      <c r="C34">
        <v>5421.1034364362577</v>
      </c>
    </row>
    <row r="35" spans="1:3" x14ac:dyDescent="0.35">
      <c r="A35" t="s">
        <v>7</v>
      </c>
      <c r="B35" t="s">
        <v>50</v>
      </c>
      <c r="C35">
        <v>981.20815074270433</v>
      </c>
    </row>
    <row r="36" spans="1:3" x14ac:dyDescent="0.35">
      <c r="A36" t="s">
        <v>8</v>
      </c>
      <c r="B36" t="s">
        <v>50</v>
      </c>
      <c r="C36">
        <v>1922.9458786296555</v>
      </c>
    </row>
    <row r="37" spans="1:3" x14ac:dyDescent="0.35">
      <c r="A37" t="s">
        <v>9</v>
      </c>
      <c r="B37" t="s">
        <v>50</v>
      </c>
      <c r="C37">
        <v>8861.1476943756843</v>
      </c>
    </row>
    <row r="38" spans="1:3" x14ac:dyDescent="0.35">
      <c r="A38" t="s">
        <v>10</v>
      </c>
      <c r="B38" t="s">
        <v>50</v>
      </c>
      <c r="C38">
        <v>2774.3466252415833</v>
      </c>
    </row>
    <row r="39" spans="1:3" x14ac:dyDescent="0.35">
      <c r="A39" t="s">
        <v>11</v>
      </c>
      <c r="B39" t="s">
        <v>50</v>
      </c>
      <c r="C39">
        <v>24.736363432384657</v>
      </c>
    </row>
    <row r="40" spans="1:3" x14ac:dyDescent="0.35">
      <c r="A40" t="s">
        <v>12</v>
      </c>
      <c r="B40" t="s">
        <v>50</v>
      </c>
      <c r="C40">
        <v>2089.7906098888234</v>
      </c>
    </row>
    <row r="41" spans="1:3" x14ac:dyDescent="0.35">
      <c r="A41" t="s">
        <v>13</v>
      </c>
      <c r="B41" t="s">
        <v>50</v>
      </c>
      <c r="C41">
        <v>4287.2544753850789</v>
      </c>
    </row>
    <row r="42" spans="1:3" x14ac:dyDescent="0.35">
      <c r="A42" t="s">
        <v>14</v>
      </c>
      <c r="B42" t="s">
        <v>50</v>
      </c>
      <c r="C42">
        <v>857.21710657552603</v>
      </c>
    </row>
    <row r="43" spans="1:3" x14ac:dyDescent="0.35">
      <c r="A43" t="s">
        <v>15</v>
      </c>
      <c r="B43" t="s">
        <v>50</v>
      </c>
      <c r="C43">
        <v>5154.3317330480049</v>
      </c>
    </row>
    <row r="44" spans="1:3" x14ac:dyDescent="0.35">
      <c r="A44" t="s">
        <v>16</v>
      </c>
      <c r="B44" t="s">
        <v>50</v>
      </c>
      <c r="C44">
        <v>2328.3834880356985</v>
      </c>
    </row>
    <row r="45" spans="1:3" x14ac:dyDescent="0.35">
      <c r="A45" t="s">
        <v>17</v>
      </c>
      <c r="B45" t="s">
        <v>50</v>
      </c>
      <c r="C45">
        <v>5641.7053625912949</v>
      </c>
    </row>
    <row r="46" spans="1:3" x14ac:dyDescent="0.35">
      <c r="A46" t="s">
        <v>18</v>
      </c>
      <c r="B46" t="s">
        <v>50</v>
      </c>
      <c r="C46">
        <v>13410.893582381934</v>
      </c>
    </row>
    <row r="47" spans="1:3" x14ac:dyDescent="0.35">
      <c r="A47" t="s">
        <v>19</v>
      </c>
      <c r="B47" t="s">
        <v>50</v>
      </c>
      <c r="C47">
        <v>4377.3298698572826</v>
      </c>
    </row>
    <row r="48" spans="1:3" x14ac:dyDescent="0.35">
      <c r="A48" t="s">
        <v>20</v>
      </c>
      <c r="B48" t="s">
        <v>50</v>
      </c>
      <c r="C48">
        <v>2516.7056714030628</v>
      </c>
    </row>
    <row r="49" spans="1:3" x14ac:dyDescent="0.35">
      <c r="A49" t="s">
        <v>21</v>
      </c>
      <c r="B49" t="s">
        <v>50</v>
      </c>
      <c r="C49">
        <v>998.0068392549191</v>
      </c>
    </row>
    <row r="50" spans="1:3" x14ac:dyDescent="0.35">
      <c r="A50" t="s">
        <v>22</v>
      </c>
      <c r="B50" t="s">
        <v>50</v>
      </c>
      <c r="C50">
        <v>9554.0108451397209</v>
      </c>
    </row>
    <row r="51" spans="1:3" x14ac:dyDescent="0.35">
      <c r="A51" t="s">
        <v>23</v>
      </c>
      <c r="B51" t="s">
        <v>50</v>
      </c>
      <c r="C51">
        <v>6392.8532629466017</v>
      </c>
    </row>
    <row r="52" spans="1:3" x14ac:dyDescent="0.35">
      <c r="A52" t="s">
        <v>24</v>
      </c>
      <c r="B52" t="s">
        <v>50</v>
      </c>
      <c r="C52">
        <v>121735.63712249072</v>
      </c>
    </row>
    <row r="53" spans="1:3" x14ac:dyDescent="0.35">
      <c r="A53" t="s">
        <v>25</v>
      </c>
      <c r="B53" t="s">
        <v>50</v>
      </c>
      <c r="C53">
        <v>417855.47153082833</v>
      </c>
    </row>
    <row r="54" spans="1:3" x14ac:dyDescent="0.35">
      <c r="A54" t="s">
        <v>26</v>
      </c>
      <c r="B54" t="s">
        <v>50</v>
      </c>
      <c r="C54">
        <v>179604.72374709442</v>
      </c>
    </row>
    <row r="55" spans="1:3" x14ac:dyDescent="0.35">
      <c r="A55" t="s">
        <v>27</v>
      </c>
      <c r="B55" t="s">
        <v>50</v>
      </c>
      <c r="C55">
        <v>26484.654223716643</v>
      </c>
    </row>
    <row r="56" spans="1:3" x14ac:dyDescent="0.35">
      <c r="A56" t="s">
        <v>28</v>
      </c>
      <c r="B56" t="s">
        <v>50</v>
      </c>
      <c r="C56">
        <v>906.61936578821553</v>
      </c>
    </row>
    <row r="57" spans="1:3" x14ac:dyDescent="0.35">
      <c r="A57" t="s">
        <v>29</v>
      </c>
      <c r="B57" t="s">
        <v>50</v>
      </c>
      <c r="C57">
        <v>88274.728500546451</v>
      </c>
    </row>
    <row r="58" spans="1:3" x14ac:dyDescent="0.35">
      <c r="A58" t="s">
        <v>30</v>
      </c>
      <c r="B58" t="s">
        <v>50</v>
      </c>
      <c r="C58">
        <v>55817.104471091821</v>
      </c>
    </row>
    <row r="59" spans="1:3" x14ac:dyDescent="0.35">
      <c r="A59" t="s">
        <v>31</v>
      </c>
      <c r="B59" t="s">
        <v>50</v>
      </c>
      <c r="C59">
        <v>40126.802227454435</v>
      </c>
    </row>
    <row r="60" spans="1:3" x14ac:dyDescent="0.35">
      <c r="A60" t="s">
        <v>32</v>
      </c>
      <c r="B60" t="s">
        <v>50</v>
      </c>
      <c r="C60">
        <v>37524.163262034308</v>
      </c>
    </row>
    <row r="61" spans="1:3" x14ac:dyDescent="0.35">
      <c r="A61" t="s">
        <v>33</v>
      </c>
      <c r="B61" t="s">
        <v>50</v>
      </c>
      <c r="C61">
        <v>48537.442507662439</v>
      </c>
    </row>
    <row r="62" spans="1:3" x14ac:dyDescent="0.35">
      <c r="A62" t="s">
        <v>34</v>
      </c>
      <c r="B62" t="s">
        <v>50</v>
      </c>
      <c r="C62">
        <v>423180.8952910988</v>
      </c>
    </row>
    <row r="63" spans="1:3" x14ac:dyDescent="0.35">
      <c r="A63" t="s">
        <v>35</v>
      </c>
      <c r="B63" t="s">
        <v>50</v>
      </c>
      <c r="C63">
        <v>48084.664228578564</v>
      </c>
    </row>
    <row r="64" spans="1:3" x14ac:dyDescent="0.35">
      <c r="A64" t="s">
        <v>36</v>
      </c>
      <c r="B64" t="s">
        <v>50</v>
      </c>
      <c r="C64">
        <v>35987.449808876714</v>
      </c>
    </row>
    <row r="65" spans="1:3" x14ac:dyDescent="0.35">
      <c r="A65" t="s">
        <v>37</v>
      </c>
      <c r="B65" t="s">
        <v>50</v>
      </c>
      <c r="C65">
        <v>25170.464937169243</v>
      </c>
    </row>
    <row r="66" spans="1:3" x14ac:dyDescent="0.35">
      <c r="A66" t="s">
        <v>38</v>
      </c>
      <c r="B66" t="s">
        <v>50</v>
      </c>
      <c r="C66">
        <v>52262.631450338224</v>
      </c>
    </row>
    <row r="67" spans="1:3" x14ac:dyDescent="0.35">
      <c r="A67" t="s">
        <v>39</v>
      </c>
      <c r="B67" t="s">
        <v>50</v>
      </c>
      <c r="C67">
        <v>84051.175203840627</v>
      </c>
    </row>
    <row r="68" spans="1:3" x14ac:dyDescent="0.35">
      <c r="A68" t="s">
        <v>7</v>
      </c>
      <c r="B68" t="s">
        <v>51</v>
      </c>
      <c r="C68">
        <v>4333.4475419921864</v>
      </c>
    </row>
    <row r="69" spans="1:3" x14ac:dyDescent="0.35">
      <c r="A69" t="s">
        <v>8</v>
      </c>
      <c r="B69" t="s">
        <v>51</v>
      </c>
      <c r="C69">
        <v>1631.778206647014</v>
      </c>
    </row>
    <row r="70" spans="1:3" x14ac:dyDescent="0.35">
      <c r="A70" t="s">
        <v>9</v>
      </c>
      <c r="B70" t="s">
        <v>51</v>
      </c>
      <c r="C70">
        <v>20738.16258667504</v>
      </c>
    </row>
    <row r="71" spans="1:3" x14ac:dyDescent="0.35">
      <c r="A71" t="s">
        <v>10</v>
      </c>
      <c r="B71" t="s">
        <v>51</v>
      </c>
      <c r="C71">
        <v>6492.934405383483</v>
      </c>
    </row>
    <row r="72" spans="1:3" x14ac:dyDescent="0.35">
      <c r="A72" t="s">
        <v>11</v>
      </c>
      <c r="B72" t="s">
        <v>51</v>
      </c>
      <c r="C72">
        <v>57.891675207186559</v>
      </c>
    </row>
    <row r="73" spans="1:3" x14ac:dyDescent="0.35">
      <c r="A73" t="s">
        <v>12</v>
      </c>
      <c r="B73" t="s">
        <v>51</v>
      </c>
      <c r="C73">
        <v>4890.8358371807699</v>
      </c>
    </row>
    <row r="74" spans="1:3" x14ac:dyDescent="0.35">
      <c r="A74" t="s">
        <v>13</v>
      </c>
      <c r="B74" t="s">
        <v>51</v>
      </c>
      <c r="C74">
        <v>10033.664567652148</v>
      </c>
    </row>
    <row r="75" spans="1:3" x14ac:dyDescent="0.35">
      <c r="A75" t="s">
        <v>14</v>
      </c>
      <c r="B75" t="s">
        <v>51</v>
      </c>
      <c r="C75">
        <v>2006.1857286751615</v>
      </c>
    </row>
    <row r="76" spans="1:3" x14ac:dyDescent="0.35">
      <c r="A76" t="s">
        <v>15</v>
      </c>
      <c r="B76" t="s">
        <v>51</v>
      </c>
      <c r="C76">
        <v>12062.926413414145</v>
      </c>
    </row>
    <row r="77" spans="1:3" x14ac:dyDescent="0.35">
      <c r="A77" t="s">
        <v>16</v>
      </c>
      <c r="B77" t="s">
        <v>51</v>
      </c>
      <c r="C77">
        <v>5449.2263284551937</v>
      </c>
    </row>
    <row r="78" spans="1:3" x14ac:dyDescent="0.35">
      <c r="A78" t="s">
        <v>17</v>
      </c>
      <c r="B78" t="s">
        <v>51</v>
      </c>
      <c r="C78">
        <v>13203.549824182432</v>
      </c>
    </row>
    <row r="79" spans="1:3" x14ac:dyDescent="0.35">
      <c r="A79" t="s">
        <v>18</v>
      </c>
      <c r="B79" t="s">
        <v>51</v>
      </c>
      <c r="C79">
        <v>31386.147341944859</v>
      </c>
    </row>
    <row r="80" spans="1:3" x14ac:dyDescent="0.35">
      <c r="A80" t="s">
        <v>19</v>
      </c>
      <c r="B80" t="s">
        <v>51</v>
      </c>
      <c r="C80">
        <v>10244.471841810591</v>
      </c>
    </row>
    <row r="81" spans="1:3" x14ac:dyDescent="0.35">
      <c r="A81" t="s">
        <v>20</v>
      </c>
      <c r="B81" t="s">
        <v>51</v>
      </c>
      <c r="C81">
        <v>5889.9649634807083</v>
      </c>
    </row>
    <row r="82" spans="1:3" x14ac:dyDescent="0.35">
      <c r="A82" t="s">
        <v>21</v>
      </c>
      <c r="B82" t="s">
        <v>51</v>
      </c>
      <c r="C82">
        <v>2335.6826425299678</v>
      </c>
    </row>
    <row r="83" spans="1:3" x14ac:dyDescent="0.35">
      <c r="A83" t="s">
        <v>22</v>
      </c>
      <c r="B83" t="s">
        <v>51</v>
      </c>
      <c r="C83">
        <v>22359.703148873428</v>
      </c>
    </row>
    <row r="84" spans="1:3" x14ac:dyDescent="0.35">
      <c r="A84" t="s">
        <v>23</v>
      </c>
      <c r="B84" t="s">
        <v>51</v>
      </c>
      <c r="C84">
        <v>6048.3476407670341</v>
      </c>
    </row>
    <row r="85" spans="1:3" x14ac:dyDescent="0.35">
      <c r="A85" t="s">
        <v>24</v>
      </c>
      <c r="B85" t="s">
        <v>51</v>
      </c>
      <c r="C85">
        <v>352625.06938933244</v>
      </c>
    </row>
    <row r="86" spans="1:3" x14ac:dyDescent="0.35">
      <c r="A86" t="s">
        <v>25</v>
      </c>
      <c r="B86" t="s">
        <v>51</v>
      </c>
      <c r="C86">
        <v>115324.41557899019</v>
      </c>
    </row>
    <row r="87" spans="1:3" x14ac:dyDescent="0.35">
      <c r="A87" t="s">
        <v>26</v>
      </c>
      <c r="B87" t="s">
        <v>51</v>
      </c>
      <c r="C87">
        <v>9124.5699615623744</v>
      </c>
    </row>
    <row r="88" spans="1:3" x14ac:dyDescent="0.35">
      <c r="A88" t="s">
        <v>27</v>
      </c>
      <c r="B88" t="s">
        <v>51</v>
      </c>
      <c r="C88">
        <v>11067.922644235521</v>
      </c>
    </row>
    <row r="89" spans="1:3" x14ac:dyDescent="0.35">
      <c r="A89" t="s">
        <v>28</v>
      </c>
      <c r="B89" t="s">
        <v>51</v>
      </c>
      <c r="C89">
        <v>378.8757243078793</v>
      </c>
    </row>
    <row r="90" spans="1:3" x14ac:dyDescent="0.35">
      <c r="A90" t="s">
        <v>29</v>
      </c>
      <c r="B90" t="s">
        <v>51</v>
      </c>
      <c r="C90">
        <v>36889.961828831889</v>
      </c>
    </row>
    <row r="91" spans="1:3" x14ac:dyDescent="0.35">
      <c r="A91" t="s">
        <v>30</v>
      </c>
      <c r="B91" t="s">
        <v>51</v>
      </c>
      <c r="C91">
        <v>23325.937599181736</v>
      </c>
    </row>
    <row r="92" spans="1:3" x14ac:dyDescent="0.35">
      <c r="A92" t="s">
        <v>31</v>
      </c>
      <c r="B92" t="s">
        <v>51</v>
      </c>
      <c r="C92">
        <v>16768.969907405764</v>
      </c>
    </row>
    <row r="93" spans="1:3" x14ac:dyDescent="0.35">
      <c r="A93" t="s">
        <v>32</v>
      </c>
      <c r="B93" t="s">
        <v>51</v>
      </c>
      <c r="C93">
        <v>1403.5081026813932</v>
      </c>
    </row>
    <row r="94" spans="1:3" x14ac:dyDescent="0.35">
      <c r="A94" t="s">
        <v>33</v>
      </c>
      <c r="B94" t="s">
        <v>51</v>
      </c>
      <c r="C94">
        <v>4021.2234626871359</v>
      </c>
    </row>
    <row r="95" spans="1:3" x14ac:dyDescent="0.35">
      <c r="A95" t="s">
        <v>34</v>
      </c>
      <c r="B95" t="s">
        <v>51</v>
      </c>
      <c r="C95">
        <v>35059.638473407947</v>
      </c>
    </row>
    <row r="96" spans="1:3" x14ac:dyDescent="0.35">
      <c r="A96" t="s">
        <v>35</v>
      </c>
      <c r="B96" t="s">
        <v>51</v>
      </c>
      <c r="C96">
        <v>5309.1515165979945</v>
      </c>
    </row>
    <row r="97" spans="1:3" x14ac:dyDescent="0.35">
      <c r="A97" t="s">
        <v>36</v>
      </c>
      <c r="B97" t="s">
        <v>51</v>
      </c>
      <c r="C97">
        <v>996.18070306448499</v>
      </c>
    </row>
    <row r="98" spans="1:3" x14ac:dyDescent="0.35">
      <c r="A98" t="s">
        <v>37</v>
      </c>
      <c r="B98" t="s">
        <v>51</v>
      </c>
      <c r="C98">
        <v>2847.0080176842603</v>
      </c>
    </row>
    <row r="99" spans="1:3" x14ac:dyDescent="0.35">
      <c r="A99" t="s">
        <v>38</v>
      </c>
      <c r="B99" t="s">
        <v>51</v>
      </c>
      <c r="C99">
        <v>2802.7692850655585</v>
      </c>
    </row>
    <row r="100" spans="1:3" x14ac:dyDescent="0.35">
      <c r="A100" t="s">
        <v>39</v>
      </c>
      <c r="B100" t="s">
        <v>51</v>
      </c>
      <c r="C100">
        <v>1009.8771100921585</v>
      </c>
    </row>
    <row r="101" spans="1:3" x14ac:dyDescent="0.35">
      <c r="A101" t="s">
        <v>7</v>
      </c>
      <c r="B101" t="s">
        <v>41</v>
      </c>
      <c r="C101">
        <v>2238.2390689495855</v>
      </c>
    </row>
    <row r="102" spans="1:3" x14ac:dyDescent="0.35">
      <c r="A102" t="s">
        <v>8</v>
      </c>
      <c r="B102" t="s">
        <v>41</v>
      </c>
      <c r="C102">
        <v>1497.0532028779544</v>
      </c>
    </row>
    <row r="103" spans="1:3" x14ac:dyDescent="0.35">
      <c r="A103" t="s">
        <v>9</v>
      </c>
      <c r="B103" t="s">
        <v>41</v>
      </c>
      <c r="C103">
        <v>12465.592601901331</v>
      </c>
    </row>
    <row r="104" spans="1:3" x14ac:dyDescent="0.35">
      <c r="A104" t="s">
        <v>10</v>
      </c>
      <c r="B104" t="s">
        <v>41</v>
      </c>
      <c r="C104">
        <v>3902.8662748623879</v>
      </c>
    </row>
    <row r="105" spans="1:3" x14ac:dyDescent="0.35">
      <c r="A105" t="s">
        <v>11</v>
      </c>
      <c r="B105" t="s">
        <v>41</v>
      </c>
      <c r="C105">
        <v>34.798360414312093</v>
      </c>
    </row>
    <row r="106" spans="1:3" x14ac:dyDescent="0.35">
      <c r="A106" t="s">
        <v>12</v>
      </c>
      <c r="B106" t="s">
        <v>41</v>
      </c>
      <c r="C106">
        <v>2939.8538198687561</v>
      </c>
    </row>
    <row r="107" spans="1:3" x14ac:dyDescent="0.35">
      <c r="A107" t="s">
        <v>13</v>
      </c>
      <c r="B107" t="s">
        <v>41</v>
      </c>
      <c r="C107">
        <v>6031.1791315488608</v>
      </c>
    </row>
    <row r="108" spans="1:3" x14ac:dyDescent="0.35">
      <c r="A108" t="s">
        <v>14</v>
      </c>
      <c r="B108" t="s">
        <v>41</v>
      </c>
      <c r="C108">
        <v>1205.9069235209629</v>
      </c>
    </row>
    <row r="109" spans="1:3" x14ac:dyDescent="0.35">
      <c r="A109" t="s">
        <v>15</v>
      </c>
      <c r="B109" t="s">
        <v>41</v>
      </c>
      <c r="C109">
        <v>7250.9569897973079</v>
      </c>
    </row>
    <row r="110" spans="1:3" x14ac:dyDescent="0.35">
      <c r="A110" t="s">
        <v>16</v>
      </c>
      <c r="B110" t="s">
        <v>41</v>
      </c>
      <c r="C110">
        <v>3275.4991406334352</v>
      </c>
    </row>
    <row r="111" spans="1:3" x14ac:dyDescent="0.35">
      <c r="A111" t="s">
        <v>17</v>
      </c>
      <c r="B111" t="s">
        <v>41</v>
      </c>
      <c r="C111">
        <v>7936.5793123761332</v>
      </c>
    </row>
    <row r="112" spans="1:3" x14ac:dyDescent="0.35">
      <c r="A112" t="s">
        <v>18</v>
      </c>
      <c r="B112" t="s">
        <v>41</v>
      </c>
      <c r="C112">
        <v>18866.03629040833</v>
      </c>
    </row>
    <row r="113" spans="1:3" x14ac:dyDescent="0.35">
      <c r="A113" t="s">
        <v>19</v>
      </c>
      <c r="B113" t="s">
        <v>41</v>
      </c>
      <c r="C113">
        <v>6157.8942722906258</v>
      </c>
    </row>
    <row r="114" spans="1:3" x14ac:dyDescent="0.35">
      <c r="A114" t="s">
        <v>20</v>
      </c>
      <c r="B114" t="s">
        <v>41</v>
      </c>
      <c r="C114">
        <v>3540.4247692864924</v>
      </c>
    </row>
    <row r="115" spans="1:3" x14ac:dyDescent="0.35">
      <c r="A115" t="s">
        <v>21</v>
      </c>
      <c r="B115" t="s">
        <v>41</v>
      </c>
      <c r="C115">
        <v>1403.9656514489161</v>
      </c>
    </row>
    <row r="116" spans="1:3" x14ac:dyDescent="0.35">
      <c r="A116" t="s">
        <v>22</v>
      </c>
      <c r="B116" t="s">
        <v>41</v>
      </c>
      <c r="C116">
        <v>13440.291455630615</v>
      </c>
    </row>
    <row r="117" spans="1:3" x14ac:dyDescent="0.35">
      <c r="A117" t="s">
        <v>23</v>
      </c>
      <c r="B117" t="s">
        <v>41</v>
      </c>
      <c r="C117">
        <v>5239.5458026394135</v>
      </c>
    </row>
    <row r="118" spans="1:3" x14ac:dyDescent="0.35">
      <c r="A118" t="s">
        <v>24</v>
      </c>
      <c r="B118" t="s">
        <v>41</v>
      </c>
      <c r="C118">
        <v>199774.4966885953</v>
      </c>
    </row>
    <row r="119" spans="1:3" x14ac:dyDescent="0.35">
      <c r="A119" t="s">
        <v>25</v>
      </c>
      <c r="B119" t="s">
        <v>41</v>
      </c>
      <c r="C119">
        <v>224545.88276314412</v>
      </c>
    </row>
    <row r="120" spans="1:3" x14ac:dyDescent="0.35">
      <c r="A120" t="s">
        <v>26</v>
      </c>
      <c r="B120" t="s">
        <v>41</v>
      </c>
      <c r="C120">
        <v>79482.34148289694</v>
      </c>
    </row>
    <row r="121" spans="1:3" x14ac:dyDescent="0.35">
      <c r="A121" t="s">
        <v>27</v>
      </c>
      <c r="B121" t="s">
        <v>41</v>
      </c>
      <c r="C121">
        <v>15815.068660135632</v>
      </c>
    </row>
    <row r="122" spans="1:3" x14ac:dyDescent="0.35">
      <c r="A122" t="s">
        <v>28</v>
      </c>
      <c r="B122" t="s">
        <v>41</v>
      </c>
      <c r="C122">
        <v>541.3794420453479</v>
      </c>
    </row>
    <row r="123" spans="1:3" x14ac:dyDescent="0.35">
      <c r="A123" t="s">
        <v>29</v>
      </c>
      <c r="B123" t="s">
        <v>41</v>
      </c>
      <c r="C123">
        <v>52712.445762225514</v>
      </c>
    </row>
    <row r="124" spans="1:3" x14ac:dyDescent="0.35">
      <c r="A124" t="s">
        <v>30</v>
      </c>
      <c r="B124" t="s">
        <v>41</v>
      </c>
      <c r="C124">
        <v>33330.672585123051</v>
      </c>
    </row>
    <row r="125" spans="1:3" x14ac:dyDescent="0.35">
      <c r="A125" t="s">
        <v>31</v>
      </c>
      <c r="B125" t="s">
        <v>41</v>
      </c>
      <c r="C125">
        <v>23961.352797393651</v>
      </c>
    </row>
    <row r="126" spans="1:3" x14ac:dyDescent="0.35">
      <c r="A126" t="s">
        <v>32</v>
      </c>
      <c r="B126" t="s">
        <v>41</v>
      </c>
      <c r="C126">
        <v>16394.182417280997</v>
      </c>
    </row>
    <row r="127" spans="1:3" x14ac:dyDescent="0.35">
      <c r="A127" t="s">
        <v>33</v>
      </c>
      <c r="B127" t="s">
        <v>41</v>
      </c>
      <c r="C127">
        <v>22134.803529703582</v>
      </c>
    </row>
    <row r="128" spans="1:3" x14ac:dyDescent="0.35">
      <c r="A128" t="s">
        <v>34</v>
      </c>
      <c r="B128" t="s">
        <v>41</v>
      </c>
      <c r="C128">
        <v>192985.57139836767</v>
      </c>
    </row>
    <row r="129" spans="1:3" x14ac:dyDescent="0.35">
      <c r="A129" t="s">
        <v>35</v>
      </c>
      <c r="B129" t="s">
        <v>41</v>
      </c>
      <c r="C129">
        <v>22486.522429762805</v>
      </c>
    </row>
    <row r="130" spans="1:3" x14ac:dyDescent="0.35">
      <c r="A130" t="s">
        <v>36</v>
      </c>
      <c r="B130" t="s">
        <v>41</v>
      </c>
      <c r="C130">
        <v>15575.459918613382</v>
      </c>
    </row>
    <row r="131" spans="1:3" x14ac:dyDescent="0.35">
      <c r="A131" t="s">
        <v>37</v>
      </c>
      <c r="B131" t="s">
        <v>41</v>
      </c>
      <c r="C131">
        <v>11799.410198202584</v>
      </c>
    </row>
    <row r="132" spans="1:3" x14ac:dyDescent="0.35">
      <c r="A132" t="s">
        <v>38</v>
      </c>
      <c r="B132" t="s">
        <v>41</v>
      </c>
      <c r="C132">
        <v>23190.501586363822</v>
      </c>
    </row>
    <row r="133" spans="1:3" x14ac:dyDescent="0.35">
      <c r="A133" t="s">
        <v>39</v>
      </c>
      <c r="B133" t="s">
        <v>41</v>
      </c>
      <c r="C133">
        <v>35823.011224465015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0">
    <tabColor rgb="FF7030A0"/>
  </sheetPr>
  <dimension ref="A1:C133"/>
  <sheetViews>
    <sheetView workbookViewId="0">
      <selection sqref="A1:C1048576"/>
    </sheetView>
  </sheetViews>
  <sheetFormatPr defaultRowHeight="14.5" x14ac:dyDescent="0.35"/>
  <sheetData>
    <row r="1" spans="1:3" x14ac:dyDescent="0.35">
      <c r="A1" s="1" t="s">
        <v>3</v>
      </c>
      <c r="B1" s="1" t="s">
        <v>6</v>
      </c>
      <c r="C1" s="1" t="s">
        <v>0</v>
      </c>
    </row>
    <row r="2" spans="1:3" x14ac:dyDescent="0.35">
      <c r="A2" t="s">
        <v>7</v>
      </c>
      <c r="B2" t="s">
        <v>40</v>
      </c>
      <c r="C2">
        <v>14.240860604754507</v>
      </c>
    </row>
    <row r="3" spans="1:3" x14ac:dyDescent="0.35">
      <c r="A3" t="s">
        <v>8</v>
      </c>
      <c r="B3" t="s">
        <v>40</v>
      </c>
      <c r="C3">
        <v>90.36473365562405</v>
      </c>
    </row>
    <row r="4" spans="1:3" x14ac:dyDescent="0.35">
      <c r="A4" t="s">
        <v>9</v>
      </c>
      <c r="B4" t="s">
        <v>40</v>
      </c>
      <c r="C4">
        <v>69.178651884330151</v>
      </c>
    </row>
    <row r="5" spans="1:3" x14ac:dyDescent="0.35">
      <c r="A5" t="s">
        <v>10</v>
      </c>
      <c r="B5" t="s">
        <v>40</v>
      </c>
      <c r="C5">
        <v>21.6592214082422</v>
      </c>
    </row>
    <row r="6" spans="1:3" x14ac:dyDescent="0.35">
      <c r="A6" t="s">
        <v>11</v>
      </c>
      <c r="B6" t="s">
        <v>40</v>
      </c>
      <c r="C6">
        <v>0.1931158784958236</v>
      </c>
    </row>
    <row r="7" spans="1:3" x14ac:dyDescent="0.35">
      <c r="A7" t="s">
        <v>12</v>
      </c>
      <c r="B7" t="s">
        <v>40</v>
      </c>
      <c r="C7">
        <v>16.314918473340981</v>
      </c>
    </row>
    <row r="8" spans="1:3" x14ac:dyDescent="0.35">
      <c r="A8" t="s">
        <v>13</v>
      </c>
      <c r="B8" t="s">
        <v>40</v>
      </c>
      <c r="C8">
        <v>33.470437718825472</v>
      </c>
    </row>
    <row r="9" spans="1:3" x14ac:dyDescent="0.35">
      <c r="A9" t="s">
        <v>14</v>
      </c>
      <c r="B9" t="s">
        <v>40</v>
      </c>
      <c r="C9">
        <v>6.6922626232696052</v>
      </c>
    </row>
    <row r="10" spans="1:3" x14ac:dyDescent="0.35">
      <c r="A10" t="s">
        <v>15</v>
      </c>
      <c r="B10" t="s">
        <v>40</v>
      </c>
      <c r="C10">
        <v>40.239677866678207</v>
      </c>
    </row>
    <row r="11" spans="1:3" x14ac:dyDescent="0.35">
      <c r="A11" t="s">
        <v>16</v>
      </c>
      <c r="B11" t="s">
        <v>40</v>
      </c>
      <c r="C11">
        <v>18.177603966620001</v>
      </c>
    </row>
    <row r="12" spans="1:3" x14ac:dyDescent="0.35">
      <c r="A12" t="s">
        <v>17</v>
      </c>
      <c r="B12" t="s">
        <v>40</v>
      </c>
      <c r="C12">
        <v>44.044585402310204</v>
      </c>
    </row>
    <row r="13" spans="1:3" x14ac:dyDescent="0.35">
      <c r="A13" t="s">
        <v>18</v>
      </c>
      <c r="B13" t="s">
        <v>40</v>
      </c>
      <c r="C13">
        <v>104.69835124567608</v>
      </c>
    </row>
    <row r="14" spans="1:3" x14ac:dyDescent="0.35">
      <c r="A14" t="s">
        <v>19</v>
      </c>
      <c r="B14" t="s">
        <v>40</v>
      </c>
      <c r="C14">
        <v>34.173652479162627</v>
      </c>
    </row>
    <row r="15" spans="1:3" x14ac:dyDescent="0.35">
      <c r="A15" t="s">
        <v>20</v>
      </c>
      <c r="B15" t="s">
        <v>40</v>
      </c>
      <c r="C15">
        <v>19.647828158439758</v>
      </c>
    </row>
    <row r="16" spans="1:3" x14ac:dyDescent="0.35">
      <c r="A16" t="s">
        <v>21</v>
      </c>
      <c r="B16" t="s">
        <v>40</v>
      </c>
      <c r="C16">
        <v>7.7914024151849324</v>
      </c>
    </row>
    <row r="17" spans="1:3" x14ac:dyDescent="0.35">
      <c r="A17" t="s">
        <v>22</v>
      </c>
      <c r="B17" t="s">
        <v>40</v>
      </c>
      <c r="C17">
        <v>74.58780928839829</v>
      </c>
    </row>
    <row r="18" spans="1:3" x14ac:dyDescent="0.35">
      <c r="A18" t="s">
        <v>23</v>
      </c>
      <c r="B18" t="s">
        <v>40</v>
      </c>
      <c r="C18">
        <v>48.108216370243397</v>
      </c>
    </row>
    <row r="19" spans="1:3" x14ac:dyDescent="0.35">
      <c r="A19" t="s">
        <v>24</v>
      </c>
      <c r="B19" t="s">
        <v>40</v>
      </c>
      <c r="C19">
        <v>1047.764845876356</v>
      </c>
    </row>
    <row r="20" spans="1:3" x14ac:dyDescent="0.35">
      <c r="A20" t="s">
        <v>25</v>
      </c>
      <c r="B20" t="s">
        <v>40</v>
      </c>
      <c r="C20">
        <v>964.44286510162874</v>
      </c>
    </row>
    <row r="21" spans="1:3" x14ac:dyDescent="0.35">
      <c r="A21" t="s">
        <v>26</v>
      </c>
      <c r="B21" t="s">
        <v>40</v>
      </c>
      <c r="C21">
        <v>161.51725173174293</v>
      </c>
    </row>
    <row r="22" spans="1:3" x14ac:dyDescent="0.35">
      <c r="A22" t="s">
        <v>27</v>
      </c>
      <c r="B22" t="s">
        <v>40</v>
      </c>
      <c r="C22">
        <v>57.049090282828814</v>
      </c>
    </row>
    <row r="23" spans="1:3" x14ac:dyDescent="0.35">
      <c r="A23" t="s">
        <v>28</v>
      </c>
      <c r="B23" t="s">
        <v>40</v>
      </c>
      <c r="C23">
        <v>1.9528972935735418</v>
      </c>
    </row>
    <row r="24" spans="1:3" x14ac:dyDescent="0.35">
      <c r="A24" t="s">
        <v>29</v>
      </c>
      <c r="B24" t="s">
        <v>40</v>
      </c>
      <c r="C24">
        <v>190.14758692186055</v>
      </c>
    </row>
    <row r="25" spans="1:3" x14ac:dyDescent="0.35">
      <c r="A25" t="s">
        <v>30</v>
      </c>
      <c r="B25" t="s">
        <v>40</v>
      </c>
      <c r="C25">
        <v>120.23245711524216</v>
      </c>
    </row>
    <row r="26" spans="1:3" x14ac:dyDescent="0.35">
      <c r="A26" t="s">
        <v>31</v>
      </c>
      <c r="B26" t="s">
        <v>40</v>
      </c>
      <c r="C26">
        <v>170.06176809459561</v>
      </c>
    </row>
    <row r="27" spans="1:3" x14ac:dyDescent="0.35">
      <c r="A27" t="s">
        <v>32</v>
      </c>
      <c r="B27" t="s">
        <v>40</v>
      </c>
      <c r="C27">
        <v>1001.5208876216442</v>
      </c>
    </row>
    <row r="28" spans="1:3" x14ac:dyDescent="0.35">
      <c r="A28" t="s">
        <v>33</v>
      </c>
      <c r="B28" t="s">
        <v>40</v>
      </c>
      <c r="C28">
        <v>129.87664871536109</v>
      </c>
    </row>
    <row r="29" spans="1:3" x14ac:dyDescent="0.35">
      <c r="A29" t="s">
        <v>34</v>
      </c>
      <c r="B29" t="s">
        <v>40</v>
      </c>
      <c r="C29">
        <v>1671.9806048934861</v>
      </c>
    </row>
    <row r="30" spans="1:3" x14ac:dyDescent="0.35">
      <c r="A30" t="s">
        <v>35</v>
      </c>
      <c r="B30" t="s">
        <v>40</v>
      </c>
      <c r="C30">
        <v>9787.3551065403699</v>
      </c>
    </row>
    <row r="31" spans="1:3" x14ac:dyDescent="0.35">
      <c r="A31" t="s">
        <v>36</v>
      </c>
      <c r="B31" t="s">
        <v>40</v>
      </c>
      <c r="C31">
        <v>392.06383868580497</v>
      </c>
    </row>
    <row r="32" spans="1:3" x14ac:dyDescent="0.35">
      <c r="A32" t="s">
        <v>37</v>
      </c>
      <c r="B32" t="s">
        <v>40</v>
      </c>
      <c r="C32">
        <v>380.6193652543476</v>
      </c>
    </row>
    <row r="33" spans="1:3" x14ac:dyDescent="0.35">
      <c r="A33" t="s">
        <v>38</v>
      </c>
      <c r="B33" t="s">
        <v>40</v>
      </c>
      <c r="C33">
        <v>66.802582473212055</v>
      </c>
    </row>
    <row r="34" spans="1:3" x14ac:dyDescent="0.35">
      <c r="A34" t="s">
        <v>39</v>
      </c>
      <c r="B34" t="s">
        <v>40</v>
      </c>
      <c r="C34">
        <v>147.79424060352491</v>
      </c>
    </row>
    <row r="35" spans="1:3" x14ac:dyDescent="0.35">
      <c r="A35" t="s">
        <v>7</v>
      </c>
      <c r="B35" t="s">
        <v>50</v>
      </c>
      <c r="C35">
        <v>30.743507695157792</v>
      </c>
    </row>
    <row r="36" spans="1:3" x14ac:dyDescent="0.35">
      <c r="A36" t="s">
        <v>8</v>
      </c>
      <c r="B36" t="s">
        <v>50</v>
      </c>
      <c r="C36">
        <v>592.28667911330149</v>
      </c>
    </row>
    <row r="37" spans="1:3" x14ac:dyDescent="0.35">
      <c r="A37" t="s">
        <v>9</v>
      </c>
      <c r="B37" t="s">
        <v>50</v>
      </c>
      <c r="C37">
        <v>927.72144244620972</v>
      </c>
    </row>
    <row r="38" spans="1:3" x14ac:dyDescent="0.35">
      <c r="A38" t="s">
        <v>10</v>
      </c>
      <c r="B38" t="s">
        <v>50</v>
      </c>
      <c r="C38">
        <v>290.461345760678</v>
      </c>
    </row>
    <row r="39" spans="1:3" x14ac:dyDescent="0.35">
      <c r="A39" t="s">
        <v>11</v>
      </c>
      <c r="B39" t="s">
        <v>50</v>
      </c>
      <c r="C39">
        <v>2.5897838375927149</v>
      </c>
    </row>
    <row r="40" spans="1:3" x14ac:dyDescent="0.35">
      <c r="A40" t="s">
        <v>12</v>
      </c>
      <c r="B40" t="s">
        <v>50</v>
      </c>
      <c r="C40">
        <v>218.79147878394423</v>
      </c>
    </row>
    <row r="41" spans="1:3" x14ac:dyDescent="0.35">
      <c r="A41" t="s">
        <v>13</v>
      </c>
      <c r="B41" t="s">
        <v>50</v>
      </c>
      <c r="C41">
        <v>448.85584301821325</v>
      </c>
    </row>
    <row r="42" spans="1:3" x14ac:dyDescent="0.35">
      <c r="A42" t="s">
        <v>14</v>
      </c>
      <c r="B42" t="s">
        <v>50</v>
      </c>
      <c r="C42">
        <v>89.746698201315255</v>
      </c>
    </row>
    <row r="43" spans="1:3" x14ac:dyDescent="0.35">
      <c r="A43" t="s">
        <v>15</v>
      </c>
      <c r="B43" t="s">
        <v>50</v>
      </c>
      <c r="C43">
        <v>539.6348495921909</v>
      </c>
    </row>
    <row r="44" spans="1:3" x14ac:dyDescent="0.35">
      <c r="A44" t="s">
        <v>16</v>
      </c>
      <c r="B44" t="s">
        <v>50</v>
      </c>
      <c r="C44">
        <v>243.77104133795228</v>
      </c>
    </row>
    <row r="45" spans="1:3" x14ac:dyDescent="0.35">
      <c r="A45" t="s">
        <v>17</v>
      </c>
      <c r="B45" t="s">
        <v>50</v>
      </c>
      <c r="C45">
        <v>590.66062831015802</v>
      </c>
    </row>
    <row r="46" spans="1:3" x14ac:dyDescent="0.35">
      <c r="A46" t="s">
        <v>18</v>
      </c>
      <c r="B46" t="s">
        <v>50</v>
      </c>
      <c r="C46">
        <v>1404.0589732473013</v>
      </c>
    </row>
    <row r="47" spans="1:3" x14ac:dyDescent="0.35">
      <c r="A47" t="s">
        <v>19</v>
      </c>
      <c r="B47" t="s">
        <v>50</v>
      </c>
      <c r="C47">
        <v>458.28632847770712</v>
      </c>
    </row>
    <row r="48" spans="1:3" x14ac:dyDescent="0.35">
      <c r="A48" t="s">
        <v>20</v>
      </c>
      <c r="B48" t="s">
        <v>50</v>
      </c>
      <c r="C48">
        <v>263.48752981833542</v>
      </c>
    </row>
    <row r="49" spans="1:3" x14ac:dyDescent="0.35">
      <c r="A49" t="s">
        <v>21</v>
      </c>
      <c r="B49" t="s">
        <v>50</v>
      </c>
      <c r="C49">
        <v>104.4867262209126</v>
      </c>
    </row>
    <row r="50" spans="1:3" x14ac:dyDescent="0.35">
      <c r="A50" t="s">
        <v>22</v>
      </c>
      <c r="B50" t="s">
        <v>50</v>
      </c>
      <c r="C50">
        <v>1000.2610287426681</v>
      </c>
    </row>
    <row r="51" spans="1:3" x14ac:dyDescent="0.35">
      <c r="A51" t="s">
        <v>23</v>
      </c>
      <c r="B51" t="s">
        <v>50</v>
      </c>
      <c r="C51">
        <v>2404.9789745726143</v>
      </c>
    </row>
    <row r="52" spans="1:3" x14ac:dyDescent="0.35">
      <c r="A52" t="s">
        <v>24</v>
      </c>
      <c r="B52" t="s">
        <v>50</v>
      </c>
      <c r="C52">
        <v>6187.5842968339657</v>
      </c>
    </row>
    <row r="53" spans="1:3" x14ac:dyDescent="0.35">
      <c r="A53" t="s">
        <v>25</v>
      </c>
      <c r="B53" t="s">
        <v>50</v>
      </c>
      <c r="C53">
        <v>40822.218702437684</v>
      </c>
    </row>
    <row r="54" spans="1:3" x14ac:dyDescent="0.35">
      <c r="A54" t="s">
        <v>26</v>
      </c>
      <c r="B54" t="s">
        <v>50</v>
      </c>
      <c r="C54">
        <v>9345.861380228187</v>
      </c>
    </row>
    <row r="55" spans="1:3" x14ac:dyDescent="0.35">
      <c r="A55" t="s">
        <v>27</v>
      </c>
      <c r="B55" t="s">
        <v>50</v>
      </c>
      <c r="C55">
        <v>2758.0704408695756</v>
      </c>
    </row>
    <row r="56" spans="1:3" x14ac:dyDescent="0.35">
      <c r="A56" t="s">
        <v>28</v>
      </c>
      <c r="B56" t="s">
        <v>50</v>
      </c>
      <c r="C56">
        <v>94.413921476471941</v>
      </c>
    </row>
    <row r="57" spans="1:3" x14ac:dyDescent="0.35">
      <c r="A57" t="s">
        <v>29</v>
      </c>
      <c r="B57" t="s">
        <v>50</v>
      </c>
      <c r="C57">
        <v>9192.7923531969864</v>
      </c>
    </row>
    <row r="58" spans="1:3" x14ac:dyDescent="0.35">
      <c r="A58" t="s">
        <v>30</v>
      </c>
      <c r="B58" t="s">
        <v>50</v>
      </c>
      <c r="C58">
        <v>5812.7059446756848</v>
      </c>
    </row>
    <row r="59" spans="1:3" x14ac:dyDescent="0.35">
      <c r="A59" t="s">
        <v>31</v>
      </c>
      <c r="B59" t="s">
        <v>50</v>
      </c>
      <c r="C59">
        <v>7550.759279817049</v>
      </c>
    </row>
    <row r="60" spans="1:3" x14ac:dyDescent="0.35">
      <c r="A60" t="s">
        <v>32</v>
      </c>
      <c r="B60" t="s">
        <v>50</v>
      </c>
      <c r="C60">
        <v>14099.108027786451</v>
      </c>
    </row>
    <row r="61" spans="1:3" x14ac:dyDescent="0.35">
      <c r="A61" t="s">
        <v>33</v>
      </c>
      <c r="B61" t="s">
        <v>50</v>
      </c>
      <c r="C61">
        <v>15303.161130070783</v>
      </c>
    </row>
    <row r="62" spans="1:3" x14ac:dyDescent="0.35">
      <c r="A62" t="s">
        <v>34</v>
      </c>
      <c r="B62" t="s">
        <v>50</v>
      </c>
      <c r="C62">
        <v>23893.88283057493</v>
      </c>
    </row>
    <row r="63" spans="1:3" x14ac:dyDescent="0.35">
      <c r="A63" t="s">
        <v>35</v>
      </c>
      <c r="B63" t="s">
        <v>50</v>
      </c>
      <c r="C63">
        <v>9877.7045581681359</v>
      </c>
    </row>
    <row r="64" spans="1:3" x14ac:dyDescent="0.35">
      <c r="A64" t="s">
        <v>36</v>
      </c>
      <c r="B64" t="s">
        <v>50</v>
      </c>
      <c r="C64">
        <v>4408.2778593817657</v>
      </c>
    </row>
    <row r="65" spans="1:3" x14ac:dyDescent="0.35">
      <c r="A65" t="s">
        <v>37</v>
      </c>
      <c r="B65" t="s">
        <v>50</v>
      </c>
      <c r="C65">
        <v>4150.496082192034</v>
      </c>
    </row>
    <row r="66" spans="1:3" x14ac:dyDescent="0.35">
      <c r="A66" t="s">
        <v>38</v>
      </c>
      <c r="B66" t="s">
        <v>50</v>
      </c>
      <c r="C66">
        <v>2003.9408581795938</v>
      </c>
    </row>
    <row r="67" spans="1:3" x14ac:dyDescent="0.35">
      <c r="A67" t="s">
        <v>39</v>
      </c>
      <c r="B67" t="s">
        <v>50</v>
      </c>
      <c r="C67">
        <v>1299.6995710203696</v>
      </c>
    </row>
    <row r="68" spans="1:3" x14ac:dyDescent="0.35">
      <c r="A68" t="s">
        <v>7</v>
      </c>
      <c r="B68" t="s">
        <v>51</v>
      </c>
      <c r="C68">
        <v>127.93367214057686</v>
      </c>
    </row>
    <row r="69" spans="1:3" x14ac:dyDescent="0.35">
      <c r="A69" t="s">
        <v>8</v>
      </c>
      <c r="B69" t="s">
        <v>51</v>
      </c>
      <c r="C69">
        <v>142.95476446802695</v>
      </c>
    </row>
    <row r="70" spans="1:3" x14ac:dyDescent="0.35">
      <c r="A70" t="s">
        <v>9</v>
      </c>
      <c r="B70" t="s">
        <v>51</v>
      </c>
      <c r="C70">
        <v>963.96150653813197</v>
      </c>
    </row>
    <row r="71" spans="1:3" x14ac:dyDescent="0.35">
      <c r="A71" t="s">
        <v>10</v>
      </c>
      <c r="B71" t="s">
        <v>51</v>
      </c>
      <c r="C71">
        <v>301.80778221764785</v>
      </c>
    </row>
    <row r="72" spans="1:3" x14ac:dyDescent="0.35">
      <c r="A72" t="s">
        <v>11</v>
      </c>
      <c r="B72" t="s">
        <v>51</v>
      </c>
      <c r="C72">
        <v>2.690949518407094</v>
      </c>
    </row>
    <row r="73" spans="1:3" x14ac:dyDescent="0.35">
      <c r="A73" t="s">
        <v>12</v>
      </c>
      <c r="B73" t="s">
        <v>51</v>
      </c>
      <c r="C73">
        <v>227.33824837079317</v>
      </c>
    </row>
    <row r="74" spans="1:3" x14ac:dyDescent="0.35">
      <c r="A74" t="s">
        <v>13</v>
      </c>
      <c r="B74" t="s">
        <v>51</v>
      </c>
      <c r="C74">
        <v>466.38975086255255</v>
      </c>
    </row>
    <row r="75" spans="1:3" x14ac:dyDescent="0.35">
      <c r="A75" t="s">
        <v>14</v>
      </c>
      <c r="B75" t="s">
        <v>51</v>
      </c>
      <c r="C75">
        <v>93.252518316112983</v>
      </c>
    </row>
    <row r="76" spans="1:3" x14ac:dyDescent="0.35">
      <c r="A76" t="s">
        <v>15</v>
      </c>
      <c r="B76" t="s">
        <v>51</v>
      </c>
      <c r="C76">
        <v>560.71490310745753</v>
      </c>
    </row>
    <row r="77" spans="1:3" x14ac:dyDescent="0.35">
      <c r="A77" t="s">
        <v>16</v>
      </c>
      <c r="B77" t="s">
        <v>51</v>
      </c>
      <c r="C77">
        <v>253.29362442831001</v>
      </c>
    </row>
    <row r="78" spans="1:3" x14ac:dyDescent="0.35">
      <c r="A78" t="s">
        <v>17</v>
      </c>
      <c r="B78" t="s">
        <v>51</v>
      </c>
      <c r="C78">
        <v>613.73392016914727</v>
      </c>
    </row>
    <row r="79" spans="1:3" x14ac:dyDescent="0.35">
      <c r="A79" t="s">
        <v>18</v>
      </c>
      <c r="B79" t="s">
        <v>51</v>
      </c>
      <c r="C79">
        <v>1458.9064133777188</v>
      </c>
    </row>
    <row r="80" spans="1:3" x14ac:dyDescent="0.35">
      <c r="A80" t="s">
        <v>19</v>
      </c>
      <c r="B80" t="s">
        <v>51</v>
      </c>
      <c r="C80">
        <v>476.18859895278081</v>
      </c>
    </row>
    <row r="81" spans="1:3" x14ac:dyDescent="0.35">
      <c r="A81" t="s">
        <v>20</v>
      </c>
      <c r="B81" t="s">
        <v>51</v>
      </c>
      <c r="C81">
        <v>273.78026161016174</v>
      </c>
    </row>
    <row r="82" spans="1:3" x14ac:dyDescent="0.35">
      <c r="A82" t="s">
        <v>21</v>
      </c>
      <c r="B82" t="s">
        <v>51</v>
      </c>
      <c r="C82">
        <v>108.56835213078469</v>
      </c>
    </row>
    <row r="83" spans="1:3" x14ac:dyDescent="0.35">
      <c r="A83" t="s">
        <v>22</v>
      </c>
      <c r="B83" t="s">
        <v>51</v>
      </c>
      <c r="C83">
        <v>1039.3347596933177</v>
      </c>
    </row>
    <row r="84" spans="1:3" x14ac:dyDescent="0.35">
      <c r="A84" t="s">
        <v>23</v>
      </c>
      <c r="B84" t="s">
        <v>51</v>
      </c>
      <c r="C84">
        <v>742.96625378392537</v>
      </c>
    </row>
    <row r="85" spans="1:3" x14ac:dyDescent="0.35">
      <c r="A85" t="s">
        <v>24</v>
      </c>
      <c r="B85" t="s">
        <v>51</v>
      </c>
      <c r="C85">
        <v>8016.1611706743697</v>
      </c>
    </row>
    <row r="86" spans="1:3" x14ac:dyDescent="0.35">
      <c r="A86" t="s">
        <v>25</v>
      </c>
      <c r="B86" t="s">
        <v>51</v>
      </c>
      <c r="C86">
        <v>5162.5430097823773</v>
      </c>
    </row>
    <row r="87" spans="1:3" x14ac:dyDescent="0.35">
      <c r="A87" t="s">
        <v>26</v>
      </c>
      <c r="B87" t="s">
        <v>51</v>
      </c>
      <c r="C87">
        <v>240.39396005894559</v>
      </c>
    </row>
    <row r="88" spans="1:3" x14ac:dyDescent="0.35">
      <c r="A88" t="s">
        <v>27</v>
      </c>
      <c r="B88" t="s">
        <v>51</v>
      </c>
      <c r="C88">
        <v>380.68439090067977</v>
      </c>
    </row>
    <row r="89" spans="1:3" x14ac:dyDescent="0.35">
      <c r="A89" t="s">
        <v>28</v>
      </c>
      <c r="B89" t="s">
        <v>51</v>
      </c>
      <c r="C89">
        <v>13.031539717849256</v>
      </c>
    </row>
    <row r="90" spans="1:3" x14ac:dyDescent="0.35">
      <c r="A90" t="s">
        <v>29</v>
      </c>
      <c r="B90" t="s">
        <v>51</v>
      </c>
      <c r="C90">
        <v>1268.8408514973053</v>
      </c>
    </row>
    <row r="91" spans="1:3" x14ac:dyDescent="0.35">
      <c r="A91" t="s">
        <v>30</v>
      </c>
      <c r="B91" t="s">
        <v>51</v>
      </c>
      <c r="C91">
        <v>802.30235493367582</v>
      </c>
    </row>
    <row r="92" spans="1:3" x14ac:dyDescent="0.35">
      <c r="A92" t="s">
        <v>31</v>
      </c>
      <c r="B92" t="s">
        <v>51</v>
      </c>
      <c r="C92">
        <v>1042.1982870666479</v>
      </c>
    </row>
    <row r="93" spans="1:3" x14ac:dyDescent="0.35">
      <c r="A93" t="s">
        <v>32</v>
      </c>
      <c r="B93" t="s">
        <v>51</v>
      </c>
      <c r="C93">
        <v>134.06952180429471</v>
      </c>
    </row>
    <row r="94" spans="1:3" x14ac:dyDescent="0.35">
      <c r="A94" t="s">
        <v>33</v>
      </c>
      <c r="B94" t="s">
        <v>51</v>
      </c>
      <c r="C94">
        <v>306.48376311625543</v>
      </c>
    </row>
    <row r="95" spans="1:3" x14ac:dyDescent="0.35">
      <c r="A95" t="s">
        <v>34</v>
      </c>
      <c r="B95" t="s">
        <v>51</v>
      </c>
      <c r="C95">
        <v>478.53435636589711</v>
      </c>
    </row>
    <row r="96" spans="1:3" x14ac:dyDescent="0.35">
      <c r="A96" t="s">
        <v>35</v>
      </c>
      <c r="B96" t="s">
        <v>51</v>
      </c>
      <c r="C96">
        <v>383.57971108492893</v>
      </c>
    </row>
    <row r="97" spans="1:3" x14ac:dyDescent="0.35">
      <c r="A97" t="s">
        <v>36</v>
      </c>
      <c r="B97" t="s">
        <v>51</v>
      </c>
      <c r="C97">
        <v>40.979410785217624</v>
      </c>
    </row>
    <row r="98" spans="1:3" x14ac:dyDescent="0.35">
      <c r="A98" t="s">
        <v>37</v>
      </c>
      <c r="B98" t="s">
        <v>51</v>
      </c>
      <c r="C98">
        <v>159.66584409635652</v>
      </c>
    </row>
    <row r="99" spans="1:3" x14ac:dyDescent="0.35">
      <c r="A99" t="s">
        <v>38</v>
      </c>
      <c r="B99" t="s">
        <v>51</v>
      </c>
      <c r="C99">
        <v>64.903642667589793</v>
      </c>
    </row>
    <row r="100" spans="1:3" x14ac:dyDescent="0.35">
      <c r="A100" t="s">
        <v>39</v>
      </c>
      <c r="B100" t="s">
        <v>51</v>
      </c>
      <c r="C100">
        <v>3.9055824554286573</v>
      </c>
    </row>
    <row r="101" spans="1:3" x14ac:dyDescent="0.35">
      <c r="A101" t="s">
        <v>7</v>
      </c>
      <c r="B101" t="s">
        <v>41</v>
      </c>
      <c r="C101">
        <v>60.081959559510828</v>
      </c>
    </row>
    <row r="102" spans="1:3" x14ac:dyDescent="0.35">
      <c r="A102" t="s">
        <v>8</v>
      </c>
      <c r="B102" t="s">
        <v>41</v>
      </c>
      <c r="C102">
        <v>278.39382276304758</v>
      </c>
    </row>
    <row r="103" spans="1:3" x14ac:dyDescent="0.35">
      <c r="A103" t="s">
        <v>9</v>
      </c>
      <c r="B103" t="s">
        <v>41</v>
      </c>
      <c r="C103">
        <v>716.27198415015982</v>
      </c>
    </row>
    <row r="104" spans="1:3" x14ac:dyDescent="0.35">
      <c r="A104" t="s">
        <v>10</v>
      </c>
      <c r="B104" t="s">
        <v>41</v>
      </c>
      <c r="C104">
        <v>224.25839577170706</v>
      </c>
    </row>
    <row r="105" spans="1:3" x14ac:dyDescent="0.35">
      <c r="A105" t="s">
        <v>11</v>
      </c>
      <c r="B105" t="s">
        <v>41</v>
      </c>
      <c r="C105">
        <v>1.9995112609651295</v>
      </c>
    </row>
    <row r="106" spans="1:3" x14ac:dyDescent="0.35">
      <c r="A106" t="s">
        <v>12</v>
      </c>
      <c r="B106" t="s">
        <v>41</v>
      </c>
      <c r="C106">
        <v>168.92377500630434</v>
      </c>
    </row>
    <row r="107" spans="1:3" x14ac:dyDescent="0.35">
      <c r="A107" t="s">
        <v>13</v>
      </c>
      <c r="B107" t="s">
        <v>41</v>
      </c>
      <c r="C107">
        <v>346.55108450686464</v>
      </c>
    </row>
    <row r="108" spans="1:3" x14ac:dyDescent="0.35">
      <c r="A108" t="s">
        <v>14</v>
      </c>
      <c r="B108" t="s">
        <v>41</v>
      </c>
      <c r="C108">
        <v>69.29132177421134</v>
      </c>
    </row>
    <row r="109" spans="1:3" x14ac:dyDescent="0.35">
      <c r="A109" t="s">
        <v>15</v>
      </c>
      <c r="B109" t="s">
        <v>41</v>
      </c>
      <c r="C109">
        <v>416.63942736729655</v>
      </c>
    </row>
    <row r="110" spans="1:3" x14ac:dyDescent="0.35">
      <c r="A110" t="s">
        <v>16</v>
      </c>
      <c r="B110" t="s">
        <v>41</v>
      </c>
      <c r="C110">
        <v>188.20991889285344</v>
      </c>
    </row>
    <row r="111" spans="1:3" x14ac:dyDescent="0.35">
      <c r="A111" t="s">
        <v>17</v>
      </c>
      <c r="B111" t="s">
        <v>41</v>
      </c>
      <c r="C111">
        <v>456.03523222645941</v>
      </c>
    </row>
    <row r="112" spans="1:3" x14ac:dyDescent="0.35">
      <c r="A112" t="s">
        <v>18</v>
      </c>
      <c r="B112" t="s">
        <v>41</v>
      </c>
      <c r="C112">
        <v>1084.0410118049369</v>
      </c>
    </row>
    <row r="113" spans="1:3" x14ac:dyDescent="0.35">
      <c r="A113" t="s">
        <v>19</v>
      </c>
      <c r="B113" t="s">
        <v>41</v>
      </c>
      <c r="C113">
        <v>353.83213173676108</v>
      </c>
    </row>
    <row r="114" spans="1:3" x14ac:dyDescent="0.35">
      <c r="A114" t="s">
        <v>20</v>
      </c>
      <c r="B114" t="s">
        <v>41</v>
      </c>
      <c r="C114">
        <v>203.4325398942153</v>
      </c>
    </row>
    <row r="115" spans="1:3" x14ac:dyDescent="0.35">
      <c r="A115" t="s">
        <v>21</v>
      </c>
      <c r="B115" t="s">
        <v>41</v>
      </c>
      <c r="C115">
        <v>80.671755161811305</v>
      </c>
    </row>
    <row r="116" spans="1:3" x14ac:dyDescent="0.35">
      <c r="A116" t="s">
        <v>22</v>
      </c>
      <c r="B116" t="s">
        <v>41</v>
      </c>
      <c r="C116">
        <v>772.27810454797611</v>
      </c>
    </row>
    <row r="117" spans="1:3" x14ac:dyDescent="0.35">
      <c r="A117" t="s">
        <v>23</v>
      </c>
      <c r="B117" t="s">
        <v>41</v>
      </c>
      <c r="C117">
        <v>1191.9465552732172</v>
      </c>
    </row>
    <row r="118" spans="1:3" x14ac:dyDescent="0.35">
      <c r="A118" t="s">
        <v>24</v>
      </c>
      <c r="B118" t="s">
        <v>41</v>
      </c>
      <c r="C118">
        <v>5378.1448703327333</v>
      </c>
    </row>
    <row r="119" spans="1:3" x14ac:dyDescent="0.35">
      <c r="A119" t="s">
        <v>25</v>
      </c>
      <c r="B119" t="s">
        <v>41</v>
      </c>
      <c r="C119">
        <v>17411.795422678311</v>
      </c>
    </row>
    <row r="120" spans="1:3" x14ac:dyDescent="0.35">
      <c r="A120" t="s">
        <v>26</v>
      </c>
      <c r="B120" t="s">
        <v>41</v>
      </c>
      <c r="C120">
        <v>3629.7658319773577</v>
      </c>
    </row>
    <row r="121" spans="1:3" x14ac:dyDescent="0.35">
      <c r="A121" t="s">
        <v>27</v>
      </c>
      <c r="B121" t="s">
        <v>41</v>
      </c>
      <c r="C121">
        <v>1188.4666784780495</v>
      </c>
    </row>
    <row r="122" spans="1:3" x14ac:dyDescent="0.35">
      <c r="A122" t="s">
        <v>28</v>
      </c>
      <c r="B122" t="s">
        <v>41</v>
      </c>
      <c r="C122">
        <v>40.683442074109685</v>
      </c>
    </row>
    <row r="123" spans="1:3" x14ac:dyDescent="0.35">
      <c r="A123" t="s">
        <v>29</v>
      </c>
      <c r="B123" t="s">
        <v>41</v>
      </c>
      <c r="C123">
        <v>3961.2212908092356</v>
      </c>
    </row>
    <row r="124" spans="1:3" x14ac:dyDescent="0.35">
      <c r="A124" t="s">
        <v>30</v>
      </c>
      <c r="B124" t="s">
        <v>41</v>
      </c>
      <c r="C124">
        <v>2504.7247597568698</v>
      </c>
    </row>
    <row r="125" spans="1:3" x14ac:dyDescent="0.35">
      <c r="A125" t="s">
        <v>31</v>
      </c>
      <c r="B125" t="s">
        <v>41</v>
      </c>
      <c r="C125">
        <v>3253.6608576265508</v>
      </c>
    </row>
    <row r="126" spans="1:3" x14ac:dyDescent="0.35">
      <c r="A126" t="s">
        <v>32</v>
      </c>
      <c r="B126" t="s">
        <v>41</v>
      </c>
      <c r="C126">
        <v>5389.2891140561114</v>
      </c>
    </row>
    <row r="127" spans="1:3" x14ac:dyDescent="0.35">
      <c r="A127" t="s">
        <v>33</v>
      </c>
      <c r="B127" t="s">
        <v>41</v>
      </c>
      <c r="C127">
        <v>5910.4784580975993</v>
      </c>
    </row>
    <row r="128" spans="1:3" x14ac:dyDescent="0.35">
      <c r="A128" t="s">
        <v>34</v>
      </c>
      <c r="B128" t="s">
        <v>41</v>
      </c>
      <c r="C128">
        <v>9228.4384264279088</v>
      </c>
    </row>
    <row r="129" spans="1:3" x14ac:dyDescent="0.35">
      <c r="A129" t="s">
        <v>35</v>
      </c>
      <c r="B129" t="s">
        <v>41</v>
      </c>
      <c r="C129">
        <v>3885.3606242065648</v>
      </c>
    </row>
    <row r="130" spans="1:3" x14ac:dyDescent="0.35">
      <c r="A130" t="s">
        <v>36</v>
      </c>
      <c r="B130" t="s">
        <v>41</v>
      </c>
      <c r="C130">
        <v>1684.6788911472122</v>
      </c>
    </row>
    <row r="131" spans="1:3" x14ac:dyDescent="0.35">
      <c r="A131" t="s">
        <v>37</v>
      </c>
      <c r="B131" t="s">
        <v>41</v>
      </c>
      <c r="C131">
        <v>1632.0114512892485</v>
      </c>
    </row>
    <row r="132" spans="1:3" x14ac:dyDescent="0.35">
      <c r="A132" t="s">
        <v>38</v>
      </c>
      <c r="B132" t="s">
        <v>41</v>
      </c>
      <c r="C132">
        <v>783.35291667960439</v>
      </c>
    </row>
    <row r="133" spans="1:3" x14ac:dyDescent="0.35">
      <c r="A133" t="s">
        <v>39</v>
      </c>
      <c r="B133" t="s">
        <v>41</v>
      </c>
      <c r="C133">
        <v>493.6006059206768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1"/>
  <dimension ref="A1:B34"/>
  <sheetViews>
    <sheetView workbookViewId="0">
      <selection activeCell="D2" sqref="D2:D34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8.1000000000000004E-5</v>
      </c>
    </row>
    <row r="3" spans="1:2" x14ac:dyDescent="0.35">
      <c r="A3" t="s">
        <v>8</v>
      </c>
      <c r="B3">
        <v>9.9999999999999995E-7</v>
      </c>
    </row>
    <row r="4" spans="1:2" x14ac:dyDescent="0.35">
      <c r="A4" t="s">
        <v>9</v>
      </c>
      <c r="B4">
        <v>6.9999999999999999E-6</v>
      </c>
    </row>
    <row r="5" spans="1:2" x14ac:dyDescent="0.35">
      <c r="A5" t="s">
        <v>10</v>
      </c>
      <c r="B5">
        <v>4.8000000000000001E-5</v>
      </c>
    </row>
    <row r="6" spans="1:2" x14ac:dyDescent="0.35">
      <c r="A6" t="s">
        <v>11</v>
      </c>
      <c r="B6">
        <v>6.2000000000000003E-5</v>
      </c>
    </row>
    <row r="7" spans="1:2" x14ac:dyDescent="0.35">
      <c r="A7" t="s">
        <v>12</v>
      </c>
      <c r="B7">
        <v>4.6999999999999997E-5</v>
      </c>
    </row>
    <row r="8" spans="1:2" x14ac:dyDescent="0.35">
      <c r="A8" t="s">
        <v>13</v>
      </c>
      <c r="B8">
        <v>2.6999999999999999E-5</v>
      </c>
    </row>
    <row r="9" spans="1:2" x14ac:dyDescent="0.35">
      <c r="A9" t="s">
        <v>14</v>
      </c>
      <c r="B9">
        <v>9.7999999999999997E-5</v>
      </c>
    </row>
    <row r="10" spans="1:2" x14ac:dyDescent="0.35">
      <c r="A10" t="s">
        <v>15</v>
      </c>
      <c r="B10">
        <v>6.8999999999999997E-5</v>
      </c>
    </row>
    <row r="11" spans="1:2" x14ac:dyDescent="0.35">
      <c r="A11" t="s">
        <v>16</v>
      </c>
      <c r="B11">
        <v>1E-4</v>
      </c>
    </row>
    <row r="12" spans="1:2" x14ac:dyDescent="0.35">
      <c r="A12" t="s">
        <v>17</v>
      </c>
      <c r="B12">
        <v>3.0000000000000001E-6</v>
      </c>
    </row>
    <row r="13" spans="1:2" x14ac:dyDescent="0.35">
      <c r="A13" t="s">
        <v>18</v>
      </c>
      <c r="B13">
        <v>4.8000000000000001E-5</v>
      </c>
    </row>
    <row r="14" spans="1:2" x14ac:dyDescent="0.35">
      <c r="A14" t="s">
        <v>19</v>
      </c>
      <c r="B14">
        <v>3.3000000000000003E-5</v>
      </c>
    </row>
    <row r="15" spans="1:2" x14ac:dyDescent="0.35">
      <c r="A15" t="s">
        <v>20</v>
      </c>
      <c r="B15">
        <v>3.9999999999999998E-6</v>
      </c>
    </row>
    <row r="16" spans="1:2" x14ac:dyDescent="0.35">
      <c r="A16" t="s">
        <v>21</v>
      </c>
      <c r="B16">
        <v>9.7E-5</v>
      </c>
    </row>
    <row r="17" spans="1:2" x14ac:dyDescent="0.35">
      <c r="A17" t="s">
        <v>22</v>
      </c>
      <c r="B17">
        <v>7.6000000000000004E-5</v>
      </c>
    </row>
    <row r="18" spans="1:2" x14ac:dyDescent="0.35">
      <c r="A18" t="s">
        <v>23</v>
      </c>
      <c r="B18">
        <v>5.1E-5</v>
      </c>
    </row>
    <row r="19" spans="1:2" x14ac:dyDescent="0.35">
      <c r="A19" t="s">
        <v>24</v>
      </c>
      <c r="B19">
        <v>7.8999999999999996E-5</v>
      </c>
    </row>
    <row r="20" spans="1:2" x14ac:dyDescent="0.35">
      <c r="A20" t="s">
        <v>25</v>
      </c>
      <c r="B20">
        <v>0</v>
      </c>
    </row>
    <row r="21" spans="1:2" x14ac:dyDescent="0.35">
      <c r="A21" t="s">
        <v>26</v>
      </c>
      <c r="B21">
        <v>4.8999999999999998E-5</v>
      </c>
    </row>
    <row r="22" spans="1:2" x14ac:dyDescent="0.35">
      <c r="A22" t="s">
        <v>27</v>
      </c>
      <c r="B22">
        <v>9.7999999999999997E-5</v>
      </c>
    </row>
    <row r="23" spans="1:2" x14ac:dyDescent="0.35">
      <c r="A23" t="s">
        <v>28</v>
      </c>
      <c r="B23">
        <v>4.0000000000000003E-5</v>
      </c>
    </row>
    <row r="24" spans="1:2" x14ac:dyDescent="0.35">
      <c r="A24" t="s">
        <v>29</v>
      </c>
      <c r="B24">
        <v>6.8999999999999997E-5</v>
      </c>
    </row>
    <row r="25" spans="1:2" x14ac:dyDescent="0.35">
      <c r="A25" t="s">
        <v>30</v>
      </c>
      <c r="B25">
        <v>9.8999999999999994E-5</v>
      </c>
    </row>
    <row r="26" spans="1:2" x14ac:dyDescent="0.35">
      <c r="A26" t="s">
        <v>31</v>
      </c>
      <c r="B26">
        <v>5.7000000000000003E-5</v>
      </c>
    </row>
    <row r="27" spans="1:2" x14ac:dyDescent="0.35">
      <c r="A27" t="s">
        <v>32</v>
      </c>
      <c r="B27">
        <v>8.7000000000000001E-5</v>
      </c>
    </row>
    <row r="28" spans="1:2" x14ac:dyDescent="0.35">
      <c r="A28" t="s">
        <v>33</v>
      </c>
      <c r="B28">
        <v>5.1999999999999997E-5</v>
      </c>
    </row>
    <row r="29" spans="1:2" x14ac:dyDescent="0.35">
      <c r="A29" t="s">
        <v>34</v>
      </c>
      <c r="B29">
        <v>9.0000000000000002E-6</v>
      </c>
    </row>
    <row r="30" spans="1:2" x14ac:dyDescent="0.35">
      <c r="A30" t="s">
        <v>35</v>
      </c>
      <c r="B30">
        <v>4.0000000000000003E-5</v>
      </c>
    </row>
    <row r="31" spans="1:2" x14ac:dyDescent="0.35">
      <c r="A31" t="s">
        <v>36</v>
      </c>
      <c r="B31">
        <v>7.3999999999999996E-5</v>
      </c>
    </row>
    <row r="32" spans="1:2" x14ac:dyDescent="0.35">
      <c r="A32" t="s">
        <v>37</v>
      </c>
      <c r="B32">
        <v>5.5999999999999999E-5</v>
      </c>
    </row>
    <row r="33" spans="1:2" x14ac:dyDescent="0.35">
      <c r="A33" t="s">
        <v>38</v>
      </c>
      <c r="B33">
        <v>1.0000000000000001E-5</v>
      </c>
    </row>
    <row r="34" spans="1:2" x14ac:dyDescent="0.35">
      <c r="A34" t="s">
        <v>39</v>
      </c>
      <c r="B34">
        <v>8.2000000000000001E-5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2"/>
  <dimension ref="A1:B34"/>
  <sheetViews>
    <sheetView workbookViewId="0">
      <selection activeCell="P37" sqref="P37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1.0000000000000001E-5</v>
      </c>
    </row>
    <row r="3" spans="1:2" x14ac:dyDescent="0.35">
      <c r="A3" t="s">
        <v>8</v>
      </c>
      <c r="B3">
        <v>1.0000000000000001E-5</v>
      </c>
    </row>
    <row r="4" spans="1:2" x14ac:dyDescent="0.35">
      <c r="A4" t="s">
        <v>9</v>
      </c>
      <c r="B4">
        <v>1.0000000000000001E-5</v>
      </c>
    </row>
    <row r="5" spans="1:2" x14ac:dyDescent="0.35">
      <c r="A5" t="s">
        <v>10</v>
      </c>
      <c r="B5">
        <v>1.0000000000000001E-5</v>
      </c>
    </row>
    <row r="6" spans="1:2" x14ac:dyDescent="0.35">
      <c r="A6" t="s">
        <v>11</v>
      </c>
      <c r="B6">
        <v>1.0000000000000001E-5</v>
      </c>
    </row>
    <row r="7" spans="1:2" x14ac:dyDescent="0.35">
      <c r="A7" t="s">
        <v>12</v>
      </c>
      <c r="B7">
        <v>1.0000000000000001E-5</v>
      </c>
    </row>
    <row r="8" spans="1:2" x14ac:dyDescent="0.35">
      <c r="A8" t="s">
        <v>13</v>
      </c>
      <c r="B8">
        <v>1.0000000000000001E-5</v>
      </c>
    </row>
    <row r="9" spans="1:2" x14ac:dyDescent="0.35">
      <c r="A9" t="s">
        <v>14</v>
      </c>
      <c r="B9">
        <v>1.0000000000000001E-5</v>
      </c>
    </row>
    <row r="10" spans="1:2" x14ac:dyDescent="0.35">
      <c r="A10" t="s">
        <v>15</v>
      </c>
      <c r="B10">
        <v>1.0000000000000001E-5</v>
      </c>
    </row>
    <row r="11" spans="1:2" x14ac:dyDescent="0.35">
      <c r="A11" t="s">
        <v>16</v>
      </c>
      <c r="B11">
        <v>1.0000000000000001E-5</v>
      </c>
    </row>
    <row r="12" spans="1:2" x14ac:dyDescent="0.35">
      <c r="A12" t="s">
        <v>17</v>
      </c>
      <c r="B12">
        <v>1.0000000000000001E-5</v>
      </c>
    </row>
    <row r="13" spans="1:2" x14ac:dyDescent="0.35">
      <c r="A13" t="s">
        <v>18</v>
      </c>
      <c r="B13">
        <v>1.0000000000000001E-5</v>
      </c>
    </row>
    <row r="14" spans="1:2" x14ac:dyDescent="0.35">
      <c r="A14" t="s">
        <v>19</v>
      </c>
      <c r="B14">
        <v>1.0000000000000001E-5</v>
      </c>
    </row>
    <row r="15" spans="1:2" x14ac:dyDescent="0.35">
      <c r="A15" t="s">
        <v>20</v>
      </c>
      <c r="B15">
        <v>1.0000000000000001E-5</v>
      </c>
    </row>
    <row r="16" spans="1:2" x14ac:dyDescent="0.35">
      <c r="A16" t="s">
        <v>21</v>
      </c>
      <c r="B16">
        <v>1.0000000000000001E-5</v>
      </c>
    </row>
    <row r="17" spans="1:2" x14ac:dyDescent="0.35">
      <c r="A17" t="s">
        <v>22</v>
      </c>
      <c r="B17">
        <v>1.0000000000000001E-5</v>
      </c>
    </row>
    <row r="18" spans="1:2" x14ac:dyDescent="0.35">
      <c r="A18" t="s">
        <v>23</v>
      </c>
      <c r="B18">
        <v>1.0000000000000001E-5</v>
      </c>
    </row>
    <row r="19" spans="1:2" x14ac:dyDescent="0.35">
      <c r="A19" t="s">
        <v>24</v>
      </c>
      <c r="B19">
        <v>1.0000000000000001E-5</v>
      </c>
    </row>
    <row r="20" spans="1:2" x14ac:dyDescent="0.35">
      <c r="A20" t="s">
        <v>25</v>
      </c>
      <c r="B20">
        <v>1.0000000000000001E-5</v>
      </c>
    </row>
    <row r="21" spans="1:2" x14ac:dyDescent="0.35">
      <c r="A21" t="s">
        <v>26</v>
      </c>
      <c r="B21">
        <v>1.0000000000000001E-5</v>
      </c>
    </row>
    <row r="22" spans="1:2" x14ac:dyDescent="0.35">
      <c r="A22" t="s">
        <v>27</v>
      </c>
      <c r="B22">
        <v>1.0000000000000001E-5</v>
      </c>
    </row>
    <row r="23" spans="1:2" x14ac:dyDescent="0.35">
      <c r="A23" t="s">
        <v>28</v>
      </c>
      <c r="B23">
        <v>1.0000000000000001E-5</v>
      </c>
    </row>
    <row r="24" spans="1:2" x14ac:dyDescent="0.35">
      <c r="A24" t="s">
        <v>29</v>
      </c>
      <c r="B24">
        <v>1.0000000000000001E-5</v>
      </c>
    </row>
    <row r="25" spans="1:2" x14ac:dyDescent="0.35">
      <c r="A25" t="s">
        <v>30</v>
      </c>
      <c r="B25">
        <v>1.0000000000000001E-5</v>
      </c>
    </row>
    <row r="26" spans="1:2" x14ac:dyDescent="0.35">
      <c r="A26" t="s">
        <v>31</v>
      </c>
      <c r="B26">
        <v>1.0000000000000001E-5</v>
      </c>
    </row>
    <row r="27" spans="1:2" x14ac:dyDescent="0.35">
      <c r="A27" t="s">
        <v>32</v>
      </c>
      <c r="B27">
        <v>1.0000000000000001E-5</v>
      </c>
    </row>
    <row r="28" spans="1:2" x14ac:dyDescent="0.35">
      <c r="A28" t="s">
        <v>33</v>
      </c>
      <c r="B28">
        <v>1.0000000000000001E-5</v>
      </c>
    </row>
    <row r="29" spans="1:2" x14ac:dyDescent="0.35">
      <c r="A29" t="s">
        <v>34</v>
      </c>
      <c r="B29">
        <v>1.0000000000000001E-5</v>
      </c>
    </row>
    <row r="30" spans="1:2" x14ac:dyDescent="0.35">
      <c r="A30" t="s">
        <v>35</v>
      </c>
      <c r="B30">
        <v>1.0000000000000001E-5</v>
      </c>
    </row>
    <row r="31" spans="1:2" x14ac:dyDescent="0.35">
      <c r="A31" t="s">
        <v>36</v>
      </c>
      <c r="B31">
        <v>1.0000000000000001E-5</v>
      </c>
    </row>
    <row r="32" spans="1:2" x14ac:dyDescent="0.35">
      <c r="A32" t="s">
        <v>37</v>
      </c>
      <c r="B32">
        <v>1.0000000000000001E-5</v>
      </c>
    </row>
    <row r="33" spans="1:2" x14ac:dyDescent="0.35">
      <c r="A33" t="s">
        <v>38</v>
      </c>
      <c r="B33">
        <v>1.0000000000000001E-5</v>
      </c>
    </row>
    <row r="34" spans="1:2" x14ac:dyDescent="0.35">
      <c r="A34" t="s">
        <v>39</v>
      </c>
      <c r="B34">
        <v>1.0000000000000001E-5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3"/>
  <dimension ref="A1:B34"/>
  <sheetViews>
    <sheetView workbookViewId="0">
      <selection activeCell="K51" sqref="K51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1.0000000000000001E-5</v>
      </c>
    </row>
    <row r="3" spans="1:2" x14ac:dyDescent="0.35">
      <c r="A3" t="s">
        <v>8</v>
      </c>
      <c r="B3">
        <v>1.0000000000000001E-5</v>
      </c>
    </row>
    <row r="4" spans="1:2" x14ac:dyDescent="0.35">
      <c r="A4" t="s">
        <v>9</v>
      </c>
      <c r="B4">
        <v>1.0000000000000001E-5</v>
      </c>
    </row>
    <row r="5" spans="1:2" x14ac:dyDescent="0.35">
      <c r="A5" t="s">
        <v>10</v>
      </c>
      <c r="B5">
        <v>1.0000000000000001E-5</v>
      </c>
    </row>
    <row r="6" spans="1:2" x14ac:dyDescent="0.35">
      <c r="A6" t="s">
        <v>11</v>
      </c>
      <c r="B6">
        <v>1.0000000000000001E-5</v>
      </c>
    </row>
    <row r="7" spans="1:2" x14ac:dyDescent="0.35">
      <c r="A7" t="s">
        <v>12</v>
      </c>
      <c r="B7">
        <v>1.0000000000000001E-5</v>
      </c>
    </row>
    <row r="8" spans="1:2" x14ac:dyDescent="0.35">
      <c r="A8" t="s">
        <v>13</v>
      </c>
      <c r="B8">
        <v>1.0000000000000001E-5</v>
      </c>
    </row>
    <row r="9" spans="1:2" x14ac:dyDescent="0.35">
      <c r="A9" t="s">
        <v>14</v>
      </c>
      <c r="B9">
        <v>1.0000000000000001E-5</v>
      </c>
    </row>
    <row r="10" spans="1:2" x14ac:dyDescent="0.35">
      <c r="A10" t="s">
        <v>15</v>
      </c>
      <c r="B10">
        <v>1.0000000000000001E-5</v>
      </c>
    </row>
    <row r="11" spans="1:2" x14ac:dyDescent="0.35">
      <c r="A11" t="s">
        <v>16</v>
      </c>
      <c r="B11">
        <v>1.0000000000000001E-5</v>
      </c>
    </row>
    <row r="12" spans="1:2" x14ac:dyDescent="0.35">
      <c r="A12" t="s">
        <v>17</v>
      </c>
      <c r="B12">
        <v>1.0000000000000001E-5</v>
      </c>
    </row>
    <row r="13" spans="1:2" x14ac:dyDescent="0.35">
      <c r="A13" t="s">
        <v>18</v>
      </c>
      <c r="B13">
        <v>1.0000000000000001E-5</v>
      </c>
    </row>
    <row r="14" spans="1:2" x14ac:dyDescent="0.35">
      <c r="A14" t="s">
        <v>19</v>
      </c>
      <c r="B14">
        <v>1.0000000000000001E-5</v>
      </c>
    </row>
    <row r="15" spans="1:2" x14ac:dyDescent="0.35">
      <c r="A15" t="s">
        <v>20</v>
      </c>
      <c r="B15">
        <v>1.0000000000000001E-5</v>
      </c>
    </row>
    <row r="16" spans="1:2" x14ac:dyDescent="0.35">
      <c r="A16" t="s">
        <v>21</v>
      </c>
      <c r="B16">
        <v>1.0000000000000001E-5</v>
      </c>
    </row>
    <row r="17" spans="1:2" x14ac:dyDescent="0.35">
      <c r="A17" t="s">
        <v>22</v>
      </c>
      <c r="B17">
        <v>1.0000000000000001E-5</v>
      </c>
    </row>
    <row r="18" spans="1:2" x14ac:dyDescent="0.35">
      <c r="A18" t="s">
        <v>23</v>
      </c>
      <c r="B18">
        <v>1.0000000000000001E-5</v>
      </c>
    </row>
    <row r="19" spans="1:2" x14ac:dyDescent="0.35">
      <c r="A19" t="s">
        <v>24</v>
      </c>
      <c r="B19">
        <v>1.0000000000000001E-5</v>
      </c>
    </row>
    <row r="20" spans="1:2" x14ac:dyDescent="0.35">
      <c r="A20" t="s">
        <v>25</v>
      </c>
      <c r="B20">
        <v>1.0000000000000001E-5</v>
      </c>
    </row>
    <row r="21" spans="1:2" x14ac:dyDescent="0.35">
      <c r="A21" t="s">
        <v>26</v>
      </c>
      <c r="B21">
        <v>1.0000000000000001E-5</v>
      </c>
    </row>
    <row r="22" spans="1:2" x14ac:dyDescent="0.35">
      <c r="A22" t="s">
        <v>27</v>
      </c>
      <c r="B22">
        <v>1.0000000000000001E-5</v>
      </c>
    </row>
    <row r="23" spans="1:2" x14ac:dyDescent="0.35">
      <c r="A23" t="s">
        <v>28</v>
      </c>
      <c r="B23">
        <v>1.0000000000000001E-5</v>
      </c>
    </row>
    <row r="24" spans="1:2" x14ac:dyDescent="0.35">
      <c r="A24" t="s">
        <v>29</v>
      </c>
      <c r="B24">
        <v>1.0000000000000001E-5</v>
      </c>
    </row>
    <row r="25" spans="1:2" x14ac:dyDescent="0.35">
      <c r="A25" t="s">
        <v>30</v>
      </c>
      <c r="B25">
        <v>1.0000000000000001E-5</v>
      </c>
    </row>
    <row r="26" spans="1:2" x14ac:dyDescent="0.35">
      <c r="A26" t="s">
        <v>31</v>
      </c>
      <c r="B26">
        <v>1.0000000000000001E-5</v>
      </c>
    </row>
    <row r="27" spans="1:2" x14ac:dyDescent="0.35">
      <c r="A27" t="s">
        <v>32</v>
      </c>
      <c r="B27">
        <v>1.0000000000000001E-5</v>
      </c>
    </row>
    <row r="28" spans="1:2" x14ac:dyDescent="0.35">
      <c r="A28" t="s">
        <v>33</v>
      </c>
      <c r="B28">
        <v>1.0000000000000001E-5</v>
      </c>
    </row>
    <row r="29" spans="1:2" x14ac:dyDescent="0.35">
      <c r="A29" t="s">
        <v>34</v>
      </c>
      <c r="B29">
        <v>1.0000000000000001E-5</v>
      </c>
    </row>
    <row r="30" spans="1:2" x14ac:dyDescent="0.35">
      <c r="A30" t="s">
        <v>35</v>
      </c>
      <c r="B30">
        <v>1.0000000000000001E-5</v>
      </c>
    </row>
    <row r="31" spans="1:2" x14ac:dyDescent="0.35">
      <c r="A31" t="s">
        <v>36</v>
      </c>
      <c r="B31">
        <v>1.0000000000000001E-5</v>
      </c>
    </row>
    <row r="32" spans="1:2" x14ac:dyDescent="0.35">
      <c r="A32" t="s">
        <v>37</v>
      </c>
      <c r="B32">
        <v>1.0000000000000001E-5</v>
      </c>
    </row>
    <row r="33" spans="1:2" x14ac:dyDescent="0.35">
      <c r="A33" t="s">
        <v>38</v>
      </c>
      <c r="B33">
        <v>1.0000000000000001E-5</v>
      </c>
    </row>
    <row r="34" spans="1:2" x14ac:dyDescent="0.35">
      <c r="A34" t="s">
        <v>39</v>
      </c>
      <c r="B34">
        <v>1.0000000000000001E-5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4"/>
  <dimension ref="A1:C1090"/>
  <sheetViews>
    <sheetView workbookViewId="0">
      <selection activeCell="R39" sqref="R39"/>
    </sheetView>
  </sheetViews>
  <sheetFormatPr defaultRowHeight="14.5" x14ac:dyDescent="0.35"/>
  <sheetData>
    <row r="1" spans="1:3" x14ac:dyDescent="0.35">
      <c r="A1" s="1" t="s">
        <v>1</v>
      </c>
      <c r="B1" s="1" t="s">
        <v>3</v>
      </c>
      <c r="C1" s="1" t="s">
        <v>0</v>
      </c>
    </row>
    <row r="2" spans="1:3" x14ac:dyDescent="0.35">
      <c r="A2" t="s">
        <v>7</v>
      </c>
      <c r="B2" t="s">
        <v>7</v>
      </c>
      <c r="C2">
        <v>1512.2992146246634</v>
      </c>
    </row>
    <row r="3" spans="1:3" x14ac:dyDescent="0.35">
      <c r="A3" t="s">
        <v>8</v>
      </c>
      <c r="B3" t="s">
        <v>7</v>
      </c>
      <c r="C3">
        <v>0</v>
      </c>
    </row>
    <row r="4" spans="1:3" x14ac:dyDescent="0.35">
      <c r="A4" t="s">
        <v>9</v>
      </c>
      <c r="B4" t="s">
        <v>7</v>
      </c>
      <c r="C4">
        <v>0</v>
      </c>
    </row>
    <row r="5" spans="1:3" x14ac:dyDescent="0.35">
      <c r="A5" t="s">
        <v>10</v>
      </c>
      <c r="B5" t="s">
        <v>7</v>
      </c>
      <c r="C5">
        <v>0</v>
      </c>
    </row>
    <row r="6" spans="1:3" x14ac:dyDescent="0.35">
      <c r="A6" t="s">
        <v>11</v>
      </c>
      <c r="B6" t="s">
        <v>7</v>
      </c>
      <c r="C6">
        <v>0</v>
      </c>
    </row>
    <row r="7" spans="1:3" x14ac:dyDescent="0.35">
      <c r="A7" t="s">
        <v>12</v>
      </c>
      <c r="B7" t="s">
        <v>7</v>
      </c>
      <c r="C7">
        <v>0</v>
      </c>
    </row>
    <row r="8" spans="1:3" x14ac:dyDescent="0.35">
      <c r="A8" t="s">
        <v>13</v>
      </c>
      <c r="B8" t="s">
        <v>7</v>
      </c>
      <c r="C8">
        <v>0</v>
      </c>
    </row>
    <row r="9" spans="1:3" x14ac:dyDescent="0.35">
      <c r="A9" t="s">
        <v>14</v>
      </c>
      <c r="B9" t="s">
        <v>7</v>
      </c>
      <c r="C9">
        <v>0</v>
      </c>
    </row>
    <row r="10" spans="1:3" x14ac:dyDescent="0.35">
      <c r="A10" t="s">
        <v>15</v>
      </c>
      <c r="B10" t="s">
        <v>7</v>
      </c>
      <c r="C10">
        <v>0</v>
      </c>
    </row>
    <row r="11" spans="1:3" x14ac:dyDescent="0.35">
      <c r="A11" t="s">
        <v>16</v>
      </c>
      <c r="B11" t="s">
        <v>7</v>
      </c>
      <c r="C11">
        <v>0</v>
      </c>
    </row>
    <row r="12" spans="1:3" x14ac:dyDescent="0.35">
      <c r="A12" t="s">
        <v>17</v>
      </c>
      <c r="B12" t="s">
        <v>7</v>
      </c>
      <c r="C12">
        <v>0</v>
      </c>
    </row>
    <row r="13" spans="1:3" x14ac:dyDescent="0.35">
      <c r="A13" t="s">
        <v>18</v>
      </c>
      <c r="B13" t="s">
        <v>7</v>
      </c>
      <c r="C13">
        <v>0</v>
      </c>
    </row>
    <row r="14" spans="1:3" x14ac:dyDescent="0.35">
      <c r="A14" t="s">
        <v>19</v>
      </c>
      <c r="B14" t="s">
        <v>7</v>
      </c>
      <c r="C14">
        <v>0</v>
      </c>
    </row>
    <row r="15" spans="1:3" x14ac:dyDescent="0.35">
      <c r="A15" t="s">
        <v>20</v>
      </c>
      <c r="B15" t="s">
        <v>7</v>
      </c>
      <c r="C15">
        <v>0</v>
      </c>
    </row>
    <row r="16" spans="1:3" x14ac:dyDescent="0.35">
      <c r="A16" t="s">
        <v>21</v>
      </c>
      <c r="B16" t="s">
        <v>7</v>
      </c>
      <c r="C16">
        <v>0</v>
      </c>
    </row>
    <row r="17" spans="1:3" x14ac:dyDescent="0.35">
      <c r="A17" t="s">
        <v>22</v>
      </c>
      <c r="B17" t="s">
        <v>7</v>
      </c>
      <c r="C17">
        <v>0</v>
      </c>
    </row>
    <row r="18" spans="1:3" x14ac:dyDescent="0.35">
      <c r="A18" t="s">
        <v>23</v>
      </c>
      <c r="B18" t="s">
        <v>7</v>
      </c>
      <c r="C18">
        <v>0</v>
      </c>
    </row>
    <row r="19" spans="1:3" x14ac:dyDescent="0.35">
      <c r="A19" t="s">
        <v>24</v>
      </c>
      <c r="B19" t="s">
        <v>7</v>
      </c>
      <c r="C19">
        <v>0</v>
      </c>
    </row>
    <row r="20" spans="1:3" x14ac:dyDescent="0.35">
      <c r="A20" t="s">
        <v>25</v>
      </c>
      <c r="B20" t="s">
        <v>7</v>
      </c>
      <c r="C20">
        <v>0</v>
      </c>
    </row>
    <row r="21" spans="1:3" x14ac:dyDescent="0.35">
      <c r="A21" t="s">
        <v>26</v>
      </c>
      <c r="B21" t="s">
        <v>7</v>
      </c>
      <c r="C21">
        <v>0</v>
      </c>
    </row>
    <row r="22" spans="1:3" x14ac:dyDescent="0.35">
      <c r="A22" t="s">
        <v>27</v>
      </c>
      <c r="B22" t="s">
        <v>7</v>
      </c>
      <c r="C22">
        <v>0</v>
      </c>
    </row>
    <row r="23" spans="1:3" x14ac:dyDescent="0.35">
      <c r="A23" t="s">
        <v>28</v>
      </c>
      <c r="B23" t="s">
        <v>7</v>
      </c>
      <c r="C23">
        <v>0</v>
      </c>
    </row>
    <row r="24" spans="1:3" x14ac:dyDescent="0.35">
      <c r="A24" t="s">
        <v>29</v>
      </c>
      <c r="B24" t="s">
        <v>7</v>
      </c>
      <c r="C24">
        <v>0</v>
      </c>
    </row>
    <row r="25" spans="1:3" x14ac:dyDescent="0.35">
      <c r="A25" t="s">
        <v>30</v>
      </c>
      <c r="B25" t="s">
        <v>7</v>
      </c>
      <c r="C25">
        <v>0</v>
      </c>
    </row>
    <row r="26" spans="1:3" x14ac:dyDescent="0.35">
      <c r="A26" t="s">
        <v>31</v>
      </c>
      <c r="B26" t="s">
        <v>7</v>
      </c>
      <c r="C26">
        <v>0</v>
      </c>
    </row>
    <row r="27" spans="1:3" x14ac:dyDescent="0.35">
      <c r="A27" t="s">
        <v>32</v>
      </c>
      <c r="B27" t="s">
        <v>7</v>
      </c>
      <c r="C27">
        <v>0</v>
      </c>
    </row>
    <row r="28" spans="1:3" x14ac:dyDescent="0.35">
      <c r="A28" t="s">
        <v>33</v>
      </c>
      <c r="B28" t="s">
        <v>7</v>
      </c>
      <c r="C28">
        <v>0</v>
      </c>
    </row>
    <row r="29" spans="1:3" x14ac:dyDescent="0.35">
      <c r="A29" t="s">
        <v>34</v>
      </c>
      <c r="B29" t="s">
        <v>7</v>
      </c>
      <c r="C29">
        <v>0</v>
      </c>
    </row>
    <row r="30" spans="1:3" x14ac:dyDescent="0.35">
      <c r="A30" t="s">
        <v>35</v>
      </c>
      <c r="B30" t="s">
        <v>7</v>
      </c>
      <c r="C30">
        <v>0</v>
      </c>
    </row>
    <row r="31" spans="1:3" x14ac:dyDescent="0.35">
      <c r="A31" t="s">
        <v>36</v>
      </c>
      <c r="B31" t="s">
        <v>7</v>
      </c>
      <c r="C31">
        <v>0</v>
      </c>
    </row>
    <row r="32" spans="1:3" x14ac:dyDescent="0.35">
      <c r="A32" t="s">
        <v>37</v>
      </c>
      <c r="B32" t="s">
        <v>7</v>
      </c>
      <c r="C32">
        <v>0</v>
      </c>
    </row>
    <row r="33" spans="1:3" x14ac:dyDescent="0.35">
      <c r="A33" t="s">
        <v>38</v>
      </c>
      <c r="B33" t="s">
        <v>7</v>
      </c>
      <c r="C33">
        <v>0</v>
      </c>
    </row>
    <row r="34" spans="1:3" x14ac:dyDescent="0.35">
      <c r="A34" t="s">
        <v>39</v>
      </c>
      <c r="B34" t="s">
        <v>7</v>
      </c>
      <c r="C34">
        <v>0</v>
      </c>
    </row>
    <row r="35" spans="1:3" x14ac:dyDescent="0.35">
      <c r="A35" t="s">
        <v>7</v>
      </c>
      <c r="B35" t="s">
        <v>8</v>
      </c>
      <c r="C35">
        <v>0</v>
      </c>
    </row>
    <row r="36" spans="1:3" x14ac:dyDescent="0.35">
      <c r="A36" t="s">
        <v>8</v>
      </c>
      <c r="B36" t="s">
        <v>8</v>
      </c>
      <c r="C36">
        <v>11448.728531581437</v>
      </c>
    </row>
    <row r="37" spans="1:3" x14ac:dyDescent="0.35">
      <c r="A37" t="s">
        <v>9</v>
      </c>
      <c r="B37" t="s">
        <v>8</v>
      </c>
      <c r="C37">
        <v>0</v>
      </c>
    </row>
    <row r="38" spans="1:3" x14ac:dyDescent="0.35">
      <c r="A38" t="s">
        <v>10</v>
      </c>
      <c r="B38" t="s">
        <v>8</v>
      </c>
      <c r="C38">
        <v>0</v>
      </c>
    </row>
    <row r="39" spans="1:3" x14ac:dyDescent="0.35">
      <c r="A39" t="s">
        <v>11</v>
      </c>
      <c r="B39" t="s">
        <v>8</v>
      </c>
      <c r="C39">
        <v>0</v>
      </c>
    </row>
    <row r="40" spans="1:3" x14ac:dyDescent="0.35">
      <c r="A40" t="s">
        <v>12</v>
      </c>
      <c r="B40" t="s">
        <v>8</v>
      </c>
      <c r="C40">
        <v>0</v>
      </c>
    </row>
    <row r="41" spans="1:3" x14ac:dyDescent="0.35">
      <c r="A41" t="s">
        <v>13</v>
      </c>
      <c r="B41" t="s">
        <v>8</v>
      </c>
      <c r="C41">
        <v>0</v>
      </c>
    </row>
    <row r="42" spans="1:3" x14ac:dyDescent="0.35">
      <c r="A42" t="s">
        <v>14</v>
      </c>
      <c r="B42" t="s">
        <v>8</v>
      </c>
      <c r="C42">
        <v>0</v>
      </c>
    </row>
    <row r="43" spans="1:3" x14ac:dyDescent="0.35">
      <c r="A43" t="s">
        <v>15</v>
      </c>
      <c r="B43" t="s">
        <v>8</v>
      </c>
      <c r="C43">
        <v>0</v>
      </c>
    </row>
    <row r="44" spans="1:3" x14ac:dyDescent="0.35">
      <c r="A44" t="s">
        <v>16</v>
      </c>
      <c r="B44" t="s">
        <v>8</v>
      </c>
      <c r="C44">
        <v>0</v>
      </c>
    </row>
    <row r="45" spans="1:3" x14ac:dyDescent="0.35">
      <c r="A45" t="s">
        <v>17</v>
      </c>
      <c r="B45" t="s">
        <v>8</v>
      </c>
      <c r="C45">
        <v>0</v>
      </c>
    </row>
    <row r="46" spans="1:3" x14ac:dyDescent="0.35">
      <c r="A46" t="s">
        <v>18</v>
      </c>
      <c r="B46" t="s">
        <v>8</v>
      </c>
      <c r="C46">
        <v>0</v>
      </c>
    </row>
    <row r="47" spans="1:3" x14ac:dyDescent="0.35">
      <c r="A47" t="s">
        <v>19</v>
      </c>
      <c r="B47" t="s">
        <v>8</v>
      </c>
      <c r="C47">
        <v>0</v>
      </c>
    </row>
    <row r="48" spans="1:3" x14ac:dyDescent="0.35">
      <c r="A48" t="s">
        <v>20</v>
      </c>
      <c r="B48" t="s">
        <v>8</v>
      </c>
      <c r="C48">
        <v>0</v>
      </c>
    </row>
    <row r="49" spans="1:3" x14ac:dyDescent="0.35">
      <c r="A49" t="s">
        <v>21</v>
      </c>
      <c r="B49" t="s">
        <v>8</v>
      </c>
      <c r="C49">
        <v>0</v>
      </c>
    </row>
    <row r="50" spans="1:3" x14ac:dyDescent="0.35">
      <c r="A50" t="s">
        <v>22</v>
      </c>
      <c r="B50" t="s">
        <v>8</v>
      </c>
      <c r="C50">
        <v>0</v>
      </c>
    </row>
    <row r="51" spans="1:3" x14ac:dyDescent="0.35">
      <c r="A51" t="s">
        <v>23</v>
      </c>
      <c r="B51" t="s">
        <v>8</v>
      </c>
      <c r="C51">
        <v>0</v>
      </c>
    </row>
    <row r="52" spans="1:3" x14ac:dyDescent="0.35">
      <c r="A52" t="s">
        <v>24</v>
      </c>
      <c r="B52" t="s">
        <v>8</v>
      </c>
      <c r="C52">
        <v>0</v>
      </c>
    </row>
    <row r="53" spans="1:3" x14ac:dyDescent="0.35">
      <c r="A53" t="s">
        <v>25</v>
      </c>
      <c r="B53" t="s">
        <v>8</v>
      </c>
      <c r="C53">
        <v>0</v>
      </c>
    </row>
    <row r="54" spans="1:3" x14ac:dyDescent="0.35">
      <c r="A54" t="s">
        <v>26</v>
      </c>
      <c r="B54" t="s">
        <v>8</v>
      </c>
      <c r="C54">
        <v>0</v>
      </c>
    </row>
    <row r="55" spans="1:3" x14ac:dyDescent="0.35">
      <c r="A55" t="s">
        <v>27</v>
      </c>
      <c r="B55" t="s">
        <v>8</v>
      </c>
      <c r="C55">
        <v>0</v>
      </c>
    </row>
    <row r="56" spans="1:3" x14ac:dyDescent="0.35">
      <c r="A56" t="s">
        <v>28</v>
      </c>
      <c r="B56" t="s">
        <v>8</v>
      </c>
      <c r="C56">
        <v>0</v>
      </c>
    </row>
    <row r="57" spans="1:3" x14ac:dyDescent="0.35">
      <c r="A57" t="s">
        <v>29</v>
      </c>
      <c r="B57" t="s">
        <v>8</v>
      </c>
      <c r="C57">
        <v>0</v>
      </c>
    </row>
    <row r="58" spans="1:3" x14ac:dyDescent="0.35">
      <c r="A58" t="s">
        <v>30</v>
      </c>
      <c r="B58" t="s">
        <v>8</v>
      </c>
      <c r="C58">
        <v>0</v>
      </c>
    </row>
    <row r="59" spans="1:3" x14ac:dyDescent="0.35">
      <c r="A59" t="s">
        <v>31</v>
      </c>
      <c r="B59" t="s">
        <v>8</v>
      </c>
      <c r="C59">
        <v>0</v>
      </c>
    </row>
    <row r="60" spans="1:3" x14ac:dyDescent="0.35">
      <c r="A60" t="s">
        <v>32</v>
      </c>
      <c r="B60" t="s">
        <v>8</v>
      </c>
      <c r="C60">
        <v>0</v>
      </c>
    </row>
    <row r="61" spans="1:3" x14ac:dyDescent="0.35">
      <c r="A61" t="s">
        <v>33</v>
      </c>
      <c r="B61" t="s">
        <v>8</v>
      </c>
      <c r="C61">
        <v>0</v>
      </c>
    </row>
    <row r="62" spans="1:3" x14ac:dyDescent="0.35">
      <c r="A62" t="s">
        <v>34</v>
      </c>
      <c r="B62" t="s">
        <v>8</v>
      </c>
      <c r="C62">
        <v>0</v>
      </c>
    </row>
    <row r="63" spans="1:3" x14ac:dyDescent="0.35">
      <c r="A63" t="s">
        <v>35</v>
      </c>
      <c r="B63" t="s">
        <v>8</v>
      </c>
      <c r="C63">
        <v>0</v>
      </c>
    </row>
    <row r="64" spans="1:3" x14ac:dyDescent="0.35">
      <c r="A64" t="s">
        <v>36</v>
      </c>
      <c r="B64" t="s">
        <v>8</v>
      </c>
      <c r="C64">
        <v>0</v>
      </c>
    </row>
    <row r="65" spans="1:3" x14ac:dyDescent="0.35">
      <c r="A65" t="s">
        <v>37</v>
      </c>
      <c r="B65" t="s">
        <v>8</v>
      </c>
      <c r="C65">
        <v>0</v>
      </c>
    </row>
    <row r="66" spans="1:3" x14ac:dyDescent="0.35">
      <c r="A66" t="s">
        <v>38</v>
      </c>
      <c r="B66" t="s">
        <v>8</v>
      </c>
      <c r="C66">
        <v>0</v>
      </c>
    </row>
    <row r="67" spans="1:3" x14ac:dyDescent="0.35">
      <c r="A67" t="s">
        <v>39</v>
      </c>
      <c r="B67" t="s">
        <v>8</v>
      </c>
      <c r="C67">
        <v>0</v>
      </c>
    </row>
    <row r="68" spans="1:3" x14ac:dyDescent="0.35">
      <c r="A68" t="s">
        <v>7</v>
      </c>
      <c r="B68" t="s">
        <v>9</v>
      </c>
      <c r="C68">
        <v>0</v>
      </c>
    </row>
    <row r="69" spans="1:3" x14ac:dyDescent="0.35">
      <c r="A69" t="s">
        <v>8</v>
      </c>
      <c r="B69" t="s">
        <v>9</v>
      </c>
      <c r="C69">
        <v>0</v>
      </c>
    </row>
    <row r="70" spans="1:3" x14ac:dyDescent="0.35">
      <c r="A70" t="s">
        <v>9</v>
      </c>
      <c r="B70" t="s">
        <v>9</v>
      </c>
      <c r="C70">
        <v>25557.71899999999</v>
      </c>
    </row>
    <row r="71" spans="1:3" x14ac:dyDescent="0.35">
      <c r="A71" t="s">
        <v>10</v>
      </c>
      <c r="B71" t="s">
        <v>9</v>
      </c>
      <c r="C71">
        <v>0</v>
      </c>
    </row>
    <row r="72" spans="1:3" x14ac:dyDescent="0.35">
      <c r="A72" t="s">
        <v>11</v>
      </c>
      <c r="B72" t="s">
        <v>9</v>
      </c>
      <c r="C72">
        <v>0</v>
      </c>
    </row>
    <row r="73" spans="1:3" x14ac:dyDescent="0.35">
      <c r="A73" t="s">
        <v>12</v>
      </c>
      <c r="B73" t="s">
        <v>9</v>
      </c>
      <c r="C73">
        <v>0</v>
      </c>
    </row>
    <row r="74" spans="1:3" x14ac:dyDescent="0.35">
      <c r="A74" t="s">
        <v>13</v>
      </c>
      <c r="B74" t="s">
        <v>9</v>
      </c>
      <c r="C74">
        <v>0</v>
      </c>
    </row>
    <row r="75" spans="1:3" x14ac:dyDescent="0.35">
      <c r="A75" t="s">
        <v>14</v>
      </c>
      <c r="B75" t="s">
        <v>9</v>
      </c>
      <c r="C75">
        <v>0</v>
      </c>
    </row>
    <row r="76" spans="1:3" x14ac:dyDescent="0.35">
      <c r="A76" t="s">
        <v>15</v>
      </c>
      <c r="B76" t="s">
        <v>9</v>
      </c>
      <c r="C76">
        <v>0</v>
      </c>
    </row>
    <row r="77" spans="1:3" x14ac:dyDescent="0.35">
      <c r="A77" t="s">
        <v>16</v>
      </c>
      <c r="B77" t="s">
        <v>9</v>
      </c>
      <c r="C77">
        <v>0</v>
      </c>
    </row>
    <row r="78" spans="1:3" x14ac:dyDescent="0.35">
      <c r="A78" t="s">
        <v>17</v>
      </c>
      <c r="B78" t="s">
        <v>9</v>
      </c>
      <c r="C78">
        <v>0</v>
      </c>
    </row>
    <row r="79" spans="1:3" x14ac:dyDescent="0.35">
      <c r="A79" t="s">
        <v>18</v>
      </c>
      <c r="B79" t="s">
        <v>9</v>
      </c>
      <c r="C79">
        <v>0</v>
      </c>
    </row>
    <row r="80" spans="1:3" x14ac:dyDescent="0.35">
      <c r="A80" t="s">
        <v>19</v>
      </c>
      <c r="B80" t="s">
        <v>9</v>
      </c>
      <c r="C80">
        <v>0</v>
      </c>
    </row>
    <row r="81" spans="1:3" x14ac:dyDescent="0.35">
      <c r="A81" t="s">
        <v>20</v>
      </c>
      <c r="B81" t="s">
        <v>9</v>
      </c>
      <c r="C81">
        <v>0</v>
      </c>
    </row>
    <row r="82" spans="1:3" x14ac:dyDescent="0.35">
      <c r="A82" t="s">
        <v>21</v>
      </c>
      <c r="B82" t="s">
        <v>9</v>
      </c>
      <c r="C82">
        <v>0</v>
      </c>
    </row>
    <row r="83" spans="1:3" x14ac:dyDescent="0.35">
      <c r="A83" t="s">
        <v>22</v>
      </c>
      <c r="B83" t="s">
        <v>9</v>
      </c>
      <c r="C83">
        <v>0</v>
      </c>
    </row>
    <row r="84" spans="1:3" x14ac:dyDescent="0.35">
      <c r="A84" t="s">
        <v>23</v>
      </c>
      <c r="B84" t="s">
        <v>9</v>
      </c>
      <c r="C84">
        <v>0</v>
      </c>
    </row>
    <row r="85" spans="1:3" x14ac:dyDescent="0.35">
      <c r="A85" t="s">
        <v>24</v>
      </c>
      <c r="B85" t="s">
        <v>9</v>
      </c>
      <c r="C85">
        <v>0</v>
      </c>
    </row>
    <row r="86" spans="1:3" x14ac:dyDescent="0.35">
      <c r="A86" t="s">
        <v>25</v>
      </c>
      <c r="B86" t="s">
        <v>9</v>
      </c>
      <c r="C86">
        <v>0</v>
      </c>
    </row>
    <row r="87" spans="1:3" x14ac:dyDescent="0.35">
      <c r="A87" t="s">
        <v>26</v>
      </c>
      <c r="B87" t="s">
        <v>9</v>
      </c>
      <c r="C87">
        <v>0</v>
      </c>
    </row>
    <row r="88" spans="1:3" x14ac:dyDescent="0.35">
      <c r="A88" t="s">
        <v>27</v>
      </c>
      <c r="B88" t="s">
        <v>9</v>
      </c>
      <c r="C88">
        <v>0</v>
      </c>
    </row>
    <row r="89" spans="1:3" x14ac:dyDescent="0.35">
      <c r="A89" t="s">
        <v>28</v>
      </c>
      <c r="B89" t="s">
        <v>9</v>
      </c>
      <c r="C89">
        <v>0</v>
      </c>
    </row>
    <row r="90" spans="1:3" x14ac:dyDescent="0.35">
      <c r="A90" t="s">
        <v>29</v>
      </c>
      <c r="B90" t="s">
        <v>9</v>
      </c>
      <c r="C90">
        <v>0</v>
      </c>
    </row>
    <row r="91" spans="1:3" x14ac:dyDescent="0.35">
      <c r="A91" t="s">
        <v>30</v>
      </c>
      <c r="B91" t="s">
        <v>9</v>
      </c>
      <c r="C91">
        <v>0</v>
      </c>
    </row>
    <row r="92" spans="1:3" x14ac:dyDescent="0.35">
      <c r="A92" t="s">
        <v>31</v>
      </c>
      <c r="B92" t="s">
        <v>9</v>
      </c>
      <c r="C92">
        <v>0</v>
      </c>
    </row>
    <row r="93" spans="1:3" x14ac:dyDescent="0.35">
      <c r="A93" t="s">
        <v>32</v>
      </c>
      <c r="B93" t="s">
        <v>9</v>
      </c>
      <c r="C93">
        <v>0</v>
      </c>
    </row>
    <row r="94" spans="1:3" x14ac:dyDescent="0.35">
      <c r="A94" t="s">
        <v>33</v>
      </c>
      <c r="B94" t="s">
        <v>9</v>
      </c>
      <c r="C94">
        <v>0</v>
      </c>
    </row>
    <row r="95" spans="1:3" x14ac:dyDescent="0.35">
      <c r="A95" t="s">
        <v>34</v>
      </c>
      <c r="B95" t="s">
        <v>9</v>
      </c>
      <c r="C95">
        <v>0</v>
      </c>
    </row>
    <row r="96" spans="1:3" x14ac:dyDescent="0.35">
      <c r="A96" t="s">
        <v>35</v>
      </c>
      <c r="B96" t="s">
        <v>9</v>
      </c>
      <c r="C96">
        <v>0</v>
      </c>
    </row>
    <row r="97" spans="1:3" x14ac:dyDescent="0.35">
      <c r="A97" t="s">
        <v>36</v>
      </c>
      <c r="B97" t="s">
        <v>9</v>
      </c>
      <c r="C97">
        <v>0</v>
      </c>
    </row>
    <row r="98" spans="1:3" x14ac:dyDescent="0.35">
      <c r="A98" t="s">
        <v>37</v>
      </c>
      <c r="B98" t="s">
        <v>9</v>
      </c>
      <c r="C98">
        <v>0</v>
      </c>
    </row>
    <row r="99" spans="1:3" x14ac:dyDescent="0.35">
      <c r="A99" t="s">
        <v>38</v>
      </c>
      <c r="B99" t="s">
        <v>9</v>
      </c>
      <c r="C99">
        <v>0</v>
      </c>
    </row>
    <row r="100" spans="1:3" x14ac:dyDescent="0.35">
      <c r="A100" t="s">
        <v>39</v>
      </c>
      <c r="B100" t="s">
        <v>9</v>
      </c>
      <c r="C100">
        <v>0</v>
      </c>
    </row>
    <row r="101" spans="1:3" x14ac:dyDescent="0.35">
      <c r="A101" t="s">
        <v>7</v>
      </c>
      <c r="B101" t="s">
        <v>10</v>
      </c>
      <c r="C101">
        <v>0</v>
      </c>
    </row>
    <row r="102" spans="1:3" x14ac:dyDescent="0.35">
      <c r="A102" t="s">
        <v>8</v>
      </c>
      <c r="B102" t="s">
        <v>10</v>
      </c>
      <c r="C102">
        <v>0</v>
      </c>
    </row>
    <row r="103" spans="1:3" x14ac:dyDescent="0.35">
      <c r="A103" t="s">
        <v>9</v>
      </c>
      <c r="B103" t="s">
        <v>10</v>
      </c>
      <c r="C103">
        <v>0</v>
      </c>
    </row>
    <row r="104" spans="1:3" x14ac:dyDescent="0.35">
      <c r="A104" t="s">
        <v>10</v>
      </c>
      <c r="B104" t="s">
        <v>10</v>
      </c>
      <c r="C104">
        <v>3421.0370000000003</v>
      </c>
    </row>
    <row r="105" spans="1:3" x14ac:dyDescent="0.35">
      <c r="A105" t="s">
        <v>11</v>
      </c>
      <c r="B105" t="s">
        <v>10</v>
      </c>
      <c r="C105">
        <v>0</v>
      </c>
    </row>
    <row r="106" spans="1:3" x14ac:dyDescent="0.35">
      <c r="A106" t="s">
        <v>12</v>
      </c>
      <c r="B106" t="s">
        <v>10</v>
      </c>
      <c r="C106">
        <v>0</v>
      </c>
    </row>
    <row r="107" spans="1:3" x14ac:dyDescent="0.35">
      <c r="A107" t="s">
        <v>13</v>
      </c>
      <c r="B107" t="s">
        <v>10</v>
      </c>
      <c r="C107">
        <v>0</v>
      </c>
    </row>
    <row r="108" spans="1:3" x14ac:dyDescent="0.35">
      <c r="A108" t="s">
        <v>14</v>
      </c>
      <c r="B108" t="s">
        <v>10</v>
      </c>
      <c r="C108">
        <v>0</v>
      </c>
    </row>
    <row r="109" spans="1:3" x14ac:dyDescent="0.35">
      <c r="A109" t="s">
        <v>15</v>
      </c>
      <c r="B109" t="s">
        <v>10</v>
      </c>
      <c r="C109">
        <v>0</v>
      </c>
    </row>
    <row r="110" spans="1:3" x14ac:dyDescent="0.35">
      <c r="A110" t="s">
        <v>16</v>
      </c>
      <c r="B110" t="s">
        <v>10</v>
      </c>
      <c r="C110">
        <v>0</v>
      </c>
    </row>
    <row r="111" spans="1:3" x14ac:dyDescent="0.35">
      <c r="A111" t="s">
        <v>17</v>
      </c>
      <c r="B111" t="s">
        <v>10</v>
      </c>
      <c r="C111">
        <v>0</v>
      </c>
    </row>
    <row r="112" spans="1:3" x14ac:dyDescent="0.35">
      <c r="A112" t="s">
        <v>18</v>
      </c>
      <c r="B112" t="s">
        <v>10</v>
      </c>
      <c r="C112">
        <v>0</v>
      </c>
    </row>
    <row r="113" spans="1:3" x14ac:dyDescent="0.35">
      <c r="A113" t="s">
        <v>19</v>
      </c>
      <c r="B113" t="s">
        <v>10</v>
      </c>
      <c r="C113">
        <v>0</v>
      </c>
    </row>
    <row r="114" spans="1:3" x14ac:dyDescent="0.35">
      <c r="A114" t="s">
        <v>20</v>
      </c>
      <c r="B114" t="s">
        <v>10</v>
      </c>
      <c r="C114">
        <v>0</v>
      </c>
    </row>
    <row r="115" spans="1:3" x14ac:dyDescent="0.35">
      <c r="A115" t="s">
        <v>21</v>
      </c>
      <c r="B115" t="s">
        <v>10</v>
      </c>
      <c r="C115">
        <v>0</v>
      </c>
    </row>
    <row r="116" spans="1:3" x14ac:dyDescent="0.35">
      <c r="A116" t="s">
        <v>22</v>
      </c>
      <c r="B116" t="s">
        <v>10</v>
      </c>
      <c r="C116">
        <v>0</v>
      </c>
    </row>
    <row r="117" spans="1:3" x14ac:dyDescent="0.35">
      <c r="A117" t="s">
        <v>23</v>
      </c>
      <c r="B117" t="s">
        <v>10</v>
      </c>
      <c r="C117">
        <v>0</v>
      </c>
    </row>
    <row r="118" spans="1:3" x14ac:dyDescent="0.35">
      <c r="A118" t="s">
        <v>24</v>
      </c>
      <c r="B118" t="s">
        <v>10</v>
      </c>
      <c r="C118">
        <v>0</v>
      </c>
    </row>
    <row r="119" spans="1:3" x14ac:dyDescent="0.35">
      <c r="A119" t="s">
        <v>25</v>
      </c>
      <c r="B119" t="s">
        <v>10</v>
      </c>
      <c r="C119">
        <v>0</v>
      </c>
    </row>
    <row r="120" spans="1:3" x14ac:dyDescent="0.35">
      <c r="A120" t="s">
        <v>26</v>
      </c>
      <c r="B120" t="s">
        <v>10</v>
      </c>
      <c r="C120">
        <v>0</v>
      </c>
    </row>
    <row r="121" spans="1:3" x14ac:dyDescent="0.35">
      <c r="A121" t="s">
        <v>27</v>
      </c>
      <c r="B121" t="s">
        <v>10</v>
      </c>
      <c r="C121">
        <v>0</v>
      </c>
    </row>
    <row r="122" spans="1:3" x14ac:dyDescent="0.35">
      <c r="A122" t="s">
        <v>28</v>
      </c>
      <c r="B122" t="s">
        <v>10</v>
      </c>
      <c r="C122">
        <v>0</v>
      </c>
    </row>
    <row r="123" spans="1:3" x14ac:dyDescent="0.35">
      <c r="A123" t="s">
        <v>29</v>
      </c>
      <c r="B123" t="s">
        <v>10</v>
      </c>
      <c r="C123">
        <v>0</v>
      </c>
    </row>
    <row r="124" spans="1:3" x14ac:dyDescent="0.35">
      <c r="A124" t="s">
        <v>30</v>
      </c>
      <c r="B124" t="s">
        <v>10</v>
      </c>
      <c r="C124">
        <v>0</v>
      </c>
    </row>
    <row r="125" spans="1:3" x14ac:dyDescent="0.35">
      <c r="A125" t="s">
        <v>31</v>
      </c>
      <c r="B125" t="s">
        <v>10</v>
      </c>
      <c r="C125">
        <v>0</v>
      </c>
    </row>
    <row r="126" spans="1:3" x14ac:dyDescent="0.35">
      <c r="A126" t="s">
        <v>32</v>
      </c>
      <c r="B126" t="s">
        <v>10</v>
      </c>
      <c r="C126">
        <v>0</v>
      </c>
    </row>
    <row r="127" spans="1:3" x14ac:dyDescent="0.35">
      <c r="A127" t="s">
        <v>33</v>
      </c>
      <c r="B127" t="s">
        <v>10</v>
      </c>
      <c r="C127">
        <v>0</v>
      </c>
    </row>
    <row r="128" spans="1:3" x14ac:dyDescent="0.35">
      <c r="A128" t="s">
        <v>34</v>
      </c>
      <c r="B128" t="s">
        <v>10</v>
      </c>
      <c r="C128">
        <v>0</v>
      </c>
    </row>
    <row r="129" spans="1:3" x14ac:dyDescent="0.35">
      <c r="A129" t="s">
        <v>35</v>
      </c>
      <c r="B129" t="s">
        <v>10</v>
      </c>
      <c r="C129">
        <v>0</v>
      </c>
    </row>
    <row r="130" spans="1:3" x14ac:dyDescent="0.35">
      <c r="A130" t="s">
        <v>36</v>
      </c>
      <c r="B130" t="s">
        <v>10</v>
      </c>
      <c r="C130">
        <v>0</v>
      </c>
    </row>
    <row r="131" spans="1:3" x14ac:dyDescent="0.35">
      <c r="A131" t="s">
        <v>37</v>
      </c>
      <c r="B131" t="s">
        <v>10</v>
      </c>
      <c r="C131">
        <v>0</v>
      </c>
    </row>
    <row r="132" spans="1:3" x14ac:dyDescent="0.35">
      <c r="A132" t="s">
        <v>38</v>
      </c>
      <c r="B132" t="s">
        <v>10</v>
      </c>
      <c r="C132">
        <v>0</v>
      </c>
    </row>
    <row r="133" spans="1:3" x14ac:dyDescent="0.35">
      <c r="A133" t="s">
        <v>39</v>
      </c>
      <c r="B133" t="s">
        <v>10</v>
      </c>
      <c r="C133">
        <v>0</v>
      </c>
    </row>
    <row r="134" spans="1:3" x14ac:dyDescent="0.35">
      <c r="A134" t="s">
        <v>7</v>
      </c>
      <c r="B134" t="s">
        <v>11</v>
      </c>
      <c r="C134">
        <v>0</v>
      </c>
    </row>
    <row r="135" spans="1:3" x14ac:dyDescent="0.35">
      <c r="A135" t="s">
        <v>8</v>
      </c>
      <c r="B135" t="s">
        <v>11</v>
      </c>
      <c r="C135">
        <v>0</v>
      </c>
    </row>
    <row r="136" spans="1:3" x14ac:dyDescent="0.35">
      <c r="A136" t="s">
        <v>9</v>
      </c>
      <c r="B136" t="s">
        <v>11</v>
      </c>
      <c r="C136">
        <v>0</v>
      </c>
    </row>
    <row r="137" spans="1:3" x14ac:dyDescent="0.35">
      <c r="A137" t="s">
        <v>10</v>
      </c>
      <c r="B137" t="s">
        <v>11</v>
      </c>
      <c r="C137">
        <v>0</v>
      </c>
    </row>
    <row r="138" spans="1:3" x14ac:dyDescent="0.35">
      <c r="A138" t="s">
        <v>11</v>
      </c>
      <c r="B138" t="s">
        <v>11</v>
      </c>
      <c r="C138">
        <v>29.598000000000006</v>
      </c>
    </row>
    <row r="139" spans="1:3" x14ac:dyDescent="0.35">
      <c r="A139" t="s">
        <v>12</v>
      </c>
      <c r="B139" t="s">
        <v>11</v>
      </c>
      <c r="C139">
        <v>0</v>
      </c>
    </row>
    <row r="140" spans="1:3" x14ac:dyDescent="0.35">
      <c r="A140" t="s">
        <v>13</v>
      </c>
      <c r="B140" t="s">
        <v>11</v>
      </c>
      <c r="C140">
        <v>0</v>
      </c>
    </row>
    <row r="141" spans="1:3" x14ac:dyDescent="0.35">
      <c r="A141" t="s">
        <v>14</v>
      </c>
      <c r="B141" t="s">
        <v>11</v>
      </c>
      <c r="C141">
        <v>0</v>
      </c>
    </row>
    <row r="142" spans="1:3" x14ac:dyDescent="0.35">
      <c r="A142" t="s">
        <v>15</v>
      </c>
      <c r="B142" t="s">
        <v>11</v>
      </c>
      <c r="C142">
        <v>0</v>
      </c>
    </row>
    <row r="143" spans="1:3" x14ac:dyDescent="0.35">
      <c r="A143" t="s">
        <v>16</v>
      </c>
      <c r="B143" t="s">
        <v>11</v>
      </c>
      <c r="C143">
        <v>0</v>
      </c>
    </row>
    <row r="144" spans="1:3" x14ac:dyDescent="0.35">
      <c r="A144" t="s">
        <v>17</v>
      </c>
      <c r="B144" t="s">
        <v>11</v>
      </c>
      <c r="C144">
        <v>0</v>
      </c>
    </row>
    <row r="145" spans="1:3" x14ac:dyDescent="0.35">
      <c r="A145" t="s">
        <v>18</v>
      </c>
      <c r="B145" t="s">
        <v>11</v>
      </c>
      <c r="C145">
        <v>0</v>
      </c>
    </row>
    <row r="146" spans="1:3" x14ac:dyDescent="0.35">
      <c r="A146" t="s">
        <v>19</v>
      </c>
      <c r="B146" t="s">
        <v>11</v>
      </c>
      <c r="C146">
        <v>0</v>
      </c>
    </row>
    <row r="147" spans="1:3" x14ac:dyDescent="0.35">
      <c r="A147" t="s">
        <v>20</v>
      </c>
      <c r="B147" t="s">
        <v>11</v>
      </c>
      <c r="C147">
        <v>0</v>
      </c>
    </row>
    <row r="148" spans="1:3" x14ac:dyDescent="0.35">
      <c r="A148" t="s">
        <v>21</v>
      </c>
      <c r="B148" t="s">
        <v>11</v>
      </c>
      <c r="C148">
        <v>0</v>
      </c>
    </row>
    <row r="149" spans="1:3" x14ac:dyDescent="0.35">
      <c r="A149" t="s">
        <v>22</v>
      </c>
      <c r="B149" t="s">
        <v>11</v>
      </c>
      <c r="C149">
        <v>0</v>
      </c>
    </row>
    <row r="150" spans="1:3" x14ac:dyDescent="0.35">
      <c r="A150" t="s">
        <v>23</v>
      </c>
      <c r="B150" t="s">
        <v>11</v>
      </c>
      <c r="C150">
        <v>0</v>
      </c>
    </row>
    <row r="151" spans="1:3" x14ac:dyDescent="0.35">
      <c r="A151" t="s">
        <v>24</v>
      </c>
      <c r="B151" t="s">
        <v>11</v>
      </c>
      <c r="C151">
        <v>0</v>
      </c>
    </row>
    <row r="152" spans="1:3" x14ac:dyDescent="0.35">
      <c r="A152" t="s">
        <v>25</v>
      </c>
      <c r="B152" t="s">
        <v>11</v>
      </c>
      <c r="C152">
        <v>0</v>
      </c>
    </row>
    <row r="153" spans="1:3" x14ac:dyDescent="0.35">
      <c r="A153" t="s">
        <v>26</v>
      </c>
      <c r="B153" t="s">
        <v>11</v>
      </c>
      <c r="C153">
        <v>0</v>
      </c>
    </row>
    <row r="154" spans="1:3" x14ac:dyDescent="0.35">
      <c r="A154" t="s">
        <v>27</v>
      </c>
      <c r="B154" t="s">
        <v>11</v>
      </c>
      <c r="C154">
        <v>0</v>
      </c>
    </row>
    <row r="155" spans="1:3" x14ac:dyDescent="0.35">
      <c r="A155" t="s">
        <v>28</v>
      </c>
      <c r="B155" t="s">
        <v>11</v>
      </c>
      <c r="C155">
        <v>0</v>
      </c>
    </row>
    <row r="156" spans="1:3" x14ac:dyDescent="0.35">
      <c r="A156" t="s">
        <v>29</v>
      </c>
      <c r="B156" t="s">
        <v>11</v>
      </c>
      <c r="C156">
        <v>0</v>
      </c>
    </row>
    <row r="157" spans="1:3" x14ac:dyDescent="0.35">
      <c r="A157" t="s">
        <v>30</v>
      </c>
      <c r="B157" t="s">
        <v>11</v>
      </c>
      <c r="C157">
        <v>0</v>
      </c>
    </row>
    <row r="158" spans="1:3" x14ac:dyDescent="0.35">
      <c r="A158" t="s">
        <v>31</v>
      </c>
      <c r="B158" t="s">
        <v>11</v>
      </c>
      <c r="C158">
        <v>0</v>
      </c>
    </row>
    <row r="159" spans="1:3" x14ac:dyDescent="0.35">
      <c r="A159" t="s">
        <v>32</v>
      </c>
      <c r="B159" t="s">
        <v>11</v>
      </c>
      <c r="C159">
        <v>0</v>
      </c>
    </row>
    <row r="160" spans="1:3" x14ac:dyDescent="0.35">
      <c r="A160" t="s">
        <v>33</v>
      </c>
      <c r="B160" t="s">
        <v>11</v>
      </c>
      <c r="C160">
        <v>0</v>
      </c>
    </row>
    <row r="161" spans="1:3" x14ac:dyDescent="0.35">
      <c r="A161" t="s">
        <v>34</v>
      </c>
      <c r="B161" t="s">
        <v>11</v>
      </c>
      <c r="C161">
        <v>0</v>
      </c>
    </row>
    <row r="162" spans="1:3" x14ac:dyDescent="0.35">
      <c r="A162" t="s">
        <v>35</v>
      </c>
      <c r="B162" t="s">
        <v>11</v>
      </c>
      <c r="C162">
        <v>0</v>
      </c>
    </row>
    <row r="163" spans="1:3" x14ac:dyDescent="0.35">
      <c r="A163" t="s">
        <v>36</v>
      </c>
      <c r="B163" t="s">
        <v>11</v>
      </c>
      <c r="C163">
        <v>0</v>
      </c>
    </row>
    <row r="164" spans="1:3" x14ac:dyDescent="0.35">
      <c r="A164" t="s">
        <v>37</v>
      </c>
      <c r="B164" t="s">
        <v>11</v>
      </c>
      <c r="C164">
        <v>0</v>
      </c>
    </row>
    <row r="165" spans="1:3" x14ac:dyDescent="0.35">
      <c r="A165" t="s">
        <v>38</v>
      </c>
      <c r="B165" t="s">
        <v>11</v>
      </c>
      <c r="C165">
        <v>0</v>
      </c>
    </row>
    <row r="166" spans="1:3" x14ac:dyDescent="0.35">
      <c r="A166" t="s">
        <v>39</v>
      </c>
      <c r="B166" t="s">
        <v>11</v>
      </c>
      <c r="C166">
        <v>0</v>
      </c>
    </row>
    <row r="167" spans="1:3" x14ac:dyDescent="0.35">
      <c r="A167" t="s">
        <v>7</v>
      </c>
      <c r="B167" t="s">
        <v>12</v>
      </c>
      <c r="C167">
        <v>0</v>
      </c>
    </row>
    <row r="168" spans="1:3" x14ac:dyDescent="0.35">
      <c r="A168" t="s">
        <v>8</v>
      </c>
      <c r="B168" t="s">
        <v>12</v>
      </c>
      <c r="C168">
        <v>0</v>
      </c>
    </row>
    <row r="169" spans="1:3" x14ac:dyDescent="0.35">
      <c r="A169" t="s">
        <v>9</v>
      </c>
      <c r="B169" t="s">
        <v>12</v>
      </c>
      <c r="C169">
        <v>0</v>
      </c>
    </row>
    <row r="170" spans="1:3" x14ac:dyDescent="0.35">
      <c r="A170" t="s">
        <v>10</v>
      </c>
      <c r="B170" t="s">
        <v>12</v>
      </c>
      <c r="C170">
        <v>0</v>
      </c>
    </row>
    <row r="171" spans="1:3" x14ac:dyDescent="0.35">
      <c r="A171" t="s">
        <v>11</v>
      </c>
      <c r="B171" t="s">
        <v>12</v>
      </c>
      <c r="C171">
        <v>0</v>
      </c>
    </row>
    <row r="172" spans="1:3" x14ac:dyDescent="0.35">
      <c r="A172" t="s">
        <v>12</v>
      </c>
      <c r="B172" t="s">
        <v>12</v>
      </c>
      <c r="C172">
        <v>2673.8829999999998</v>
      </c>
    </row>
    <row r="173" spans="1:3" x14ac:dyDescent="0.35">
      <c r="A173" t="s">
        <v>13</v>
      </c>
      <c r="B173" t="s">
        <v>12</v>
      </c>
      <c r="C173">
        <v>0</v>
      </c>
    </row>
    <row r="174" spans="1:3" x14ac:dyDescent="0.35">
      <c r="A174" t="s">
        <v>14</v>
      </c>
      <c r="B174" t="s">
        <v>12</v>
      </c>
      <c r="C174">
        <v>0</v>
      </c>
    </row>
    <row r="175" spans="1:3" x14ac:dyDescent="0.35">
      <c r="A175" t="s">
        <v>15</v>
      </c>
      <c r="B175" t="s">
        <v>12</v>
      </c>
      <c r="C175">
        <v>0</v>
      </c>
    </row>
    <row r="176" spans="1:3" x14ac:dyDescent="0.35">
      <c r="A176" t="s">
        <v>16</v>
      </c>
      <c r="B176" t="s">
        <v>12</v>
      </c>
      <c r="C176">
        <v>0</v>
      </c>
    </row>
    <row r="177" spans="1:3" x14ac:dyDescent="0.35">
      <c r="A177" t="s">
        <v>17</v>
      </c>
      <c r="B177" t="s">
        <v>12</v>
      </c>
      <c r="C177">
        <v>0</v>
      </c>
    </row>
    <row r="178" spans="1:3" x14ac:dyDescent="0.35">
      <c r="A178" t="s">
        <v>18</v>
      </c>
      <c r="B178" t="s">
        <v>12</v>
      </c>
      <c r="C178">
        <v>0</v>
      </c>
    </row>
    <row r="179" spans="1:3" x14ac:dyDescent="0.35">
      <c r="A179" t="s">
        <v>19</v>
      </c>
      <c r="B179" t="s">
        <v>12</v>
      </c>
      <c r="C179">
        <v>0</v>
      </c>
    </row>
    <row r="180" spans="1:3" x14ac:dyDescent="0.35">
      <c r="A180" t="s">
        <v>20</v>
      </c>
      <c r="B180" t="s">
        <v>12</v>
      </c>
      <c r="C180">
        <v>0</v>
      </c>
    </row>
    <row r="181" spans="1:3" x14ac:dyDescent="0.35">
      <c r="A181" t="s">
        <v>21</v>
      </c>
      <c r="B181" t="s">
        <v>12</v>
      </c>
      <c r="C181">
        <v>0</v>
      </c>
    </row>
    <row r="182" spans="1:3" x14ac:dyDescent="0.35">
      <c r="A182" t="s">
        <v>22</v>
      </c>
      <c r="B182" t="s">
        <v>12</v>
      </c>
      <c r="C182">
        <v>0</v>
      </c>
    </row>
    <row r="183" spans="1:3" x14ac:dyDescent="0.35">
      <c r="A183" t="s">
        <v>23</v>
      </c>
      <c r="B183" t="s">
        <v>12</v>
      </c>
      <c r="C183">
        <v>0</v>
      </c>
    </row>
    <row r="184" spans="1:3" x14ac:dyDescent="0.35">
      <c r="A184" t="s">
        <v>24</v>
      </c>
      <c r="B184" t="s">
        <v>12</v>
      </c>
      <c r="C184">
        <v>0</v>
      </c>
    </row>
    <row r="185" spans="1:3" x14ac:dyDescent="0.35">
      <c r="A185" t="s">
        <v>25</v>
      </c>
      <c r="B185" t="s">
        <v>12</v>
      </c>
      <c r="C185">
        <v>0</v>
      </c>
    </row>
    <row r="186" spans="1:3" x14ac:dyDescent="0.35">
      <c r="A186" t="s">
        <v>26</v>
      </c>
      <c r="B186" t="s">
        <v>12</v>
      </c>
      <c r="C186">
        <v>0</v>
      </c>
    </row>
    <row r="187" spans="1:3" x14ac:dyDescent="0.35">
      <c r="A187" t="s">
        <v>27</v>
      </c>
      <c r="B187" t="s">
        <v>12</v>
      </c>
      <c r="C187">
        <v>0</v>
      </c>
    </row>
    <row r="188" spans="1:3" x14ac:dyDescent="0.35">
      <c r="A188" t="s">
        <v>28</v>
      </c>
      <c r="B188" t="s">
        <v>12</v>
      </c>
      <c r="C188">
        <v>0</v>
      </c>
    </row>
    <row r="189" spans="1:3" x14ac:dyDescent="0.35">
      <c r="A189" t="s">
        <v>29</v>
      </c>
      <c r="B189" t="s">
        <v>12</v>
      </c>
      <c r="C189">
        <v>0</v>
      </c>
    </row>
    <row r="190" spans="1:3" x14ac:dyDescent="0.35">
      <c r="A190" t="s">
        <v>30</v>
      </c>
      <c r="B190" t="s">
        <v>12</v>
      </c>
      <c r="C190">
        <v>0</v>
      </c>
    </row>
    <row r="191" spans="1:3" x14ac:dyDescent="0.35">
      <c r="A191" t="s">
        <v>31</v>
      </c>
      <c r="B191" t="s">
        <v>12</v>
      </c>
      <c r="C191">
        <v>0</v>
      </c>
    </row>
    <row r="192" spans="1:3" x14ac:dyDescent="0.35">
      <c r="A192" t="s">
        <v>32</v>
      </c>
      <c r="B192" t="s">
        <v>12</v>
      </c>
      <c r="C192">
        <v>0</v>
      </c>
    </row>
    <row r="193" spans="1:3" x14ac:dyDescent="0.35">
      <c r="A193" t="s">
        <v>33</v>
      </c>
      <c r="B193" t="s">
        <v>12</v>
      </c>
      <c r="C193">
        <v>0</v>
      </c>
    </row>
    <row r="194" spans="1:3" x14ac:dyDescent="0.35">
      <c r="A194" t="s">
        <v>34</v>
      </c>
      <c r="B194" t="s">
        <v>12</v>
      </c>
      <c r="C194">
        <v>0</v>
      </c>
    </row>
    <row r="195" spans="1:3" x14ac:dyDescent="0.35">
      <c r="A195" t="s">
        <v>35</v>
      </c>
      <c r="B195" t="s">
        <v>12</v>
      </c>
      <c r="C195">
        <v>0</v>
      </c>
    </row>
    <row r="196" spans="1:3" x14ac:dyDescent="0.35">
      <c r="A196" t="s">
        <v>36</v>
      </c>
      <c r="B196" t="s">
        <v>12</v>
      </c>
      <c r="C196">
        <v>0</v>
      </c>
    </row>
    <row r="197" spans="1:3" x14ac:dyDescent="0.35">
      <c r="A197" t="s">
        <v>37</v>
      </c>
      <c r="B197" t="s">
        <v>12</v>
      </c>
      <c r="C197">
        <v>0</v>
      </c>
    </row>
    <row r="198" spans="1:3" x14ac:dyDescent="0.35">
      <c r="A198" t="s">
        <v>38</v>
      </c>
      <c r="B198" t="s">
        <v>12</v>
      </c>
      <c r="C198">
        <v>0</v>
      </c>
    </row>
    <row r="199" spans="1:3" x14ac:dyDescent="0.35">
      <c r="A199" t="s">
        <v>39</v>
      </c>
      <c r="B199" t="s">
        <v>12</v>
      </c>
      <c r="C199">
        <v>0</v>
      </c>
    </row>
    <row r="200" spans="1:3" x14ac:dyDescent="0.35">
      <c r="A200" t="s">
        <v>7</v>
      </c>
      <c r="B200" t="s">
        <v>13</v>
      </c>
      <c r="C200">
        <v>0</v>
      </c>
    </row>
    <row r="201" spans="1:3" x14ac:dyDescent="0.35">
      <c r="A201" t="s">
        <v>8</v>
      </c>
      <c r="B201" t="s">
        <v>13</v>
      </c>
      <c r="C201">
        <v>0</v>
      </c>
    </row>
    <row r="202" spans="1:3" x14ac:dyDescent="0.35">
      <c r="A202" t="s">
        <v>9</v>
      </c>
      <c r="B202" t="s">
        <v>13</v>
      </c>
      <c r="C202">
        <v>0</v>
      </c>
    </row>
    <row r="203" spans="1:3" x14ac:dyDescent="0.35">
      <c r="A203" t="s">
        <v>10</v>
      </c>
      <c r="B203" t="s">
        <v>13</v>
      </c>
      <c r="C203">
        <v>0</v>
      </c>
    </row>
    <row r="204" spans="1:3" x14ac:dyDescent="0.35">
      <c r="A204" t="s">
        <v>11</v>
      </c>
      <c r="B204" t="s">
        <v>13</v>
      </c>
      <c r="C204">
        <v>0</v>
      </c>
    </row>
    <row r="205" spans="1:3" x14ac:dyDescent="0.35">
      <c r="A205" t="s">
        <v>12</v>
      </c>
      <c r="B205" t="s">
        <v>13</v>
      </c>
      <c r="C205">
        <v>0</v>
      </c>
    </row>
    <row r="206" spans="1:3" x14ac:dyDescent="0.35">
      <c r="A206" t="s">
        <v>13</v>
      </c>
      <c r="B206" t="s">
        <v>13</v>
      </c>
      <c r="C206">
        <v>7097.4430000000011</v>
      </c>
    </row>
    <row r="207" spans="1:3" x14ac:dyDescent="0.35">
      <c r="A207" t="s">
        <v>14</v>
      </c>
      <c r="B207" t="s">
        <v>13</v>
      </c>
      <c r="C207">
        <v>0</v>
      </c>
    </row>
    <row r="208" spans="1:3" x14ac:dyDescent="0.35">
      <c r="A208" t="s">
        <v>15</v>
      </c>
      <c r="B208" t="s">
        <v>13</v>
      </c>
      <c r="C208">
        <v>0</v>
      </c>
    </row>
    <row r="209" spans="1:3" x14ac:dyDescent="0.35">
      <c r="A209" t="s">
        <v>16</v>
      </c>
      <c r="B209" t="s">
        <v>13</v>
      </c>
      <c r="C209">
        <v>0</v>
      </c>
    </row>
    <row r="210" spans="1:3" x14ac:dyDescent="0.35">
      <c r="A210" t="s">
        <v>17</v>
      </c>
      <c r="B210" t="s">
        <v>13</v>
      </c>
      <c r="C210">
        <v>0</v>
      </c>
    </row>
    <row r="211" spans="1:3" x14ac:dyDescent="0.35">
      <c r="A211" t="s">
        <v>18</v>
      </c>
      <c r="B211" t="s">
        <v>13</v>
      </c>
      <c r="C211">
        <v>0</v>
      </c>
    </row>
    <row r="212" spans="1:3" x14ac:dyDescent="0.35">
      <c r="A212" t="s">
        <v>19</v>
      </c>
      <c r="B212" t="s">
        <v>13</v>
      </c>
      <c r="C212">
        <v>0</v>
      </c>
    </row>
    <row r="213" spans="1:3" x14ac:dyDescent="0.35">
      <c r="A213" t="s">
        <v>20</v>
      </c>
      <c r="B213" t="s">
        <v>13</v>
      </c>
      <c r="C213">
        <v>0</v>
      </c>
    </row>
    <row r="214" spans="1:3" x14ac:dyDescent="0.35">
      <c r="A214" t="s">
        <v>21</v>
      </c>
      <c r="B214" t="s">
        <v>13</v>
      </c>
      <c r="C214">
        <v>0</v>
      </c>
    </row>
    <row r="215" spans="1:3" x14ac:dyDescent="0.35">
      <c r="A215" t="s">
        <v>22</v>
      </c>
      <c r="B215" t="s">
        <v>13</v>
      </c>
      <c r="C215">
        <v>0</v>
      </c>
    </row>
    <row r="216" spans="1:3" x14ac:dyDescent="0.35">
      <c r="A216" t="s">
        <v>23</v>
      </c>
      <c r="B216" t="s">
        <v>13</v>
      </c>
      <c r="C216">
        <v>0</v>
      </c>
    </row>
    <row r="217" spans="1:3" x14ac:dyDescent="0.35">
      <c r="A217" t="s">
        <v>24</v>
      </c>
      <c r="B217" t="s">
        <v>13</v>
      </c>
      <c r="C217">
        <v>0</v>
      </c>
    </row>
    <row r="218" spans="1:3" x14ac:dyDescent="0.35">
      <c r="A218" t="s">
        <v>25</v>
      </c>
      <c r="B218" t="s">
        <v>13</v>
      </c>
      <c r="C218">
        <v>0</v>
      </c>
    </row>
    <row r="219" spans="1:3" x14ac:dyDescent="0.35">
      <c r="A219" t="s">
        <v>26</v>
      </c>
      <c r="B219" t="s">
        <v>13</v>
      </c>
      <c r="C219">
        <v>0</v>
      </c>
    </row>
    <row r="220" spans="1:3" x14ac:dyDescent="0.35">
      <c r="A220" t="s">
        <v>27</v>
      </c>
      <c r="B220" t="s">
        <v>13</v>
      </c>
      <c r="C220">
        <v>0</v>
      </c>
    </row>
    <row r="221" spans="1:3" x14ac:dyDescent="0.35">
      <c r="A221" t="s">
        <v>28</v>
      </c>
      <c r="B221" t="s">
        <v>13</v>
      </c>
      <c r="C221">
        <v>0</v>
      </c>
    </row>
    <row r="222" spans="1:3" x14ac:dyDescent="0.35">
      <c r="A222" t="s">
        <v>29</v>
      </c>
      <c r="B222" t="s">
        <v>13</v>
      </c>
      <c r="C222">
        <v>0</v>
      </c>
    </row>
    <row r="223" spans="1:3" x14ac:dyDescent="0.35">
      <c r="A223" t="s">
        <v>30</v>
      </c>
      <c r="B223" t="s">
        <v>13</v>
      </c>
      <c r="C223">
        <v>0</v>
      </c>
    </row>
    <row r="224" spans="1:3" x14ac:dyDescent="0.35">
      <c r="A224" t="s">
        <v>31</v>
      </c>
      <c r="B224" t="s">
        <v>13</v>
      </c>
      <c r="C224">
        <v>0</v>
      </c>
    </row>
    <row r="225" spans="1:3" x14ac:dyDescent="0.35">
      <c r="A225" t="s">
        <v>32</v>
      </c>
      <c r="B225" t="s">
        <v>13</v>
      </c>
      <c r="C225">
        <v>0</v>
      </c>
    </row>
    <row r="226" spans="1:3" x14ac:dyDescent="0.35">
      <c r="A226" t="s">
        <v>33</v>
      </c>
      <c r="B226" t="s">
        <v>13</v>
      </c>
      <c r="C226">
        <v>0</v>
      </c>
    </row>
    <row r="227" spans="1:3" x14ac:dyDescent="0.35">
      <c r="A227" t="s">
        <v>34</v>
      </c>
      <c r="B227" t="s">
        <v>13</v>
      </c>
      <c r="C227">
        <v>0</v>
      </c>
    </row>
    <row r="228" spans="1:3" x14ac:dyDescent="0.35">
      <c r="A228" t="s">
        <v>35</v>
      </c>
      <c r="B228" t="s">
        <v>13</v>
      </c>
      <c r="C228">
        <v>0</v>
      </c>
    </row>
    <row r="229" spans="1:3" x14ac:dyDescent="0.35">
      <c r="A229" t="s">
        <v>36</v>
      </c>
      <c r="B229" t="s">
        <v>13</v>
      </c>
      <c r="C229">
        <v>0</v>
      </c>
    </row>
    <row r="230" spans="1:3" x14ac:dyDescent="0.35">
      <c r="A230" t="s">
        <v>37</v>
      </c>
      <c r="B230" t="s">
        <v>13</v>
      </c>
      <c r="C230">
        <v>0</v>
      </c>
    </row>
    <row r="231" spans="1:3" x14ac:dyDescent="0.35">
      <c r="A231" t="s">
        <v>38</v>
      </c>
      <c r="B231" t="s">
        <v>13</v>
      </c>
      <c r="C231">
        <v>0</v>
      </c>
    </row>
    <row r="232" spans="1:3" x14ac:dyDescent="0.35">
      <c r="A232" t="s">
        <v>39</v>
      </c>
      <c r="B232" t="s">
        <v>13</v>
      </c>
      <c r="C232">
        <v>0</v>
      </c>
    </row>
    <row r="233" spans="1:3" x14ac:dyDescent="0.35">
      <c r="A233" t="s">
        <v>7</v>
      </c>
      <c r="B233" t="s">
        <v>14</v>
      </c>
      <c r="C233">
        <v>0</v>
      </c>
    </row>
    <row r="234" spans="1:3" x14ac:dyDescent="0.35">
      <c r="A234" t="s">
        <v>8</v>
      </c>
      <c r="B234" t="s">
        <v>14</v>
      </c>
      <c r="C234">
        <v>0</v>
      </c>
    </row>
    <row r="235" spans="1:3" x14ac:dyDescent="0.35">
      <c r="A235" t="s">
        <v>9</v>
      </c>
      <c r="B235" t="s">
        <v>14</v>
      </c>
      <c r="C235">
        <v>0</v>
      </c>
    </row>
    <row r="236" spans="1:3" x14ac:dyDescent="0.35">
      <c r="A236" t="s">
        <v>10</v>
      </c>
      <c r="B236" t="s">
        <v>14</v>
      </c>
      <c r="C236">
        <v>0</v>
      </c>
    </row>
    <row r="237" spans="1:3" x14ac:dyDescent="0.35">
      <c r="A237" t="s">
        <v>11</v>
      </c>
      <c r="B237" t="s">
        <v>14</v>
      </c>
      <c r="C237">
        <v>0</v>
      </c>
    </row>
    <row r="238" spans="1:3" x14ac:dyDescent="0.35">
      <c r="A238" t="s">
        <v>12</v>
      </c>
      <c r="B238" t="s">
        <v>14</v>
      </c>
      <c r="C238">
        <v>0</v>
      </c>
    </row>
    <row r="239" spans="1:3" x14ac:dyDescent="0.35">
      <c r="A239" t="s">
        <v>13</v>
      </c>
      <c r="B239" t="s">
        <v>14</v>
      </c>
      <c r="C239">
        <v>0</v>
      </c>
    </row>
    <row r="240" spans="1:3" x14ac:dyDescent="0.35">
      <c r="A240" t="s">
        <v>14</v>
      </c>
      <c r="B240" t="s">
        <v>14</v>
      </c>
      <c r="C240">
        <v>28389.412000000011</v>
      </c>
    </row>
    <row r="241" spans="1:3" x14ac:dyDescent="0.35">
      <c r="A241" t="s">
        <v>15</v>
      </c>
      <c r="B241" t="s">
        <v>14</v>
      </c>
      <c r="C241">
        <v>0</v>
      </c>
    </row>
    <row r="242" spans="1:3" x14ac:dyDescent="0.35">
      <c r="A242" t="s">
        <v>16</v>
      </c>
      <c r="B242" t="s">
        <v>14</v>
      </c>
      <c r="C242">
        <v>0</v>
      </c>
    </row>
    <row r="243" spans="1:3" x14ac:dyDescent="0.35">
      <c r="A243" t="s">
        <v>17</v>
      </c>
      <c r="B243" t="s">
        <v>14</v>
      </c>
      <c r="C243">
        <v>0</v>
      </c>
    </row>
    <row r="244" spans="1:3" x14ac:dyDescent="0.35">
      <c r="A244" t="s">
        <v>18</v>
      </c>
      <c r="B244" t="s">
        <v>14</v>
      </c>
      <c r="C244">
        <v>0</v>
      </c>
    </row>
    <row r="245" spans="1:3" x14ac:dyDescent="0.35">
      <c r="A245" t="s">
        <v>19</v>
      </c>
      <c r="B245" t="s">
        <v>14</v>
      </c>
      <c r="C245">
        <v>0</v>
      </c>
    </row>
    <row r="246" spans="1:3" x14ac:dyDescent="0.35">
      <c r="A246" t="s">
        <v>20</v>
      </c>
      <c r="B246" t="s">
        <v>14</v>
      </c>
      <c r="C246">
        <v>0</v>
      </c>
    </row>
    <row r="247" spans="1:3" x14ac:dyDescent="0.35">
      <c r="A247" t="s">
        <v>21</v>
      </c>
      <c r="B247" t="s">
        <v>14</v>
      </c>
      <c r="C247">
        <v>0</v>
      </c>
    </row>
    <row r="248" spans="1:3" x14ac:dyDescent="0.35">
      <c r="A248" t="s">
        <v>22</v>
      </c>
      <c r="B248" t="s">
        <v>14</v>
      </c>
      <c r="C248">
        <v>0</v>
      </c>
    </row>
    <row r="249" spans="1:3" x14ac:dyDescent="0.35">
      <c r="A249" t="s">
        <v>23</v>
      </c>
      <c r="B249" t="s">
        <v>14</v>
      </c>
      <c r="C249">
        <v>0</v>
      </c>
    </row>
    <row r="250" spans="1:3" x14ac:dyDescent="0.35">
      <c r="A250" t="s">
        <v>24</v>
      </c>
      <c r="B250" t="s">
        <v>14</v>
      </c>
      <c r="C250">
        <v>0</v>
      </c>
    </row>
    <row r="251" spans="1:3" x14ac:dyDescent="0.35">
      <c r="A251" t="s">
        <v>25</v>
      </c>
      <c r="B251" t="s">
        <v>14</v>
      </c>
      <c r="C251">
        <v>0</v>
      </c>
    </row>
    <row r="252" spans="1:3" x14ac:dyDescent="0.35">
      <c r="A252" t="s">
        <v>26</v>
      </c>
      <c r="B252" t="s">
        <v>14</v>
      </c>
      <c r="C252">
        <v>0</v>
      </c>
    </row>
    <row r="253" spans="1:3" x14ac:dyDescent="0.35">
      <c r="A253" t="s">
        <v>27</v>
      </c>
      <c r="B253" t="s">
        <v>14</v>
      </c>
      <c r="C253">
        <v>0</v>
      </c>
    </row>
    <row r="254" spans="1:3" x14ac:dyDescent="0.35">
      <c r="A254" t="s">
        <v>28</v>
      </c>
      <c r="B254" t="s">
        <v>14</v>
      </c>
      <c r="C254">
        <v>0</v>
      </c>
    </row>
    <row r="255" spans="1:3" x14ac:dyDescent="0.35">
      <c r="A255" t="s">
        <v>29</v>
      </c>
      <c r="B255" t="s">
        <v>14</v>
      </c>
      <c r="C255">
        <v>0</v>
      </c>
    </row>
    <row r="256" spans="1:3" x14ac:dyDescent="0.35">
      <c r="A256" t="s">
        <v>30</v>
      </c>
      <c r="B256" t="s">
        <v>14</v>
      </c>
      <c r="C256">
        <v>0</v>
      </c>
    </row>
    <row r="257" spans="1:3" x14ac:dyDescent="0.35">
      <c r="A257" t="s">
        <v>31</v>
      </c>
      <c r="B257" t="s">
        <v>14</v>
      </c>
      <c r="C257">
        <v>0</v>
      </c>
    </row>
    <row r="258" spans="1:3" x14ac:dyDescent="0.35">
      <c r="A258" t="s">
        <v>32</v>
      </c>
      <c r="B258" t="s">
        <v>14</v>
      </c>
      <c r="C258">
        <v>0</v>
      </c>
    </row>
    <row r="259" spans="1:3" x14ac:dyDescent="0.35">
      <c r="A259" t="s">
        <v>33</v>
      </c>
      <c r="B259" t="s">
        <v>14</v>
      </c>
      <c r="C259">
        <v>0</v>
      </c>
    </row>
    <row r="260" spans="1:3" x14ac:dyDescent="0.35">
      <c r="A260" t="s">
        <v>34</v>
      </c>
      <c r="B260" t="s">
        <v>14</v>
      </c>
      <c r="C260">
        <v>0</v>
      </c>
    </row>
    <row r="261" spans="1:3" x14ac:dyDescent="0.35">
      <c r="A261" t="s">
        <v>35</v>
      </c>
      <c r="B261" t="s">
        <v>14</v>
      </c>
      <c r="C261">
        <v>0</v>
      </c>
    </row>
    <row r="262" spans="1:3" x14ac:dyDescent="0.35">
      <c r="A262" t="s">
        <v>36</v>
      </c>
      <c r="B262" t="s">
        <v>14</v>
      </c>
      <c r="C262">
        <v>0</v>
      </c>
    </row>
    <row r="263" spans="1:3" x14ac:dyDescent="0.35">
      <c r="A263" t="s">
        <v>37</v>
      </c>
      <c r="B263" t="s">
        <v>14</v>
      </c>
      <c r="C263">
        <v>0</v>
      </c>
    </row>
    <row r="264" spans="1:3" x14ac:dyDescent="0.35">
      <c r="A264" t="s">
        <v>38</v>
      </c>
      <c r="B264" t="s">
        <v>14</v>
      </c>
      <c r="C264">
        <v>0</v>
      </c>
    </row>
    <row r="265" spans="1:3" x14ac:dyDescent="0.35">
      <c r="A265" t="s">
        <v>39</v>
      </c>
      <c r="B265" t="s">
        <v>14</v>
      </c>
      <c r="C265">
        <v>0</v>
      </c>
    </row>
    <row r="266" spans="1:3" x14ac:dyDescent="0.35">
      <c r="A266" t="s">
        <v>7</v>
      </c>
      <c r="B266" t="s">
        <v>15</v>
      </c>
      <c r="C266">
        <v>0</v>
      </c>
    </row>
    <row r="267" spans="1:3" x14ac:dyDescent="0.35">
      <c r="A267" t="s">
        <v>8</v>
      </c>
      <c r="B267" t="s">
        <v>15</v>
      </c>
      <c r="C267">
        <v>0</v>
      </c>
    </row>
    <row r="268" spans="1:3" x14ac:dyDescent="0.35">
      <c r="A268" t="s">
        <v>9</v>
      </c>
      <c r="B268" t="s">
        <v>15</v>
      </c>
      <c r="C268">
        <v>0</v>
      </c>
    </row>
    <row r="269" spans="1:3" x14ac:dyDescent="0.35">
      <c r="A269" t="s">
        <v>10</v>
      </c>
      <c r="B269" t="s">
        <v>15</v>
      </c>
      <c r="C269">
        <v>0</v>
      </c>
    </row>
    <row r="270" spans="1:3" x14ac:dyDescent="0.35">
      <c r="A270" t="s">
        <v>11</v>
      </c>
      <c r="B270" t="s">
        <v>15</v>
      </c>
      <c r="C270">
        <v>0</v>
      </c>
    </row>
    <row r="271" spans="1:3" x14ac:dyDescent="0.35">
      <c r="A271" t="s">
        <v>12</v>
      </c>
      <c r="B271" t="s">
        <v>15</v>
      </c>
      <c r="C271">
        <v>0</v>
      </c>
    </row>
    <row r="272" spans="1:3" x14ac:dyDescent="0.35">
      <c r="A272" t="s">
        <v>13</v>
      </c>
      <c r="B272" t="s">
        <v>15</v>
      </c>
      <c r="C272">
        <v>0</v>
      </c>
    </row>
    <row r="273" spans="1:3" x14ac:dyDescent="0.35">
      <c r="A273" t="s">
        <v>14</v>
      </c>
      <c r="B273" t="s">
        <v>15</v>
      </c>
      <c r="C273">
        <v>0</v>
      </c>
    </row>
    <row r="274" spans="1:3" x14ac:dyDescent="0.35">
      <c r="A274" t="s">
        <v>15</v>
      </c>
      <c r="B274" t="s">
        <v>15</v>
      </c>
      <c r="C274">
        <v>13147.265999999998</v>
      </c>
    </row>
    <row r="275" spans="1:3" x14ac:dyDescent="0.35">
      <c r="A275" t="s">
        <v>16</v>
      </c>
      <c r="B275" t="s">
        <v>15</v>
      </c>
      <c r="C275">
        <v>0</v>
      </c>
    </row>
    <row r="276" spans="1:3" x14ac:dyDescent="0.35">
      <c r="A276" t="s">
        <v>17</v>
      </c>
      <c r="B276" t="s">
        <v>15</v>
      </c>
      <c r="C276">
        <v>0</v>
      </c>
    </row>
    <row r="277" spans="1:3" x14ac:dyDescent="0.35">
      <c r="A277" t="s">
        <v>18</v>
      </c>
      <c r="B277" t="s">
        <v>15</v>
      </c>
      <c r="C277">
        <v>0</v>
      </c>
    </row>
    <row r="278" spans="1:3" x14ac:dyDescent="0.35">
      <c r="A278" t="s">
        <v>19</v>
      </c>
      <c r="B278" t="s">
        <v>15</v>
      </c>
      <c r="C278">
        <v>0</v>
      </c>
    </row>
    <row r="279" spans="1:3" x14ac:dyDescent="0.35">
      <c r="A279" t="s">
        <v>20</v>
      </c>
      <c r="B279" t="s">
        <v>15</v>
      </c>
      <c r="C279">
        <v>0</v>
      </c>
    </row>
    <row r="280" spans="1:3" x14ac:dyDescent="0.35">
      <c r="A280" t="s">
        <v>21</v>
      </c>
      <c r="B280" t="s">
        <v>15</v>
      </c>
      <c r="C280">
        <v>0</v>
      </c>
    </row>
    <row r="281" spans="1:3" x14ac:dyDescent="0.35">
      <c r="A281" t="s">
        <v>22</v>
      </c>
      <c r="B281" t="s">
        <v>15</v>
      </c>
      <c r="C281">
        <v>0</v>
      </c>
    </row>
    <row r="282" spans="1:3" x14ac:dyDescent="0.35">
      <c r="A282" t="s">
        <v>23</v>
      </c>
      <c r="B282" t="s">
        <v>15</v>
      </c>
      <c r="C282">
        <v>0</v>
      </c>
    </row>
    <row r="283" spans="1:3" x14ac:dyDescent="0.35">
      <c r="A283" t="s">
        <v>24</v>
      </c>
      <c r="B283" t="s">
        <v>15</v>
      </c>
      <c r="C283">
        <v>0</v>
      </c>
    </row>
    <row r="284" spans="1:3" x14ac:dyDescent="0.35">
      <c r="A284" t="s">
        <v>25</v>
      </c>
      <c r="B284" t="s">
        <v>15</v>
      </c>
      <c r="C284">
        <v>0</v>
      </c>
    </row>
    <row r="285" spans="1:3" x14ac:dyDescent="0.35">
      <c r="A285" t="s">
        <v>26</v>
      </c>
      <c r="B285" t="s">
        <v>15</v>
      </c>
      <c r="C285">
        <v>0</v>
      </c>
    </row>
    <row r="286" spans="1:3" x14ac:dyDescent="0.35">
      <c r="A286" t="s">
        <v>27</v>
      </c>
      <c r="B286" t="s">
        <v>15</v>
      </c>
      <c r="C286">
        <v>0</v>
      </c>
    </row>
    <row r="287" spans="1:3" x14ac:dyDescent="0.35">
      <c r="A287" t="s">
        <v>28</v>
      </c>
      <c r="B287" t="s">
        <v>15</v>
      </c>
      <c r="C287">
        <v>0</v>
      </c>
    </row>
    <row r="288" spans="1:3" x14ac:dyDescent="0.35">
      <c r="A288" t="s">
        <v>29</v>
      </c>
      <c r="B288" t="s">
        <v>15</v>
      </c>
      <c r="C288">
        <v>0</v>
      </c>
    </row>
    <row r="289" spans="1:3" x14ac:dyDescent="0.35">
      <c r="A289" t="s">
        <v>30</v>
      </c>
      <c r="B289" t="s">
        <v>15</v>
      </c>
      <c r="C289">
        <v>0</v>
      </c>
    </row>
    <row r="290" spans="1:3" x14ac:dyDescent="0.35">
      <c r="A290" t="s">
        <v>31</v>
      </c>
      <c r="B290" t="s">
        <v>15</v>
      </c>
      <c r="C290">
        <v>0</v>
      </c>
    </row>
    <row r="291" spans="1:3" x14ac:dyDescent="0.35">
      <c r="A291" t="s">
        <v>32</v>
      </c>
      <c r="B291" t="s">
        <v>15</v>
      </c>
      <c r="C291">
        <v>0</v>
      </c>
    </row>
    <row r="292" spans="1:3" x14ac:dyDescent="0.35">
      <c r="A292" t="s">
        <v>33</v>
      </c>
      <c r="B292" t="s">
        <v>15</v>
      </c>
      <c r="C292">
        <v>0</v>
      </c>
    </row>
    <row r="293" spans="1:3" x14ac:dyDescent="0.35">
      <c r="A293" t="s">
        <v>34</v>
      </c>
      <c r="B293" t="s">
        <v>15</v>
      </c>
      <c r="C293">
        <v>0</v>
      </c>
    </row>
    <row r="294" spans="1:3" x14ac:dyDescent="0.35">
      <c r="A294" t="s">
        <v>35</v>
      </c>
      <c r="B294" t="s">
        <v>15</v>
      </c>
      <c r="C294">
        <v>0</v>
      </c>
    </row>
    <row r="295" spans="1:3" x14ac:dyDescent="0.35">
      <c r="A295" t="s">
        <v>36</v>
      </c>
      <c r="B295" t="s">
        <v>15</v>
      </c>
      <c r="C295">
        <v>0</v>
      </c>
    </row>
    <row r="296" spans="1:3" x14ac:dyDescent="0.35">
      <c r="A296" t="s">
        <v>37</v>
      </c>
      <c r="B296" t="s">
        <v>15</v>
      </c>
      <c r="C296">
        <v>0</v>
      </c>
    </row>
    <row r="297" spans="1:3" x14ac:dyDescent="0.35">
      <c r="A297" t="s">
        <v>38</v>
      </c>
      <c r="B297" t="s">
        <v>15</v>
      </c>
      <c r="C297">
        <v>0</v>
      </c>
    </row>
    <row r="298" spans="1:3" x14ac:dyDescent="0.35">
      <c r="A298" t="s">
        <v>39</v>
      </c>
      <c r="B298" t="s">
        <v>15</v>
      </c>
      <c r="C298">
        <v>0</v>
      </c>
    </row>
    <row r="299" spans="1:3" x14ac:dyDescent="0.35">
      <c r="A299" t="s">
        <v>7</v>
      </c>
      <c r="B299" t="s">
        <v>16</v>
      </c>
      <c r="C299">
        <v>0</v>
      </c>
    </row>
    <row r="300" spans="1:3" x14ac:dyDescent="0.35">
      <c r="A300" t="s">
        <v>8</v>
      </c>
      <c r="B300" t="s">
        <v>16</v>
      </c>
      <c r="C300">
        <v>0</v>
      </c>
    </row>
    <row r="301" spans="1:3" x14ac:dyDescent="0.35">
      <c r="A301" t="s">
        <v>9</v>
      </c>
      <c r="B301" t="s">
        <v>16</v>
      </c>
      <c r="C301">
        <v>0</v>
      </c>
    </row>
    <row r="302" spans="1:3" x14ac:dyDescent="0.35">
      <c r="A302" t="s">
        <v>10</v>
      </c>
      <c r="B302" t="s">
        <v>16</v>
      </c>
      <c r="C302">
        <v>0</v>
      </c>
    </row>
    <row r="303" spans="1:3" x14ac:dyDescent="0.35">
      <c r="A303" t="s">
        <v>11</v>
      </c>
      <c r="B303" t="s">
        <v>16</v>
      </c>
      <c r="C303">
        <v>0</v>
      </c>
    </row>
    <row r="304" spans="1:3" x14ac:dyDescent="0.35">
      <c r="A304" t="s">
        <v>12</v>
      </c>
      <c r="B304" t="s">
        <v>16</v>
      </c>
      <c r="C304">
        <v>0</v>
      </c>
    </row>
    <row r="305" spans="1:3" x14ac:dyDescent="0.35">
      <c r="A305" t="s">
        <v>13</v>
      </c>
      <c r="B305" t="s">
        <v>16</v>
      </c>
      <c r="C305">
        <v>0</v>
      </c>
    </row>
    <row r="306" spans="1:3" x14ac:dyDescent="0.35">
      <c r="A306" t="s">
        <v>14</v>
      </c>
      <c r="B306" t="s">
        <v>16</v>
      </c>
      <c r="C306">
        <v>0</v>
      </c>
    </row>
    <row r="307" spans="1:3" x14ac:dyDescent="0.35">
      <c r="A307" t="s">
        <v>15</v>
      </c>
      <c r="B307" t="s">
        <v>16</v>
      </c>
      <c r="C307">
        <v>0</v>
      </c>
    </row>
    <row r="308" spans="1:3" x14ac:dyDescent="0.35">
      <c r="A308" t="s">
        <v>16</v>
      </c>
      <c r="B308" t="s">
        <v>16</v>
      </c>
      <c r="C308">
        <v>6406.5290000000023</v>
      </c>
    </row>
    <row r="309" spans="1:3" x14ac:dyDescent="0.35">
      <c r="A309" t="s">
        <v>17</v>
      </c>
      <c r="B309" t="s">
        <v>16</v>
      </c>
      <c r="C309">
        <v>0</v>
      </c>
    </row>
    <row r="310" spans="1:3" x14ac:dyDescent="0.35">
      <c r="A310" t="s">
        <v>18</v>
      </c>
      <c r="B310" t="s">
        <v>16</v>
      </c>
      <c r="C310">
        <v>0</v>
      </c>
    </row>
    <row r="311" spans="1:3" x14ac:dyDescent="0.35">
      <c r="A311" t="s">
        <v>19</v>
      </c>
      <c r="B311" t="s">
        <v>16</v>
      </c>
      <c r="C311">
        <v>0</v>
      </c>
    </row>
    <row r="312" spans="1:3" x14ac:dyDescent="0.35">
      <c r="A312" t="s">
        <v>20</v>
      </c>
      <c r="B312" t="s">
        <v>16</v>
      </c>
      <c r="C312">
        <v>0</v>
      </c>
    </row>
    <row r="313" spans="1:3" x14ac:dyDescent="0.35">
      <c r="A313" t="s">
        <v>21</v>
      </c>
      <c r="B313" t="s">
        <v>16</v>
      </c>
      <c r="C313">
        <v>0</v>
      </c>
    </row>
    <row r="314" spans="1:3" x14ac:dyDescent="0.35">
      <c r="A314" t="s">
        <v>22</v>
      </c>
      <c r="B314" t="s">
        <v>16</v>
      </c>
      <c r="C314">
        <v>0</v>
      </c>
    </row>
    <row r="315" spans="1:3" x14ac:dyDescent="0.35">
      <c r="A315" t="s">
        <v>23</v>
      </c>
      <c r="B315" t="s">
        <v>16</v>
      </c>
      <c r="C315">
        <v>0</v>
      </c>
    </row>
    <row r="316" spans="1:3" x14ac:dyDescent="0.35">
      <c r="A316" t="s">
        <v>24</v>
      </c>
      <c r="B316" t="s">
        <v>16</v>
      </c>
      <c r="C316">
        <v>0</v>
      </c>
    </row>
    <row r="317" spans="1:3" x14ac:dyDescent="0.35">
      <c r="A317" t="s">
        <v>25</v>
      </c>
      <c r="B317" t="s">
        <v>16</v>
      </c>
      <c r="C317">
        <v>0</v>
      </c>
    </row>
    <row r="318" spans="1:3" x14ac:dyDescent="0.35">
      <c r="A318" t="s">
        <v>26</v>
      </c>
      <c r="B318" t="s">
        <v>16</v>
      </c>
      <c r="C318">
        <v>0</v>
      </c>
    </row>
    <row r="319" spans="1:3" x14ac:dyDescent="0.35">
      <c r="A319" t="s">
        <v>27</v>
      </c>
      <c r="B319" t="s">
        <v>16</v>
      </c>
      <c r="C319">
        <v>0</v>
      </c>
    </row>
    <row r="320" spans="1:3" x14ac:dyDescent="0.35">
      <c r="A320" t="s">
        <v>28</v>
      </c>
      <c r="B320" t="s">
        <v>16</v>
      </c>
      <c r="C320">
        <v>0</v>
      </c>
    </row>
    <row r="321" spans="1:3" x14ac:dyDescent="0.35">
      <c r="A321" t="s">
        <v>29</v>
      </c>
      <c r="B321" t="s">
        <v>16</v>
      </c>
      <c r="C321">
        <v>0</v>
      </c>
    </row>
    <row r="322" spans="1:3" x14ac:dyDescent="0.35">
      <c r="A322" t="s">
        <v>30</v>
      </c>
      <c r="B322" t="s">
        <v>16</v>
      </c>
      <c r="C322">
        <v>0</v>
      </c>
    </row>
    <row r="323" spans="1:3" x14ac:dyDescent="0.35">
      <c r="A323" t="s">
        <v>31</v>
      </c>
      <c r="B323" t="s">
        <v>16</v>
      </c>
      <c r="C323">
        <v>0</v>
      </c>
    </row>
    <row r="324" spans="1:3" x14ac:dyDescent="0.35">
      <c r="A324" t="s">
        <v>32</v>
      </c>
      <c r="B324" t="s">
        <v>16</v>
      </c>
      <c r="C324">
        <v>0</v>
      </c>
    </row>
    <row r="325" spans="1:3" x14ac:dyDescent="0.35">
      <c r="A325" t="s">
        <v>33</v>
      </c>
      <c r="B325" t="s">
        <v>16</v>
      </c>
      <c r="C325">
        <v>0</v>
      </c>
    </row>
    <row r="326" spans="1:3" x14ac:dyDescent="0.35">
      <c r="A326" t="s">
        <v>34</v>
      </c>
      <c r="B326" t="s">
        <v>16</v>
      </c>
      <c r="C326">
        <v>0</v>
      </c>
    </row>
    <row r="327" spans="1:3" x14ac:dyDescent="0.35">
      <c r="A327" t="s">
        <v>35</v>
      </c>
      <c r="B327" t="s">
        <v>16</v>
      </c>
      <c r="C327">
        <v>0</v>
      </c>
    </row>
    <row r="328" spans="1:3" x14ac:dyDescent="0.35">
      <c r="A328" t="s">
        <v>36</v>
      </c>
      <c r="B328" t="s">
        <v>16</v>
      </c>
      <c r="C328">
        <v>0</v>
      </c>
    </row>
    <row r="329" spans="1:3" x14ac:dyDescent="0.35">
      <c r="A329" t="s">
        <v>37</v>
      </c>
      <c r="B329" t="s">
        <v>16</v>
      </c>
      <c r="C329">
        <v>0</v>
      </c>
    </row>
    <row r="330" spans="1:3" x14ac:dyDescent="0.35">
      <c r="A330" t="s">
        <v>38</v>
      </c>
      <c r="B330" t="s">
        <v>16</v>
      </c>
      <c r="C330">
        <v>0</v>
      </c>
    </row>
    <row r="331" spans="1:3" x14ac:dyDescent="0.35">
      <c r="A331" t="s">
        <v>39</v>
      </c>
      <c r="B331" t="s">
        <v>16</v>
      </c>
      <c r="C331">
        <v>0</v>
      </c>
    </row>
    <row r="332" spans="1:3" x14ac:dyDescent="0.35">
      <c r="A332" t="s">
        <v>7</v>
      </c>
      <c r="B332" t="s">
        <v>17</v>
      </c>
      <c r="C332">
        <v>0</v>
      </c>
    </row>
    <row r="333" spans="1:3" x14ac:dyDescent="0.35">
      <c r="A333" t="s">
        <v>8</v>
      </c>
      <c r="B333" t="s">
        <v>17</v>
      </c>
      <c r="C333">
        <v>0</v>
      </c>
    </row>
    <row r="334" spans="1:3" x14ac:dyDescent="0.35">
      <c r="A334" t="s">
        <v>9</v>
      </c>
      <c r="B334" t="s">
        <v>17</v>
      </c>
      <c r="C334">
        <v>0</v>
      </c>
    </row>
    <row r="335" spans="1:3" x14ac:dyDescent="0.35">
      <c r="A335" t="s">
        <v>10</v>
      </c>
      <c r="B335" t="s">
        <v>17</v>
      </c>
      <c r="C335">
        <v>0</v>
      </c>
    </row>
    <row r="336" spans="1:3" x14ac:dyDescent="0.35">
      <c r="A336" t="s">
        <v>11</v>
      </c>
      <c r="B336" t="s">
        <v>17</v>
      </c>
      <c r="C336">
        <v>0</v>
      </c>
    </row>
    <row r="337" spans="1:3" x14ac:dyDescent="0.35">
      <c r="A337" t="s">
        <v>12</v>
      </c>
      <c r="B337" t="s">
        <v>17</v>
      </c>
      <c r="C337">
        <v>0</v>
      </c>
    </row>
    <row r="338" spans="1:3" x14ac:dyDescent="0.35">
      <c r="A338" t="s">
        <v>13</v>
      </c>
      <c r="B338" t="s">
        <v>17</v>
      </c>
      <c r="C338">
        <v>0</v>
      </c>
    </row>
    <row r="339" spans="1:3" x14ac:dyDescent="0.35">
      <c r="A339" t="s">
        <v>14</v>
      </c>
      <c r="B339" t="s">
        <v>17</v>
      </c>
      <c r="C339">
        <v>0</v>
      </c>
    </row>
    <row r="340" spans="1:3" x14ac:dyDescent="0.35">
      <c r="A340" t="s">
        <v>15</v>
      </c>
      <c r="B340" t="s">
        <v>17</v>
      </c>
      <c r="C340">
        <v>0</v>
      </c>
    </row>
    <row r="341" spans="1:3" x14ac:dyDescent="0.35">
      <c r="A341" t="s">
        <v>16</v>
      </c>
      <c r="B341" t="s">
        <v>17</v>
      </c>
      <c r="C341">
        <v>0</v>
      </c>
    </row>
    <row r="342" spans="1:3" x14ac:dyDescent="0.35">
      <c r="A342" t="s">
        <v>17</v>
      </c>
      <c r="B342" t="s">
        <v>17</v>
      </c>
      <c r="C342">
        <v>8147.143</v>
      </c>
    </row>
    <row r="343" spans="1:3" x14ac:dyDescent="0.35">
      <c r="A343" t="s">
        <v>18</v>
      </c>
      <c r="B343" t="s">
        <v>17</v>
      </c>
      <c r="C343">
        <v>0</v>
      </c>
    </row>
    <row r="344" spans="1:3" x14ac:dyDescent="0.35">
      <c r="A344" t="s">
        <v>19</v>
      </c>
      <c r="B344" t="s">
        <v>17</v>
      </c>
      <c r="C344">
        <v>0</v>
      </c>
    </row>
    <row r="345" spans="1:3" x14ac:dyDescent="0.35">
      <c r="A345" t="s">
        <v>20</v>
      </c>
      <c r="B345" t="s">
        <v>17</v>
      </c>
      <c r="C345">
        <v>0</v>
      </c>
    </row>
    <row r="346" spans="1:3" x14ac:dyDescent="0.35">
      <c r="A346" t="s">
        <v>21</v>
      </c>
      <c r="B346" t="s">
        <v>17</v>
      </c>
      <c r="C346">
        <v>0</v>
      </c>
    </row>
    <row r="347" spans="1:3" x14ac:dyDescent="0.35">
      <c r="A347" t="s">
        <v>22</v>
      </c>
      <c r="B347" t="s">
        <v>17</v>
      </c>
      <c r="C347">
        <v>0</v>
      </c>
    </row>
    <row r="348" spans="1:3" x14ac:dyDescent="0.35">
      <c r="A348" t="s">
        <v>23</v>
      </c>
      <c r="B348" t="s">
        <v>17</v>
      </c>
      <c r="C348">
        <v>0</v>
      </c>
    </row>
    <row r="349" spans="1:3" x14ac:dyDescent="0.35">
      <c r="A349" t="s">
        <v>24</v>
      </c>
      <c r="B349" t="s">
        <v>17</v>
      </c>
      <c r="C349">
        <v>0</v>
      </c>
    </row>
    <row r="350" spans="1:3" x14ac:dyDescent="0.35">
      <c r="A350" t="s">
        <v>25</v>
      </c>
      <c r="B350" t="s">
        <v>17</v>
      </c>
      <c r="C350">
        <v>0</v>
      </c>
    </row>
    <row r="351" spans="1:3" x14ac:dyDescent="0.35">
      <c r="A351" t="s">
        <v>26</v>
      </c>
      <c r="B351" t="s">
        <v>17</v>
      </c>
      <c r="C351">
        <v>0</v>
      </c>
    </row>
    <row r="352" spans="1:3" x14ac:dyDescent="0.35">
      <c r="A352" t="s">
        <v>27</v>
      </c>
      <c r="B352" t="s">
        <v>17</v>
      </c>
      <c r="C352">
        <v>0</v>
      </c>
    </row>
    <row r="353" spans="1:3" x14ac:dyDescent="0.35">
      <c r="A353" t="s">
        <v>28</v>
      </c>
      <c r="B353" t="s">
        <v>17</v>
      </c>
      <c r="C353">
        <v>0</v>
      </c>
    </row>
    <row r="354" spans="1:3" x14ac:dyDescent="0.35">
      <c r="A354" t="s">
        <v>29</v>
      </c>
      <c r="B354" t="s">
        <v>17</v>
      </c>
      <c r="C354">
        <v>0</v>
      </c>
    </row>
    <row r="355" spans="1:3" x14ac:dyDescent="0.35">
      <c r="A355" t="s">
        <v>30</v>
      </c>
      <c r="B355" t="s">
        <v>17</v>
      </c>
      <c r="C355">
        <v>0</v>
      </c>
    </row>
    <row r="356" spans="1:3" x14ac:dyDescent="0.35">
      <c r="A356" t="s">
        <v>31</v>
      </c>
      <c r="B356" t="s">
        <v>17</v>
      </c>
      <c r="C356">
        <v>0</v>
      </c>
    </row>
    <row r="357" spans="1:3" x14ac:dyDescent="0.35">
      <c r="A357" t="s">
        <v>32</v>
      </c>
      <c r="B357" t="s">
        <v>17</v>
      </c>
      <c r="C357">
        <v>0</v>
      </c>
    </row>
    <row r="358" spans="1:3" x14ac:dyDescent="0.35">
      <c r="A358" t="s">
        <v>33</v>
      </c>
      <c r="B358" t="s">
        <v>17</v>
      </c>
      <c r="C358">
        <v>0</v>
      </c>
    </row>
    <row r="359" spans="1:3" x14ac:dyDescent="0.35">
      <c r="A359" t="s">
        <v>34</v>
      </c>
      <c r="B359" t="s">
        <v>17</v>
      </c>
      <c r="C359">
        <v>0</v>
      </c>
    </row>
    <row r="360" spans="1:3" x14ac:dyDescent="0.35">
      <c r="A360" t="s">
        <v>35</v>
      </c>
      <c r="B360" t="s">
        <v>17</v>
      </c>
      <c r="C360">
        <v>0</v>
      </c>
    </row>
    <row r="361" spans="1:3" x14ac:dyDescent="0.35">
      <c r="A361" t="s">
        <v>36</v>
      </c>
      <c r="B361" t="s">
        <v>17</v>
      </c>
      <c r="C361">
        <v>0</v>
      </c>
    </row>
    <row r="362" spans="1:3" x14ac:dyDescent="0.35">
      <c r="A362" t="s">
        <v>37</v>
      </c>
      <c r="B362" t="s">
        <v>17</v>
      </c>
      <c r="C362">
        <v>0</v>
      </c>
    </row>
    <row r="363" spans="1:3" x14ac:dyDescent="0.35">
      <c r="A363" t="s">
        <v>38</v>
      </c>
      <c r="B363" t="s">
        <v>17</v>
      </c>
      <c r="C363">
        <v>0</v>
      </c>
    </row>
    <row r="364" spans="1:3" x14ac:dyDescent="0.35">
      <c r="A364" t="s">
        <v>39</v>
      </c>
      <c r="B364" t="s">
        <v>17</v>
      </c>
      <c r="C364">
        <v>0</v>
      </c>
    </row>
    <row r="365" spans="1:3" x14ac:dyDescent="0.35">
      <c r="A365" t="s">
        <v>7</v>
      </c>
      <c r="B365" t="s">
        <v>18</v>
      </c>
      <c r="C365">
        <v>0</v>
      </c>
    </row>
    <row r="366" spans="1:3" x14ac:dyDescent="0.35">
      <c r="A366" t="s">
        <v>8</v>
      </c>
      <c r="B366" t="s">
        <v>18</v>
      </c>
      <c r="C366">
        <v>0</v>
      </c>
    </row>
    <row r="367" spans="1:3" x14ac:dyDescent="0.35">
      <c r="A367" t="s">
        <v>9</v>
      </c>
      <c r="B367" t="s">
        <v>18</v>
      </c>
      <c r="C367">
        <v>0</v>
      </c>
    </row>
    <row r="368" spans="1:3" x14ac:dyDescent="0.35">
      <c r="A368" t="s">
        <v>10</v>
      </c>
      <c r="B368" t="s">
        <v>18</v>
      </c>
      <c r="C368">
        <v>0</v>
      </c>
    </row>
    <row r="369" spans="1:3" x14ac:dyDescent="0.35">
      <c r="A369" t="s">
        <v>11</v>
      </c>
      <c r="B369" t="s">
        <v>18</v>
      </c>
      <c r="C369">
        <v>0</v>
      </c>
    </row>
    <row r="370" spans="1:3" x14ac:dyDescent="0.35">
      <c r="A370" t="s">
        <v>12</v>
      </c>
      <c r="B370" t="s">
        <v>18</v>
      </c>
      <c r="C370">
        <v>0</v>
      </c>
    </row>
    <row r="371" spans="1:3" x14ac:dyDescent="0.35">
      <c r="A371" t="s">
        <v>13</v>
      </c>
      <c r="B371" t="s">
        <v>18</v>
      </c>
      <c r="C371">
        <v>0</v>
      </c>
    </row>
    <row r="372" spans="1:3" x14ac:dyDescent="0.35">
      <c r="A372" t="s">
        <v>14</v>
      </c>
      <c r="B372" t="s">
        <v>18</v>
      </c>
      <c r="C372">
        <v>0</v>
      </c>
    </row>
    <row r="373" spans="1:3" x14ac:dyDescent="0.35">
      <c r="A373" t="s">
        <v>15</v>
      </c>
      <c r="B373" t="s">
        <v>18</v>
      </c>
      <c r="C373">
        <v>0</v>
      </c>
    </row>
    <row r="374" spans="1:3" x14ac:dyDescent="0.35">
      <c r="A374" t="s">
        <v>16</v>
      </c>
      <c r="B374" t="s">
        <v>18</v>
      </c>
      <c r="C374">
        <v>0</v>
      </c>
    </row>
    <row r="375" spans="1:3" x14ac:dyDescent="0.35">
      <c r="A375" t="s">
        <v>17</v>
      </c>
      <c r="B375" t="s">
        <v>18</v>
      </c>
      <c r="C375">
        <v>0</v>
      </c>
    </row>
    <row r="376" spans="1:3" x14ac:dyDescent="0.35">
      <c r="A376" t="s">
        <v>18</v>
      </c>
      <c r="B376" t="s">
        <v>18</v>
      </c>
      <c r="C376">
        <v>38703.505000000012</v>
      </c>
    </row>
    <row r="377" spans="1:3" x14ac:dyDescent="0.35">
      <c r="A377" t="s">
        <v>19</v>
      </c>
      <c r="B377" t="s">
        <v>18</v>
      </c>
      <c r="C377">
        <v>0</v>
      </c>
    </row>
    <row r="378" spans="1:3" x14ac:dyDescent="0.35">
      <c r="A378" t="s">
        <v>20</v>
      </c>
      <c r="B378" t="s">
        <v>18</v>
      </c>
      <c r="C378">
        <v>0</v>
      </c>
    </row>
    <row r="379" spans="1:3" x14ac:dyDescent="0.35">
      <c r="A379" t="s">
        <v>21</v>
      </c>
      <c r="B379" t="s">
        <v>18</v>
      </c>
      <c r="C379">
        <v>0</v>
      </c>
    </row>
    <row r="380" spans="1:3" x14ac:dyDescent="0.35">
      <c r="A380" t="s">
        <v>22</v>
      </c>
      <c r="B380" t="s">
        <v>18</v>
      </c>
      <c r="C380">
        <v>0</v>
      </c>
    </row>
    <row r="381" spans="1:3" x14ac:dyDescent="0.35">
      <c r="A381" t="s">
        <v>23</v>
      </c>
      <c r="B381" t="s">
        <v>18</v>
      </c>
      <c r="C381">
        <v>0</v>
      </c>
    </row>
    <row r="382" spans="1:3" x14ac:dyDescent="0.35">
      <c r="A382" t="s">
        <v>24</v>
      </c>
      <c r="B382" t="s">
        <v>18</v>
      </c>
      <c r="C382">
        <v>0</v>
      </c>
    </row>
    <row r="383" spans="1:3" x14ac:dyDescent="0.35">
      <c r="A383" t="s">
        <v>25</v>
      </c>
      <c r="B383" t="s">
        <v>18</v>
      </c>
      <c r="C383">
        <v>0</v>
      </c>
    </row>
    <row r="384" spans="1:3" x14ac:dyDescent="0.35">
      <c r="A384" t="s">
        <v>26</v>
      </c>
      <c r="B384" t="s">
        <v>18</v>
      </c>
      <c r="C384">
        <v>0</v>
      </c>
    </row>
    <row r="385" spans="1:3" x14ac:dyDescent="0.35">
      <c r="A385" t="s">
        <v>27</v>
      </c>
      <c r="B385" t="s">
        <v>18</v>
      </c>
      <c r="C385">
        <v>0</v>
      </c>
    </row>
    <row r="386" spans="1:3" x14ac:dyDescent="0.35">
      <c r="A386" t="s">
        <v>28</v>
      </c>
      <c r="B386" t="s">
        <v>18</v>
      </c>
      <c r="C386">
        <v>0</v>
      </c>
    </row>
    <row r="387" spans="1:3" x14ac:dyDescent="0.35">
      <c r="A387" t="s">
        <v>29</v>
      </c>
      <c r="B387" t="s">
        <v>18</v>
      </c>
      <c r="C387">
        <v>0</v>
      </c>
    </row>
    <row r="388" spans="1:3" x14ac:dyDescent="0.35">
      <c r="A388" t="s">
        <v>30</v>
      </c>
      <c r="B388" t="s">
        <v>18</v>
      </c>
      <c r="C388">
        <v>0</v>
      </c>
    </row>
    <row r="389" spans="1:3" x14ac:dyDescent="0.35">
      <c r="A389" t="s">
        <v>31</v>
      </c>
      <c r="B389" t="s">
        <v>18</v>
      </c>
      <c r="C389">
        <v>0</v>
      </c>
    </row>
    <row r="390" spans="1:3" x14ac:dyDescent="0.35">
      <c r="A390" t="s">
        <v>32</v>
      </c>
      <c r="B390" t="s">
        <v>18</v>
      </c>
      <c r="C390">
        <v>0</v>
      </c>
    </row>
    <row r="391" spans="1:3" x14ac:dyDescent="0.35">
      <c r="A391" t="s">
        <v>33</v>
      </c>
      <c r="B391" t="s">
        <v>18</v>
      </c>
      <c r="C391">
        <v>0</v>
      </c>
    </row>
    <row r="392" spans="1:3" x14ac:dyDescent="0.35">
      <c r="A392" t="s">
        <v>34</v>
      </c>
      <c r="B392" t="s">
        <v>18</v>
      </c>
      <c r="C392">
        <v>0</v>
      </c>
    </row>
    <row r="393" spans="1:3" x14ac:dyDescent="0.35">
      <c r="A393" t="s">
        <v>35</v>
      </c>
      <c r="B393" t="s">
        <v>18</v>
      </c>
      <c r="C393">
        <v>0</v>
      </c>
    </row>
    <row r="394" spans="1:3" x14ac:dyDescent="0.35">
      <c r="A394" t="s">
        <v>36</v>
      </c>
      <c r="B394" t="s">
        <v>18</v>
      </c>
      <c r="C394">
        <v>0</v>
      </c>
    </row>
    <row r="395" spans="1:3" x14ac:dyDescent="0.35">
      <c r="A395" t="s">
        <v>37</v>
      </c>
      <c r="B395" t="s">
        <v>18</v>
      </c>
      <c r="C395">
        <v>0</v>
      </c>
    </row>
    <row r="396" spans="1:3" x14ac:dyDescent="0.35">
      <c r="A396" t="s">
        <v>38</v>
      </c>
      <c r="B396" t="s">
        <v>18</v>
      </c>
      <c r="C396">
        <v>0</v>
      </c>
    </row>
    <row r="397" spans="1:3" x14ac:dyDescent="0.35">
      <c r="A397" t="s">
        <v>39</v>
      </c>
      <c r="B397" t="s">
        <v>18</v>
      </c>
      <c r="C397">
        <v>0</v>
      </c>
    </row>
    <row r="398" spans="1:3" x14ac:dyDescent="0.35">
      <c r="A398" t="s">
        <v>7</v>
      </c>
      <c r="B398" t="s">
        <v>19</v>
      </c>
      <c r="C398">
        <v>0</v>
      </c>
    </row>
    <row r="399" spans="1:3" x14ac:dyDescent="0.35">
      <c r="A399" t="s">
        <v>8</v>
      </c>
      <c r="B399" t="s">
        <v>19</v>
      </c>
      <c r="C399">
        <v>0</v>
      </c>
    </row>
    <row r="400" spans="1:3" x14ac:dyDescent="0.35">
      <c r="A400" t="s">
        <v>9</v>
      </c>
      <c r="B400" t="s">
        <v>19</v>
      </c>
      <c r="C400">
        <v>0</v>
      </c>
    </row>
    <row r="401" spans="1:3" x14ac:dyDescent="0.35">
      <c r="A401" t="s">
        <v>10</v>
      </c>
      <c r="B401" t="s">
        <v>19</v>
      </c>
      <c r="C401">
        <v>0</v>
      </c>
    </row>
    <row r="402" spans="1:3" x14ac:dyDescent="0.35">
      <c r="A402" t="s">
        <v>11</v>
      </c>
      <c r="B402" t="s">
        <v>19</v>
      </c>
      <c r="C402">
        <v>0</v>
      </c>
    </row>
    <row r="403" spans="1:3" x14ac:dyDescent="0.35">
      <c r="A403" t="s">
        <v>12</v>
      </c>
      <c r="B403" t="s">
        <v>19</v>
      </c>
      <c r="C403">
        <v>0</v>
      </c>
    </row>
    <row r="404" spans="1:3" x14ac:dyDescent="0.35">
      <c r="A404" t="s">
        <v>13</v>
      </c>
      <c r="B404" t="s">
        <v>19</v>
      </c>
      <c r="C404">
        <v>0</v>
      </c>
    </row>
    <row r="405" spans="1:3" x14ac:dyDescent="0.35">
      <c r="A405" t="s">
        <v>14</v>
      </c>
      <c r="B405" t="s">
        <v>19</v>
      </c>
      <c r="C405">
        <v>0</v>
      </c>
    </row>
    <row r="406" spans="1:3" x14ac:dyDescent="0.35">
      <c r="A406" t="s">
        <v>15</v>
      </c>
      <c r="B406" t="s">
        <v>19</v>
      </c>
      <c r="C406">
        <v>0</v>
      </c>
    </row>
    <row r="407" spans="1:3" x14ac:dyDescent="0.35">
      <c r="A407" t="s">
        <v>16</v>
      </c>
      <c r="B407" t="s">
        <v>19</v>
      </c>
      <c r="C407">
        <v>0</v>
      </c>
    </row>
    <row r="408" spans="1:3" x14ac:dyDescent="0.35">
      <c r="A408" t="s">
        <v>17</v>
      </c>
      <c r="B408" t="s">
        <v>19</v>
      </c>
      <c r="C408">
        <v>0</v>
      </c>
    </row>
    <row r="409" spans="1:3" x14ac:dyDescent="0.35">
      <c r="A409" t="s">
        <v>18</v>
      </c>
      <c r="B409" t="s">
        <v>19</v>
      </c>
      <c r="C409">
        <v>0</v>
      </c>
    </row>
    <row r="410" spans="1:3" x14ac:dyDescent="0.35">
      <c r="A410" t="s">
        <v>19</v>
      </c>
      <c r="B410" t="s">
        <v>19</v>
      </c>
      <c r="C410">
        <v>7111.3470000000007</v>
      </c>
    </row>
    <row r="411" spans="1:3" x14ac:dyDescent="0.35">
      <c r="A411" t="s">
        <v>20</v>
      </c>
      <c r="B411" t="s">
        <v>19</v>
      </c>
      <c r="C411">
        <v>0</v>
      </c>
    </row>
    <row r="412" spans="1:3" x14ac:dyDescent="0.35">
      <c r="A412" t="s">
        <v>21</v>
      </c>
      <c r="B412" t="s">
        <v>19</v>
      </c>
      <c r="C412">
        <v>0</v>
      </c>
    </row>
    <row r="413" spans="1:3" x14ac:dyDescent="0.35">
      <c r="A413" t="s">
        <v>22</v>
      </c>
      <c r="B413" t="s">
        <v>19</v>
      </c>
      <c r="C413">
        <v>0</v>
      </c>
    </row>
    <row r="414" spans="1:3" x14ac:dyDescent="0.35">
      <c r="A414" t="s">
        <v>23</v>
      </c>
      <c r="B414" t="s">
        <v>19</v>
      </c>
      <c r="C414">
        <v>0</v>
      </c>
    </row>
    <row r="415" spans="1:3" x14ac:dyDescent="0.35">
      <c r="A415" t="s">
        <v>24</v>
      </c>
      <c r="B415" t="s">
        <v>19</v>
      </c>
      <c r="C415">
        <v>0</v>
      </c>
    </row>
    <row r="416" spans="1:3" x14ac:dyDescent="0.35">
      <c r="A416" t="s">
        <v>25</v>
      </c>
      <c r="B416" t="s">
        <v>19</v>
      </c>
      <c r="C416">
        <v>0</v>
      </c>
    </row>
    <row r="417" spans="1:3" x14ac:dyDescent="0.35">
      <c r="A417" t="s">
        <v>26</v>
      </c>
      <c r="B417" t="s">
        <v>19</v>
      </c>
      <c r="C417">
        <v>0</v>
      </c>
    </row>
    <row r="418" spans="1:3" x14ac:dyDescent="0.35">
      <c r="A418" t="s">
        <v>27</v>
      </c>
      <c r="B418" t="s">
        <v>19</v>
      </c>
      <c r="C418">
        <v>0</v>
      </c>
    </row>
    <row r="419" spans="1:3" x14ac:dyDescent="0.35">
      <c r="A419" t="s">
        <v>28</v>
      </c>
      <c r="B419" t="s">
        <v>19</v>
      </c>
      <c r="C419">
        <v>0</v>
      </c>
    </row>
    <row r="420" spans="1:3" x14ac:dyDescent="0.35">
      <c r="A420" t="s">
        <v>29</v>
      </c>
      <c r="B420" t="s">
        <v>19</v>
      </c>
      <c r="C420">
        <v>0</v>
      </c>
    </row>
    <row r="421" spans="1:3" x14ac:dyDescent="0.35">
      <c r="A421" t="s">
        <v>30</v>
      </c>
      <c r="B421" t="s">
        <v>19</v>
      </c>
      <c r="C421">
        <v>0</v>
      </c>
    </row>
    <row r="422" spans="1:3" x14ac:dyDescent="0.35">
      <c r="A422" t="s">
        <v>31</v>
      </c>
      <c r="B422" t="s">
        <v>19</v>
      </c>
      <c r="C422">
        <v>0</v>
      </c>
    </row>
    <row r="423" spans="1:3" x14ac:dyDescent="0.35">
      <c r="A423" t="s">
        <v>32</v>
      </c>
      <c r="B423" t="s">
        <v>19</v>
      </c>
      <c r="C423">
        <v>0</v>
      </c>
    </row>
    <row r="424" spans="1:3" x14ac:dyDescent="0.35">
      <c r="A424" t="s">
        <v>33</v>
      </c>
      <c r="B424" t="s">
        <v>19</v>
      </c>
      <c r="C424">
        <v>0</v>
      </c>
    </row>
    <row r="425" spans="1:3" x14ac:dyDescent="0.35">
      <c r="A425" t="s">
        <v>34</v>
      </c>
      <c r="B425" t="s">
        <v>19</v>
      </c>
      <c r="C425">
        <v>0</v>
      </c>
    </row>
    <row r="426" spans="1:3" x14ac:dyDescent="0.35">
      <c r="A426" t="s">
        <v>35</v>
      </c>
      <c r="B426" t="s">
        <v>19</v>
      </c>
      <c r="C426">
        <v>0</v>
      </c>
    </row>
    <row r="427" spans="1:3" x14ac:dyDescent="0.35">
      <c r="A427" t="s">
        <v>36</v>
      </c>
      <c r="B427" t="s">
        <v>19</v>
      </c>
      <c r="C427">
        <v>0</v>
      </c>
    </row>
    <row r="428" spans="1:3" x14ac:dyDescent="0.35">
      <c r="A428" t="s">
        <v>37</v>
      </c>
      <c r="B428" t="s">
        <v>19</v>
      </c>
      <c r="C428">
        <v>0</v>
      </c>
    </row>
    <row r="429" spans="1:3" x14ac:dyDescent="0.35">
      <c r="A429" t="s">
        <v>38</v>
      </c>
      <c r="B429" t="s">
        <v>19</v>
      </c>
      <c r="C429">
        <v>0</v>
      </c>
    </row>
    <row r="430" spans="1:3" x14ac:dyDescent="0.35">
      <c r="A430" t="s">
        <v>39</v>
      </c>
      <c r="B430" t="s">
        <v>19</v>
      </c>
      <c r="C430">
        <v>0</v>
      </c>
    </row>
    <row r="431" spans="1:3" x14ac:dyDescent="0.35">
      <c r="A431" t="s">
        <v>7</v>
      </c>
      <c r="B431" t="s">
        <v>20</v>
      </c>
      <c r="C431">
        <v>0</v>
      </c>
    </row>
    <row r="432" spans="1:3" x14ac:dyDescent="0.35">
      <c r="A432" t="s">
        <v>8</v>
      </c>
      <c r="B432" t="s">
        <v>20</v>
      </c>
      <c r="C432">
        <v>0</v>
      </c>
    </row>
    <row r="433" spans="1:3" x14ac:dyDescent="0.35">
      <c r="A433" t="s">
        <v>9</v>
      </c>
      <c r="B433" t="s">
        <v>20</v>
      </c>
      <c r="C433">
        <v>0</v>
      </c>
    </row>
    <row r="434" spans="1:3" x14ac:dyDescent="0.35">
      <c r="A434" t="s">
        <v>10</v>
      </c>
      <c r="B434" t="s">
        <v>20</v>
      </c>
      <c r="C434">
        <v>0</v>
      </c>
    </row>
    <row r="435" spans="1:3" x14ac:dyDescent="0.35">
      <c r="A435" t="s">
        <v>11</v>
      </c>
      <c r="B435" t="s">
        <v>20</v>
      </c>
      <c r="C435">
        <v>0</v>
      </c>
    </row>
    <row r="436" spans="1:3" x14ac:dyDescent="0.35">
      <c r="A436" t="s">
        <v>12</v>
      </c>
      <c r="B436" t="s">
        <v>20</v>
      </c>
      <c r="C436">
        <v>0</v>
      </c>
    </row>
    <row r="437" spans="1:3" x14ac:dyDescent="0.35">
      <c r="A437" t="s">
        <v>13</v>
      </c>
      <c r="B437" t="s">
        <v>20</v>
      </c>
      <c r="C437">
        <v>0</v>
      </c>
    </row>
    <row r="438" spans="1:3" x14ac:dyDescent="0.35">
      <c r="A438" t="s">
        <v>14</v>
      </c>
      <c r="B438" t="s">
        <v>20</v>
      </c>
      <c r="C438">
        <v>0</v>
      </c>
    </row>
    <row r="439" spans="1:3" x14ac:dyDescent="0.35">
      <c r="A439" t="s">
        <v>15</v>
      </c>
      <c r="B439" t="s">
        <v>20</v>
      </c>
      <c r="C439">
        <v>0</v>
      </c>
    </row>
    <row r="440" spans="1:3" x14ac:dyDescent="0.35">
      <c r="A440" t="s">
        <v>16</v>
      </c>
      <c r="B440" t="s">
        <v>20</v>
      </c>
      <c r="C440">
        <v>0</v>
      </c>
    </row>
    <row r="441" spans="1:3" x14ac:dyDescent="0.35">
      <c r="A441" t="s">
        <v>17</v>
      </c>
      <c r="B441" t="s">
        <v>20</v>
      </c>
      <c r="C441">
        <v>0</v>
      </c>
    </row>
    <row r="442" spans="1:3" x14ac:dyDescent="0.35">
      <c r="A442" t="s">
        <v>18</v>
      </c>
      <c r="B442" t="s">
        <v>20</v>
      </c>
      <c r="C442">
        <v>0</v>
      </c>
    </row>
    <row r="443" spans="1:3" x14ac:dyDescent="0.35">
      <c r="A443" t="s">
        <v>19</v>
      </c>
      <c r="B443" t="s">
        <v>20</v>
      </c>
      <c r="C443">
        <v>0</v>
      </c>
    </row>
    <row r="444" spans="1:3" x14ac:dyDescent="0.35">
      <c r="A444" t="s">
        <v>20</v>
      </c>
      <c r="B444" t="s">
        <v>20</v>
      </c>
      <c r="C444">
        <v>6245.6820000000007</v>
      </c>
    </row>
    <row r="445" spans="1:3" x14ac:dyDescent="0.35">
      <c r="A445" t="s">
        <v>21</v>
      </c>
      <c r="B445" t="s">
        <v>20</v>
      </c>
      <c r="C445">
        <v>0</v>
      </c>
    </row>
    <row r="446" spans="1:3" x14ac:dyDescent="0.35">
      <c r="A446" t="s">
        <v>22</v>
      </c>
      <c r="B446" t="s">
        <v>20</v>
      </c>
      <c r="C446">
        <v>0</v>
      </c>
    </row>
    <row r="447" spans="1:3" x14ac:dyDescent="0.35">
      <c r="A447" t="s">
        <v>23</v>
      </c>
      <c r="B447" t="s">
        <v>20</v>
      </c>
      <c r="C447">
        <v>0</v>
      </c>
    </row>
    <row r="448" spans="1:3" x14ac:dyDescent="0.35">
      <c r="A448" t="s">
        <v>24</v>
      </c>
      <c r="B448" t="s">
        <v>20</v>
      </c>
      <c r="C448">
        <v>0</v>
      </c>
    </row>
    <row r="449" spans="1:3" x14ac:dyDescent="0.35">
      <c r="A449" t="s">
        <v>25</v>
      </c>
      <c r="B449" t="s">
        <v>20</v>
      </c>
      <c r="C449">
        <v>0</v>
      </c>
    </row>
    <row r="450" spans="1:3" x14ac:dyDescent="0.35">
      <c r="A450" t="s">
        <v>26</v>
      </c>
      <c r="B450" t="s">
        <v>20</v>
      </c>
      <c r="C450">
        <v>0</v>
      </c>
    </row>
    <row r="451" spans="1:3" x14ac:dyDescent="0.35">
      <c r="A451" t="s">
        <v>27</v>
      </c>
      <c r="B451" t="s">
        <v>20</v>
      </c>
      <c r="C451">
        <v>0</v>
      </c>
    </row>
    <row r="452" spans="1:3" x14ac:dyDescent="0.35">
      <c r="A452" t="s">
        <v>28</v>
      </c>
      <c r="B452" t="s">
        <v>20</v>
      </c>
      <c r="C452">
        <v>0</v>
      </c>
    </row>
    <row r="453" spans="1:3" x14ac:dyDescent="0.35">
      <c r="A453" t="s">
        <v>29</v>
      </c>
      <c r="B453" t="s">
        <v>20</v>
      </c>
      <c r="C453">
        <v>0</v>
      </c>
    </row>
    <row r="454" spans="1:3" x14ac:dyDescent="0.35">
      <c r="A454" t="s">
        <v>30</v>
      </c>
      <c r="B454" t="s">
        <v>20</v>
      </c>
      <c r="C454">
        <v>0</v>
      </c>
    </row>
    <row r="455" spans="1:3" x14ac:dyDescent="0.35">
      <c r="A455" t="s">
        <v>31</v>
      </c>
      <c r="B455" t="s">
        <v>20</v>
      </c>
      <c r="C455">
        <v>0</v>
      </c>
    </row>
    <row r="456" spans="1:3" x14ac:dyDescent="0.35">
      <c r="A456" t="s">
        <v>32</v>
      </c>
      <c r="B456" t="s">
        <v>20</v>
      </c>
      <c r="C456">
        <v>0</v>
      </c>
    </row>
    <row r="457" spans="1:3" x14ac:dyDescent="0.35">
      <c r="A457" t="s">
        <v>33</v>
      </c>
      <c r="B457" t="s">
        <v>20</v>
      </c>
      <c r="C457">
        <v>0</v>
      </c>
    </row>
    <row r="458" spans="1:3" x14ac:dyDescent="0.35">
      <c r="A458" t="s">
        <v>34</v>
      </c>
      <c r="B458" t="s">
        <v>20</v>
      </c>
      <c r="C458">
        <v>0</v>
      </c>
    </row>
    <row r="459" spans="1:3" x14ac:dyDescent="0.35">
      <c r="A459" t="s">
        <v>35</v>
      </c>
      <c r="B459" t="s">
        <v>20</v>
      </c>
      <c r="C459">
        <v>0</v>
      </c>
    </row>
    <row r="460" spans="1:3" x14ac:dyDescent="0.35">
      <c r="A460" t="s">
        <v>36</v>
      </c>
      <c r="B460" t="s">
        <v>20</v>
      </c>
      <c r="C460">
        <v>0</v>
      </c>
    </row>
    <row r="461" spans="1:3" x14ac:dyDescent="0.35">
      <c r="A461" t="s">
        <v>37</v>
      </c>
      <c r="B461" t="s">
        <v>20</v>
      </c>
      <c r="C461">
        <v>0</v>
      </c>
    </row>
    <row r="462" spans="1:3" x14ac:dyDescent="0.35">
      <c r="A462" t="s">
        <v>38</v>
      </c>
      <c r="B462" t="s">
        <v>20</v>
      </c>
      <c r="C462">
        <v>0</v>
      </c>
    </row>
    <row r="463" spans="1:3" x14ac:dyDescent="0.35">
      <c r="A463" t="s">
        <v>39</v>
      </c>
      <c r="B463" t="s">
        <v>20</v>
      </c>
      <c r="C463">
        <v>0</v>
      </c>
    </row>
    <row r="464" spans="1:3" x14ac:dyDescent="0.35">
      <c r="A464" t="s">
        <v>7</v>
      </c>
      <c r="B464" t="s">
        <v>21</v>
      </c>
      <c r="C464">
        <v>0</v>
      </c>
    </row>
    <row r="465" spans="1:3" x14ac:dyDescent="0.35">
      <c r="A465" t="s">
        <v>8</v>
      </c>
      <c r="B465" t="s">
        <v>21</v>
      </c>
      <c r="C465">
        <v>0</v>
      </c>
    </row>
    <row r="466" spans="1:3" x14ac:dyDescent="0.35">
      <c r="A466" t="s">
        <v>9</v>
      </c>
      <c r="B466" t="s">
        <v>21</v>
      </c>
      <c r="C466">
        <v>0</v>
      </c>
    </row>
    <row r="467" spans="1:3" x14ac:dyDescent="0.35">
      <c r="A467" t="s">
        <v>10</v>
      </c>
      <c r="B467" t="s">
        <v>21</v>
      </c>
      <c r="C467">
        <v>0</v>
      </c>
    </row>
    <row r="468" spans="1:3" x14ac:dyDescent="0.35">
      <c r="A468" t="s">
        <v>11</v>
      </c>
      <c r="B468" t="s">
        <v>21</v>
      </c>
      <c r="C468">
        <v>0</v>
      </c>
    </row>
    <row r="469" spans="1:3" x14ac:dyDescent="0.35">
      <c r="A469" t="s">
        <v>12</v>
      </c>
      <c r="B469" t="s">
        <v>21</v>
      </c>
      <c r="C469">
        <v>0</v>
      </c>
    </row>
    <row r="470" spans="1:3" x14ac:dyDescent="0.35">
      <c r="A470" t="s">
        <v>13</v>
      </c>
      <c r="B470" t="s">
        <v>21</v>
      </c>
      <c r="C470">
        <v>0</v>
      </c>
    </row>
    <row r="471" spans="1:3" x14ac:dyDescent="0.35">
      <c r="A471" t="s">
        <v>14</v>
      </c>
      <c r="B471" t="s">
        <v>21</v>
      </c>
      <c r="C471">
        <v>0</v>
      </c>
    </row>
    <row r="472" spans="1:3" x14ac:dyDescent="0.35">
      <c r="A472" t="s">
        <v>15</v>
      </c>
      <c r="B472" t="s">
        <v>21</v>
      </c>
      <c r="C472">
        <v>0</v>
      </c>
    </row>
    <row r="473" spans="1:3" x14ac:dyDescent="0.35">
      <c r="A473" t="s">
        <v>16</v>
      </c>
      <c r="B473" t="s">
        <v>21</v>
      </c>
      <c r="C473">
        <v>0</v>
      </c>
    </row>
    <row r="474" spans="1:3" x14ac:dyDescent="0.35">
      <c r="A474" t="s">
        <v>17</v>
      </c>
      <c r="B474" t="s">
        <v>21</v>
      </c>
      <c r="C474">
        <v>0</v>
      </c>
    </row>
    <row r="475" spans="1:3" x14ac:dyDescent="0.35">
      <c r="A475" t="s">
        <v>18</v>
      </c>
      <c r="B475" t="s">
        <v>21</v>
      </c>
      <c r="C475">
        <v>0</v>
      </c>
    </row>
    <row r="476" spans="1:3" x14ac:dyDescent="0.35">
      <c r="A476" t="s">
        <v>19</v>
      </c>
      <c r="B476" t="s">
        <v>21</v>
      </c>
      <c r="C476">
        <v>0</v>
      </c>
    </row>
    <row r="477" spans="1:3" x14ac:dyDescent="0.35">
      <c r="A477" t="s">
        <v>20</v>
      </c>
      <c r="B477" t="s">
        <v>21</v>
      </c>
      <c r="C477">
        <v>0</v>
      </c>
    </row>
    <row r="478" spans="1:3" x14ac:dyDescent="0.35">
      <c r="A478" t="s">
        <v>21</v>
      </c>
      <c r="B478" t="s">
        <v>21</v>
      </c>
      <c r="C478">
        <v>2014.7720000000002</v>
      </c>
    </row>
    <row r="479" spans="1:3" x14ac:dyDescent="0.35">
      <c r="A479" t="s">
        <v>22</v>
      </c>
      <c r="B479" t="s">
        <v>21</v>
      </c>
      <c r="C479">
        <v>0</v>
      </c>
    </row>
    <row r="480" spans="1:3" x14ac:dyDescent="0.35">
      <c r="A480" t="s">
        <v>23</v>
      </c>
      <c r="B480" t="s">
        <v>21</v>
      </c>
      <c r="C480">
        <v>0</v>
      </c>
    </row>
    <row r="481" spans="1:3" x14ac:dyDescent="0.35">
      <c r="A481" t="s">
        <v>24</v>
      </c>
      <c r="B481" t="s">
        <v>21</v>
      </c>
      <c r="C481">
        <v>0</v>
      </c>
    </row>
    <row r="482" spans="1:3" x14ac:dyDescent="0.35">
      <c r="A482" t="s">
        <v>25</v>
      </c>
      <c r="B482" t="s">
        <v>21</v>
      </c>
      <c r="C482">
        <v>0</v>
      </c>
    </row>
    <row r="483" spans="1:3" x14ac:dyDescent="0.35">
      <c r="A483" t="s">
        <v>26</v>
      </c>
      <c r="B483" t="s">
        <v>21</v>
      </c>
      <c r="C483">
        <v>0</v>
      </c>
    </row>
    <row r="484" spans="1:3" x14ac:dyDescent="0.35">
      <c r="A484" t="s">
        <v>27</v>
      </c>
      <c r="B484" t="s">
        <v>21</v>
      </c>
      <c r="C484">
        <v>0</v>
      </c>
    </row>
    <row r="485" spans="1:3" x14ac:dyDescent="0.35">
      <c r="A485" t="s">
        <v>28</v>
      </c>
      <c r="B485" t="s">
        <v>21</v>
      </c>
      <c r="C485">
        <v>0</v>
      </c>
    </row>
    <row r="486" spans="1:3" x14ac:dyDescent="0.35">
      <c r="A486" t="s">
        <v>29</v>
      </c>
      <c r="B486" t="s">
        <v>21</v>
      </c>
      <c r="C486">
        <v>0</v>
      </c>
    </row>
    <row r="487" spans="1:3" x14ac:dyDescent="0.35">
      <c r="A487" t="s">
        <v>30</v>
      </c>
      <c r="B487" t="s">
        <v>21</v>
      </c>
      <c r="C487">
        <v>0</v>
      </c>
    </row>
    <row r="488" spans="1:3" x14ac:dyDescent="0.35">
      <c r="A488" t="s">
        <v>31</v>
      </c>
      <c r="B488" t="s">
        <v>21</v>
      </c>
      <c r="C488">
        <v>0</v>
      </c>
    </row>
    <row r="489" spans="1:3" x14ac:dyDescent="0.35">
      <c r="A489" t="s">
        <v>32</v>
      </c>
      <c r="B489" t="s">
        <v>21</v>
      </c>
      <c r="C489">
        <v>0</v>
      </c>
    </row>
    <row r="490" spans="1:3" x14ac:dyDescent="0.35">
      <c r="A490" t="s">
        <v>33</v>
      </c>
      <c r="B490" t="s">
        <v>21</v>
      </c>
      <c r="C490">
        <v>0</v>
      </c>
    </row>
    <row r="491" spans="1:3" x14ac:dyDescent="0.35">
      <c r="A491" t="s">
        <v>34</v>
      </c>
      <c r="B491" t="s">
        <v>21</v>
      </c>
      <c r="C491">
        <v>0</v>
      </c>
    </row>
    <row r="492" spans="1:3" x14ac:dyDescent="0.35">
      <c r="A492" t="s">
        <v>35</v>
      </c>
      <c r="B492" t="s">
        <v>21</v>
      </c>
      <c r="C492">
        <v>0</v>
      </c>
    </row>
    <row r="493" spans="1:3" x14ac:dyDescent="0.35">
      <c r="A493" t="s">
        <v>36</v>
      </c>
      <c r="B493" t="s">
        <v>21</v>
      </c>
      <c r="C493">
        <v>0</v>
      </c>
    </row>
    <row r="494" spans="1:3" x14ac:dyDescent="0.35">
      <c r="A494" t="s">
        <v>37</v>
      </c>
      <c r="B494" t="s">
        <v>21</v>
      </c>
      <c r="C494">
        <v>0</v>
      </c>
    </row>
    <row r="495" spans="1:3" x14ac:dyDescent="0.35">
      <c r="A495" t="s">
        <v>38</v>
      </c>
      <c r="B495" t="s">
        <v>21</v>
      </c>
      <c r="C495">
        <v>0</v>
      </c>
    </row>
    <row r="496" spans="1:3" x14ac:dyDescent="0.35">
      <c r="A496" t="s">
        <v>39</v>
      </c>
      <c r="B496" t="s">
        <v>21</v>
      </c>
      <c r="C496">
        <v>0</v>
      </c>
    </row>
    <row r="497" spans="1:3" x14ac:dyDescent="0.35">
      <c r="A497" t="s">
        <v>7</v>
      </c>
      <c r="B497" t="s">
        <v>22</v>
      </c>
      <c r="C497">
        <v>0</v>
      </c>
    </row>
    <row r="498" spans="1:3" x14ac:dyDescent="0.35">
      <c r="A498" t="s">
        <v>8</v>
      </c>
      <c r="B498" t="s">
        <v>22</v>
      </c>
      <c r="C498">
        <v>0</v>
      </c>
    </row>
    <row r="499" spans="1:3" x14ac:dyDescent="0.35">
      <c r="A499" t="s">
        <v>9</v>
      </c>
      <c r="B499" t="s">
        <v>22</v>
      </c>
      <c r="C499">
        <v>0</v>
      </c>
    </row>
    <row r="500" spans="1:3" x14ac:dyDescent="0.35">
      <c r="A500" t="s">
        <v>10</v>
      </c>
      <c r="B500" t="s">
        <v>22</v>
      </c>
      <c r="C500">
        <v>0</v>
      </c>
    </row>
    <row r="501" spans="1:3" x14ac:dyDescent="0.35">
      <c r="A501" t="s">
        <v>11</v>
      </c>
      <c r="B501" t="s">
        <v>22</v>
      </c>
      <c r="C501">
        <v>0</v>
      </c>
    </row>
    <row r="502" spans="1:3" x14ac:dyDescent="0.35">
      <c r="A502" t="s">
        <v>12</v>
      </c>
      <c r="B502" t="s">
        <v>22</v>
      </c>
      <c r="C502">
        <v>0</v>
      </c>
    </row>
    <row r="503" spans="1:3" x14ac:dyDescent="0.35">
      <c r="A503" t="s">
        <v>13</v>
      </c>
      <c r="B503" t="s">
        <v>22</v>
      </c>
      <c r="C503">
        <v>0</v>
      </c>
    </row>
    <row r="504" spans="1:3" x14ac:dyDescent="0.35">
      <c r="A504" t="s">
        <v>14</v>
      </c>
      <c r="B504" t="s">
        <v>22</v>
      </c>
      <c r="C504">
        <v>0</v>
      </c>
    </row>
    <row r="505" spans="1:3" x14ac:dyDescent="0.35">
      <c r="A505" t="s">
        <v>15</v>
      </c>
      <c r="B505" t="s">
        <v>22</v>
      </c>
      <c r="C505">
        <v>0</v>
      </c>
    </row>
    <row r="506" spans="1:3" x14ac:dyDescent="0.35">
      <c r="A506" t="s">
        <v>16</v>
      </c>
      <c r="B506" t="s">
        <v>22</v>
      </c>
      <c r="C506">
        <v>0</v>
      </c>
    </row>
    <row r="507" spans="1:3" x14ac:dyDescent="0.35">
      <c r="A507" t="s">
        <v>17</v>
      </c>
      <c r="B507" t="s">
        <v>22</v>
      </c>
      <c r="C507">
        <v>0</v>
      </c>
    </row>
    <row r="508" spans="1:3" x14ac:dyDescent="0.35">
      <c r="A508" t="s">
        <v>18</v>
      </c>
      <c r="B508" t="s">
        <v>22</v>
      </c>
      <c r="C508">
        <v>0</v>
      </c>
    </row>
    <row r="509" spans="1:3" x14ac:dyDescent="0.35">
      <c r="A509" t="s">
        <v>19</v>
      </c>
      <c r="B509" t="s">
        <v>22</v>
      </c>
      <c r="C509">
        <v>0</v>
      </c>
    </row>
    <row r="510" spans="1:3" x14ac:dyDescent="0.35">
      <c r="A510" t="s">
        <v>20</v>
      </c>
      <c r="B510" t="s">
        <v>22</v>
      </c>
      <c r="C510">
        <v>0</v>
      </c>
    </row>
    <row r="511" spans="1:3" x14ac:dyDescent="0.35">
      <c r="A511" t="s">
        <v>21</v>
      </c>
      <c r="B511" t="s">
        <v>22</v>
      </c>
      <c r="C511">
        <v>0</v>
      </c>
    </row>
    <row r="512" spans="1:3" x14ac:dyDescent="0.35">
      <c r="A512" t="s">
        <v>22</v>
      </c>
      <c r="B512" t="s">
        <v>22</v>
      </c>
      <c r="C512">
        <v>13743.5</v>
      </c>
    </row>
    <row r="513" spans="1:3" x14ac:dyDescent="0.35">
      <c r="A513" t="s">
        <v>23</v>
      </c>
      <c r="B513" t="s">
        <v>22</v>
      </c>
      <c r="C513">
        <v>0</v>
      </c>
    </row>
    <row r="514" spans="1:3" x14ac:dyDescent="0.35">
      <c r="A514" t="s">
        <v>24</v>
      </c>
      <c r="B514" t="s">
        <v>22</v>
      </c>
      <c r="C514">
        <v>0</v>
      </c>
    </row>
    <row r="515" spans="1:3" x14ac:dyDescent="0.35">
      <c r="A515" t="s">
        <v>25</v>
      </c>
      <c r="B515" t="s">
        <v>22</v>
      </c>
      <c r="C515">
        <v>0</v>
      </c>
    </row>
    <row r="516" spans="1:3" x14ac:dyDescent="0.35">
      <c r="A516" t="s">
        <v>26</v>
      </c>
      <c r="B516" t="s">
        <v>22</v>
      </c>
      <c r="C516">
        <v>0</v>
      </c>
    </row>
    <row r="517" spans="1:3" x14ac:dyDescent="0.35">
      <c r="A517" t="s">
        <v>27</v>
      </c>
      <c r="B517" t="s">
        <v>22</v>
      </c>
      <c r="C517">
        <v>0</v>
      </c>
    </row>
    <row r="518" spans="1:3" x14ac:dyDescent="0.35">
      <c r="A518" t="s">
        <v>28</v>
      </c>
      <c r="B518" t="s">
        <v>22</v>
      </c>
      <c r="C518">
        <v>0</v>
      </c>
    </row>
    <row r="519" spans="1:3" x14ac:dyDescent="0.35">
      <c r="A519" t="s">
        <v>29</v>
      </c>
      <c r="B519" t="s">
        <v>22</v>
      </c>
      <c r="C519">
        <v>0</v>
      </c>
    </row>
    <row r="520" spans="1:3" x14ac:dyDescent="0.35">
      <c r="A520" t="s">
        <v>30</v>
      </c>
      <c r="B520" t="s">
        <v>22</v>
      </c>
      <c r="C520">
        <v>0</v>
      </c>
    </row>
    <row r="521" spans="1:3" x14ac:dyDescent="0.35">
      <c r="A521" t="s">
        <v>31</v>
      </c>
      <c r="B521" t="s">
        <v>22</v>
      </c>
      <c r="C521">
        <v>0</v>
      </c>
    </row>
    <row r="522" spans="1:3" x14ac:dyDescent="0.35">
      <c r="A522" t="s">
        <v>32</v>
      </c>
      <c r="B522" t="s">
        <v>22</v>
      </c>
      <c r="C522">
        <v>0</v>
      </c>
    </row>
    <row r="523" spans="1:3" x14ac:dyDescent="0.35">
      <c r="A523" t="s">
        <v>33</v>
      </c>
      <c r="B523" t="s">
        <v>22</v>
      </c>
      <c r="C523">
        <v>0</v>
      </c>
    </row>
    <row r="524" spans="1:3" x14ac:dyDescent="0.35">
      <c r="A524" t="s">
        <v>34</v>
      </c>
      <c r="B524" t="s">
        <v>22</v>
      </c>
      <c r="C524">
        <v>0</v>
      </c>
    </row>
    <row r="525" spans="1:3" x14ac:dyDescent="0.35">
      <c r="A525" t="s">
        <v>35</v>
      </c>
      <c r="B525" t="s">
        <v>22</v>
      </c>
      <c r="C525">
        <v>0</v>
      </c>
    </row>
    <row r="526" spans="1:3" x14ac:dyDescent="0.35">
      <c r="A526" t="s">
        <v>36</v>
      </c>
      <c r="B526" t="s">
        <v>22</v>
      </c>
      <c r="C526">
        <v>0</v>
      </c>
    </row>
    <row r="527" spans="1:3" x14ac:dyDescent="0.35">
      <c r="A527" t="s">
        <v>37</v>
      </c>
      <c r="B527" t="s">
        <v>22</v>
      </c>
      <c r="C527">
        <v>0</v>
      </c>
    </row>
    <row r="528" spans="1:3" x14ac:dyDescent="0.35">
      <c r="A528" t="s">
        <v>38</v>
      </c>
      <c r="B528" t="s">
        <v>22</v>
      </c>
      <c r="C528">
        <v>0</v>
      </c>
    </row>
    <row r="529" spans="1:3" x14ac:dyDescent="0.35">
      <c r="A529" t="s">
        <v>39</v>
      </c>
      <c r="B529" t="s">
        <v>22</v>
      </c>
      <c r="C529">
        <v>0</v>
      </c>
    </row>
    <row r="530" spans="1:3" x14ac:dyDescent="0.35">
      <c r="A530" t="s">
        <v>7</v>
      </c>
      <c r="B530" t="s">
        <v>23</v>
      </c>
      <c r="C530">
        <v>0</v>
      </c>
    </row>
    <row r="531" spans="1:3" x14ac:dyDescent="0.35">
      <c r="A531" t="s">
        <v>8</v>
      </c>
      <c r="B531" t="s">
        <v>23</v>
      </c>
      <c r="C531">
        <v>0</v>
      </c>
    </row>
    <row r="532" spans="1:3" x14ac:dyDescent="0.35">
      <c r="A532" t="s">
        <v>9</v>
      </c>
      <c r="B532" t="s">
        <v>23</v>
      </c>
      <c r="C532">
        <v>0</v>
      </c>
    </row>
    <row r="533" spans="1:3" x14ac:dyDescent="0.35">
      <c r="A533" t="s">
        <v>10</v>
      </c>
      <c r="B533" t="s">
        <v>23</v>
      </c>
      <c r="C533">
        <v>0</v>
      </c>
    </row>
    <row r="534" spans="1:3" x14ac:dyDescent="0.35">
      <c r="A534" t="s">
        <v>11</v>
      </c>
      <c r="B534" t="s">
        <v>23</v>
      </c>
      <c r="C534">
        <v>0</v>
      </c>
    </row>
    <row r="535" spans="1:3" x14ac:dyDescent="0.35">
      <c r="A535" t="s">
        <v>12</v>
      </c>
      <c r="B535" t="s">
        <v>23</v>
      </c>
      <c r="C535">
        <v>0</v>
      </c>
    </row>
    <row r="536" spans="1:3" x14ac:dyDescent="0.35">
      <c r="A536" t="s">
        <v>13</v>
      </c>
      <c r="B536" t="s">
        <v>23</v>
      </c>
      <c r="C536">
        <v>0</v>
      </c>
    </row>
    <row r="537" spans="1:3" x14ac:dyDescent="0.35">
      <c r="A537" t="s">
        <v>14</v>
      </c>
      <c r="B537" t="s">
        <v>23</v>
      </c>
      <c r="C537">
        <v>0</v>
      </c>
    </row>
    <row r="538" spans="1:3" x14ac:dyDescent="0.35">
      <c r="A538" t="s">
        <v>15</v>
      </c>
      <c r="B538" t="s">
        <v>23</v>
      </c>
      <c r="C538">
        <v>0</v>
      </c>
    </row>
    <row r="539" spans="1:3" x14ac:dyDescent="0.35">
      <c r="A539" t="s">
        <v>16</v>
      </c>
      <c r="B539" t="s">
        <v>23</v>
      </c>
      <c r="C539">
        <v>0</v>
      </c>
    </row>
    <row r="540" spans="1:3" x14ac:dyDescent="0.35">
      <c r="A540" t="s">
        <v>17</v>
      </c>
      <c r="B540" t="s">
        <v>23</v>
      </c>
      <c r="C540">
        <v>0</v>
      </c>
    </row>
    <row r="541" spans="1:3" x14ac:dyDescent="0.35">
      <c r="A541" t="s">
        <v>18</v>
      </c>
      <c r="B541" t="s">
        <v>23</v>
      </c>
      <c r="C541">
        <v>0</v>
      </c>
    </row>
    <row r="542" spans="1:3" x14ac:dyDescent="0.35">
      <c r="A542" t="s">
        <v>19</v>
      </c>
      <c r="B542" t="s">
        <v>23</v>
      </c>
      <c r="C542">
        <v>0</v>
      </c>
    </row>
    <row r="543" spans="1:3" x14ac:dyDescent="0.35">
      <c r="A543" t="s">
        <v>20</v>
      </c>
      <c r="B543" t="s">
        <v>23</v>
      </c>
      <c r="C543">
        <v>0</v>
      </c>
    </row>
    <row r="544" spans="1:3" x14ac:dyDescent="0.35">
      <c r="A544" t="s">
        <v>21</v>
      </c>
      <c r="B544" t="s">
        <v>23</v>
      </c>
      <c r="C544">
        <v>0</v>
      </c>
    </row>
    <row r="545" spans="1:3" x14ac:dyDescent="0.35">
      <c r="A545" t="s">
        <v>22</v>
      </c>
      <c r="B545" t="s">
        <v>23</v>
      </c>
      <c r="C545">
        <v>0</v>
      </c>
    </row>
    <row r="546" spans="1:3" x14ac:dyDescent="0.35">
      <c r="A546" t="s">
        <v>23</v>
      </c>
      <c r="B546" t="s">
        <v>23</v>
      </c>
      <c r="C546">
        <v>32516.284247284773</v>
      </c>
    </row>
    <row r="547" spans="1:3" x14ac:dyDescent="0.35">
      <c r="A547" t="s">
        <v>24</v>
      </c>
      <c r="B547" t="s">
        <v>23</v>
      </c>
      <c r="C547">
        <v>0</v>
      </c>
    </row>
    <row r="548" spans="1:3" x14ac:dyDescent="0.35">
      <c r="A548" t="s">
        <v>25</v>
      </c>
      <c r="B548" t="s">
        <v>23</v>
      </c>
      <c r="C548">
        <v>0</v>
      </c>
    </row>
    <row r="549" spans="1:3" x14ac:dyDescent="0.35">
      <c r="A549" t="s">
        <v>26</v>
      </c>
      <c r="B549" t="s">
        <v>23</v>
      </c>
      <c r="C549">
        <v>0</v>
      </c>
    </row>
    <row r="550" spans="1:3" x14ac:dyDescent="0.35">
      <c r="A550" t="s">
        <v>27</v>
      </c>
      <c r="B550" t="s">
        <v>23</v>
      </c>
      <c r="C550">
        <v>0</v>
      </c>
    </row>
    <row r="551" spans="1:3" x14ac:dyDescent="0.35">
      <c r="A551" t="s">
        <v>28</v>
      </c>
      <c r="B551" t="s">
        <v>23</v>
      </c>
      <c r="C551">
        <v>0</v>
      </c>
    </row>
    <row r="552" spans="1:3" x14ac:dyDescent="0.35">
      <c r="A552" t="s">
        <v>29</v>
      </c>
      <c r="B552" t="s">
        <v>23</v>
      </c>
      <c r="C552">
        <v>0</v>
      </c>
    </row>
    <row r="553" spans="1:3" x14ac:dyDescent="0.35">
      <c r="A553" t="s">
        <v>30</v>
      </c>
      <c r="B553" t="s">
        <v>23</v>
      </c>
      <c r="C553">
        <v>0</v>
      </c>
    </row>
    <row r="554" spans="1:3" x14ac:dyDescent="0.35">
      <c r="A554" t="s">
        <v>31</v>
      </c>
      <c r="B554" t="s">
        <v>23</v>
      </c>
      <c r="C554">
        <v>0</v>
      </c>
    </row>
    <row r="555" spans="1:3" x14ac:dyDescent="0.35">
      <c r="A555" t="s">
        <v>32</v>
      </c>
      <c r="B555" t="s">
        <v>23</v>
      </c>
      <c r="C555">
        <v>0</v>
      </c>
    </row>
    <row r="556" spans="1:3" x14ac:dyDescent="0.35">
      <c r="A556" t="s">
        <v>33</v>
      </c>
      <c r="B556" t="s">
        <v>23</v>
      </c>
      <c r="C556">
        <v>0</v>
      </c>
    </row>
    <row r="557" spans="1:3" x14ac:dyDescent="0.35">
      <c r="A557" t="s">
        <v>34</v>
      </c>
      <c r="B557" t="s">
        <v>23</v>
      </c>
      <c r="C557">
        <v>0</v>
      </c>
    </row>
    <row r="558" spans="1:3" x14ac:dyDescent="0.35">
      <c r="A558" t="s">
        <v>35</v>
      </c>
      <c r="B558" t="s">
        <v>23</v>
      </c>
      <c r="C558">
        <v>0</v>
      </c>
    </row>
    <row r="559" spans="1:3" x14ac:dyDescent="0.35">
      <c r="A559" t="s">
        <v>36</v>
      </c>
      <c r="B559" t="s">
        <v>23</v>
      </c>
      <c r="C559">
        <v>0</v>
      </c>
    </row>
    <row r="560" spans="1:3" x14ac:dyDescent="0.35">
      <c r="A560" t="s">
        <v>37</v>
      </c>
      <c r="B560" t="s">
        <v>23</v>
      </c>
      <c r="C560">
        <v>0</v>
      </c>
    </row>
    <row r="561" spans="1:3" x14ac:dyDescent="0.35">
      <c r="A561" t="s">
        <v>38</v>
      </c>
      <c r="B561" t="s">
        <v>23</v>
      </c>
      <c r="C561">
        <v>0</v>
      </c>
    </row>
    <row r="562" spans="1:3" x14ac:dyDescent="0.35">
      <c r="A562" t="s">
        <v>39</v>
      </c>
      <c r="B562" t="s">
        <v>23</v>
      </c>
      <c r="C562">
        <v>0</v>
      </c>
    </row>
    <row r="563" spans="1:3" x14ac:dyDescent="0.35">
      <c r="A563" t="s">
        <v>7</v>
      </c>
      <c r="B563" t="s">
        <v>24</v>
      </c>
      <c r="C563">
        <v>0</v>
      </c>
    </row>
    <row r="564" spans="1:3" x14ac:dyDescent="0.35">
      <c r="A564" t="s">
        <v>8</v>
      </c>
      <c r="B564" t="s">
        <v>24</v>
      </c>
      <c r="C564">
        <v>0</v>
      </c>
    </row>
    <row r="565" spans="1:3" x14ac:dyDescent="0.35">
      <c r="A565" t="s">
        <v>9</v>
      </c>
      <c r="B565" t="s">
        <v>24</v>
      </c>
      <c r="C565">
        <v>0</v>
      </c>
    </row>
    <row r="566" spans="1:3" x14ac:dyDescent="0.35">
      <c r="A566" t="s">
        <v>10</v>
      </c>
      <c r="B566" t="s">
        <v>24</v>
      </c>
      <c r="C566">
        <v>0</v>
      </c>
    </row>
    <row r="567" spans="1:3" x14ac:dyDescent="0.35">
      <c r="A567" t="s">
        <v>11</v>
      </c>
      <c r="B567" t="s">
        <v>24</v>
      </c>
      <c r="C567">
        <v>0</v>
      </c>
    </row>
    <row r="568" spans="1:3" x14ac:dyDescent="0.35">
      <c r="A568" t="s">
        <v>12</v>
      </c>
      <c r="B568" t="s">
        <v>24</v>
      </c>
      <c r="C568">
        <v>0</v>
      </c>
    </row>
    <row r="569" spans="1:3" x14ac:dyDescent="0.35">
      <c r="A569" t="s">
        <v>13</v>
      </c>
      <c r="B569" t="s">
        <v>24</v>
      </c>
      <c r="C569">
        <v>0</v>
      </c>
    </row>
    <row r="570" spans="1:3" x14ac:dyDescent="0.35">
      <c r="A570" t="s">
        <v>14</v>
      </c>
      <c r="B570" t="s">
        <v>24</v>
      </c>
      <c r="C570">
        <v>0</v>
      </c>
    </row>
    <row r="571" spans="1:3" x14ac:dyDescent="0.35">
      <c r="A571" t="s">
        <v>15</v>
      </c>
      <c r="B571" t="s">
        <v>24</v>
      </c>
      <c r="C571">
        <v>0</v>
      </c>
    </row>
    <row r="572" spans="1:3" x14ac:dyDescent="0.35">
      <c r="A572" t="s">
        <v>16</v>
      </c>
      <c r="B572" t="s">
        <v>24</v>
      </c>
      <c r="C572">
        <v>0</v>
      </c>
    </row>
    <row r="573" spans="1:3" x14ac:dyDescent="0.35">
      <c r="A573" t="s">
        <v>17</v>
      </c>
      <c r="B573" t="s">
        <v>24</v>
      </c>
      <c r="C573">
        <v>0</v>
      </c>
    </row>
    <row r="574" spans="1:3" x14ac:dyDescent="0.35">
      <c r="A574" t="s">
        <v>18</v>
      </c>
      <c r="B574" t="s">
        <v>24</v>
      </c>
      <c r="C574">
        <v>0</v>
      </c>
    </row>
    <row r="575" spans="1:3" x14ac:dyDescent="0.35">
      <c r="A575" t="s">
        <v>19</v>
      </c>
      <c r="B575" t="s">
        <v>24</v>
      </c>
      <c r="C575">
        <v>0</v>
      </c>
    </row>
    <row r="576" spans="1:3" x14ac:dyDescent="0.35">
      <c r="A576" t="s">
        <v>20</v>
      </c>
      <c r="B576" t="s">
        <v>24</v>
      </c>
      <c r="C576">
        <v>0</v>
      </c>
    </row>
    <row r="577" spans="1:3" x14ac:dyDescent="0.35">
      <c r="A577" t="s">
        <v>21</v>
      </c>
      <c r="B577" t="s">
        <v>24</v>
      </c>
      <c r="C577">
        <v>0</v>
      </c>
    </row>
    <row r="578" spans="1:3" x14ac:dyDescent="0.35">
      <c r="A578" t="s">
        <v>22</v>
      </c>
      <c r="B578" t="s">
        <v>24</v>
      </c>
      <c r="C578">
        <v>0</v>
      </c>
    </row>
    <row r="579" spans="1:3" x14ac:dyDescent="0.35">
      <c r="A579" t="s">
        <v>23</v>
      </c>
      <c r="B579" t="s">
        <v>24</v>
      </c>
      <c r="C579">
        <v>0</v>
      </c>
    </row>
    <row r="580" spans="1:3" x14ac:dyDescent="0.35">
      <c r="A580" t="s">
        <v>24</v>
      </c>
      <c r="B580" t="s">
        <v>24</v>
      </c>
      <c r="C580">
        <v>89406.357042682357</v>
      </c>
    </row>
    <row r="581" spans="1:3" x14ac:dyDescent="0.35">
      <c r="A581" t="s">
        <v>25</v>
      </c>
      <c r="B581" t="s">
        <v>24</v>
      </c>
      <c r="C581">
        <v>0</v>
      </c>
    </row>
    <row r="582" spans="1:3" x14ac:dyDescent="0.35">
      <c r="A582" t="s">
        <v>26</v>
      </c>
      <c r="B582" t="s">
        <v>24</v>
      </c>
      <c r="C582">
        <v>0</v>
      </c>
    </row>
    <row r="583" spans="1:3" x14ac:dyDescent="0.35">
      <c r="A583" t="s">
        <v>27</v>
      </c>
      <c r="B583" t="s">
        <v>24</v>
      </c>
      <c r="C583">
        <v>0</v>
      </c>
    </row>
    <row r="584" spans="1:3" x14ac:dyDescent="0.35">
      <c r="A584" t="s">
        <v>28</v>
      </c>
      <c r="B584" t="s">
        <v>24</v>
      </c>
      <c r="C584">
        <v>0</v>
      </c>
    </row>
    <row r="585" spans="1:3" x14ac:dyDescent="0.35">
      <c r="A585" t="s">
        <v>29</v>
      </c>
      <c r="B585" t="s">
        <v>24</v>
      </c>
      <c r="C585">
        <v>0</v>
      </c>
    </row>
    <row r="586" spans="1:3" x14ac:dyDescent="0.35">
      <c r="A586" t="s">
        <v>30</v>
      </c>
      <c r="B586" t="s">
        <v>24</v>
      </c>
      <c r="C586">
        <v>0</v>
      </c>
    </row>
    <row r="587" spans="1:3" x14ac:dyDescent="0.35">
      <c r="A587" t="s">
        <v>31</v>
      </c>
      <c r="B587" t="s">
        <v>24</v>
      </c>
      <c r="C587">
        <v>0</v>
      </c>
    </row>
    <row r="588" spans="1:3" x14ac:dyDescent="0.35">
      <c r="A588" t="s">
        <v>32</v>
      </c>
      <c r="B588" t="s">
        <v>24</v>
      </c>
      <c r="C588">
        <v>0</v>
      </c>
    </row>
    <row r="589" spans="1:3" x14ac:dyDescent="0.35">
      <c r="A589" t="s">
        <v>33</v>
      </c>
      <c r="B589" t="s">
        <v>24</v>
      </c>
      <c r="C589">
        <v>0</v>
      </c>
    </row>
    <row r="590" spans="1:3" x14ac:dyDescent="0.35">
      <c r="A590" t="s">
        <v>34</v>
      </c>
      <c r="B590" t="s">
        <v>24</v>
      </c>
      <c r="C590">
        <v>0</v>
      </c>
    </row>
    <row r="591" spans="1:3" x14ac:dyDescent="0.35">
      <c r="A591" t="s">
        <v>35</v>
      </c>
      <c r="B591" t="s">
        <v>24</v>
      </c>
      <c r="C591">
        <v>0</v>
      </c>
    </row>
    <row r="592" spans="1:3" x14ac:dyDescent="0.35">
      <c r="A592" t="s">
        <v>36</v>
      </c>
      <c r="B592" t="s">
        <v>24</v>
      </c>
      <c r="C592">
        <v>0</v>
      </c>
    </row>
    <row r="593" spans="1:3" x14ac:dyDescent="0.35">
      <c r="A593" t="s">
        <v>37</v>
      </c>
      <c r="B593" t="s">
        <v>24</v>
      </c>
      <c r="C593">
        <v>0</v>
      </c>
    </row>
    <row r="594" spans="1:3" x14ac:dyDescent="0.35">
      <c r="A594" t="s">
        <v>38</v>
      </c>
      <c r="B594" t="s">
        <v>24</v>
      </c>
      <c r="C594">
        <v>0</v>
      </c>
    </row>
    <row r="595" spans="1:3" x14ac:dyDescent="0.35">
      <c r="A595" t="s">
        <v>39</v>
      </c>
      <c r="B595" t="s">
        <v>24</v>
      </c>
      <c r="C595">
        <v>0</v>
      </c>
    </row>
    <row r="596" spans="1:3" x14ac:dyDescent="0.35">
      <c r="A596" t="s">
        <v>7</v>
      </c>
      <c r="B596" t="s">
        <v>25</v>
      </c>
      <c r="C596">
        <v>0</v>
      </c>
    </row>
    <row r="597" spans="1:3" x14ac:dyDescent="0.35">
      <c r="A597" t="s">
        <v>8</v>
      </c>
      <c r="B597" t="s">
        <v>25</v>
      </c>
      <c r="C597">
        <v>0</v>
      </c>
    </row>
    <row r="598" spans="1:3" x14ac:dyDescent="0.35">
      <c r="A598" t="s">
        <v>9</v>
      </c>
      <c r="B598" t="s">
        <v>25</v>
      </c>
      <c r="C598">
        <v>0</v>
      </c>
    </row>
    <row r="599" spans="1:3" x14ac:dyDescent="0.35">
      <c r="A599" t="s">
        <v>10</v>
      </c>
      <c r="B599" t="s">
        <v>25</v>
      </c>
      <c r="C599">
        <v>0</v>
      </c>
    </row>
    <row r="600" spans="1:3" x14ac:dyDescent="0.35">
      <c r="A600" t="s">
        <v>11</v>
      </c>
      <c r="B600" t="s">
        <v>25</v>
      </c>
      <c r="C600">
        <v>0</v>
      </c>
    </row>
    <row r="601" spans="1:3" x14ac:dyDescent="0.35">
      <c r="A601" t="s">
        <v>12</v>
      </c>
      <c r="B601" t="s">
        <v>25</v>
      </c>
      <c r="C601">
        <v>0</v>
      </c>
    </row>
    <row r="602" spans="1:3" x14ac:dyDescent="0.35">
      <c r="A602" t="s">
        <v>13</v>
      </c>
      <c r="B602" t="s">
        <v>25</v>
      </c>
      <c r="C602">
        <v>0</v>
      </c>
    </row>
    <row r="603" spans="1:3" x14ac:dyDescent="0.35">
      <c r="A603" t="s">
        <v>14</v>
      </c>
      <c r="B603" t="s">
        <v>25</v>
      </c>
      <c r="C603">
        <v>0</v>
      </c>
    </row>
    <row r="604" spans="1:3" x14ac:dyDescent="0.35">
      <c r="A604" t="s">
        <v>15</v>
      </c>
      <c r="B604" t="s">
        <v>25</v>
      </c>
      <c r="C604">
        <v>0</v>
      </c>
    </row>
    <row r="605" spans="1:3" x14ac:dyDescent="0.35">
      <c r="A605" t="s">
        <v>16</v>
      </c>
      <c r="B605" t="s">
        <v>25</v>
      </c>
      <c r="C605">
        <v>0</v>
      </c>
    </row>
    <row r="606" spans="1:3" x14ac:dyDescent="0.35">
      <c r="A606" t="s">
        <v>17</v>
      </c>
      <c r="B606" t="s">
        <v>25</v>
      </c>
      <c r="C606">
        <v>0</v>
      </c>
    </row>
    <row r="607" spans="1:3" x14ac:dyDescent="0.35">
      <c r="A607" t="s">
        <v>18</v>
      </c>
      <c r="B607" t="s">
        <v>25</v>
      </c>
      <c r="C607">
        <v>0</v>
      </c>
    </row>
    <row r="608" spans="1:3" x14ac:dyDescent="0.35">
      <c r="A608" t="s">
        <v>19</v>
      </c>
      <c r="B608" t="s">
        <v>25</v>
      </c>
      <c r="C608">
        <v>0</v>
      </c>
    </row>
    <row r="609" spans="1:3" x14ac:dyDescent="0.35">
      <c r="A609" t="s">
        <v>20</v>
      </c>
      <c r="B609" t="s">
        <v>25</v>
      </c>
      <c r="C609">
        <v>0</v>
      </c>
    </row>
    <row r="610" spans="1:3" x14ac:dyDescent="0.35">
      <c r="A610" t="s">
        <v>21</v>
      </c>
      <c r="B610" t="s">
        <v>25</v>
      </c>
      <c r="C610">
        <v>0</v>
      </c>
    </row>
    <row r="611" spans="1:3" x14ac:dyDescent="0.35">
      <c r="A611" t="s">
        <v>22</v>
      </c>
      <c r="B611" t="s">
        <v>25</v>
      </c>
      <c r="C611">
        <v>0</v>
      </c>
    </row>
    <row r="612" spans="1:3" x14ac:dyDescent="0.35">
      <c r="A612" t="s">
        <v>23</v>
      </c>
      <c r="B612" t="s">
        <v>25</v>
      </c>
      <c r="C612">
        <v>0</v>
      </c>
    </row>
    <row r="613" spans="1:3" x14ac:dyDescent="0.35">
      <c r="A613" t="s">
        <v>24</v>
      </c>
      <c r="B613" t="s">
        <v>25</v>
      </c>
      <c r="C613">
        <v>0</v>
      </c>
    </row>
    <row r="614" spans="1:3" x14ac:dyDescent="0.35">
      <c r="A614" t="s">
        <v>25</v>
      </c>
      <c r="B614" t="s">
        <v>25</v>
      </c>
      <c r="C614">
        <v>190466.70173842864</v>
      </c>
    </row>
    <row r="615" spans="1:3" x14ac:dyDescent="0.35">
      <c r="A615" t="s">
        <v>26</v>
      </c>
      <c r="B615" t="s">
        <v>25</v>
      </c>
      <c r="C615">
        <v>0</v>
      </c>
    </row>
    <row r="616" spans="1:3" x14ac:dyDescent="0.35">
      <c r="A616" t="s">
        <v>27</v>
      </c>
      <c r="B616" t="s">
        <v>25</v>
      </c>
      <c r="C616">
        <v>0</v>
      </c>
    </row>
    <row r="617" spans="1:3" x14ac:dyDescent="0.35">
      <c r="A617" t="s">
        <v>28</v>
      </c>
      <c r="B617" t="s">
        <v>25</v>
      </c>
      <c r="C617">
        <v>0</v>
      </c>
    </row>
    <row r="618" spans="1:3" x14ac:dyDescent="0.35">
      <c r="A618" t="s">
        <v>29</v>
      </c>
      <c r="B618" t="s">
        <v>25</v>
      </c>
      <c r="C618">
        <v>0</v>
      </c>
    </row>
    <row r="619" spans="1:3" x14ac:dyDescent="0.35">
      <c r="A619" t="s">
        <v>30</v>
      </c>
      <c r="B619" t="s">
        <v>25</v>
      </c>
      <c r="C619">
        <v>0</v>
      </c>
    </row>
    <row r="620" spans="1:3" x14ac:dyDescent="0.35">
      <c r="A620" t="s">
        <v>31</v>
      </c>
      <c r="B620" t="s">
        <v>25</v>
      </c>
      <c r="C620">
        <v>0</v>
      </c>
    </row>
    <row r="621" spans="1:3" x14ac:dyDescent="0.35">
      <c r="A621" t="s">
        <v>32</v>
      </c>
      <c r="B621" t="s">
        <v>25</v>
      </c>
      <c r="C621">
        <v>0</v>
      </c>
    </row>
    <row r="622" spans="1:3" x14ac:dyDescent="0.35">
      <c r="A622" t="s">
        <v>33</v>
      </c>
      <c r="B622" t="s">
        <v>25</v>
      </c>
      <c r="C622">
        <v>0</v>
      </c>
    </row>
    <row r="623" spans="1:3" x14ac:dyDescent="0.35">
      <c r="A623" t="s">
        <v>34</v>
      </c>
      <c r="B623" t="s">
        <v>25</v>
      </c>
      <c r="C623">
        <v>0</v>
      </c>
    </row>
    <row r="624" spans="1:3" x14ac:dyDescent="0.35">
      <c r="A624" t="s">
        <v>35</v>
      </c>
      <c r="B624" t="s">
        <v>25</v>
      </c>
      <c r="C624">
        <v>0</v>
      </c>
    </row>
    <row r="625" spans="1:3" x14ac:dyDescent="0.35">
      <c r="A625" t="s">
        <v>36</v>
      </c>
      <c r="B625" t="s">
        <v>25</v>
      </c>
      <c r="C625">
        <v>0</v>
      </c>
    </row>
    <row r="626" spans="1:3" x14ac:dyDescent="0.35">
      <c r="A626" t="s">
        <v>37</v>
      </c>
      <c r="B626" t="s">
        <v>25</v>
      </c>
      <c r="C626">
        <v>0</v>
      </c>
    </row>
    <row r="627" spans="1:3" x14ac:dyDescent="0.35">
      <c r="A627" t="s">
        <v>38</v>
      </c>
      <c r="B627" t="s">
        <v>25</v>
      </c>
      <c r="C627">
        <v>0</v>
      </c>
    </row>
    <row r="628" spans="1:3" x14ac:dyDescent="0.35">
      <c r="A628" t="s">
        <v>39</v>
      </c>
      <c r="B628" t="s">
        <v>25</v>
      </c>
      <c r="C628">
        <v>0</v>
      </c>
    </row>
    <row r="629" spans="1:3" x14ac:dyDescent="0.35">
      <c r="A629" t="s">
        <v>7</v>
      </c>
      <c r="B629" t="s">
        <v>26</v>
      </c>
      <c r="C629">
        <v>0</v>
      </c>
    </row>
    <row r="630" spans="1:3" x14ac:dyDescent="0.35">
      <c r="A630" t="s">
        <v>8</v>
      </c>
      <c r="B630" t="s">
        <v>26</v>
      </c>
      <c r="C630">
        <v>0</v>
      </c>
    </row>
    <row r="631" spans="1:3" x14ac:dyDescent="0.35">
      <c r="A631" t="s">
        <v>9</v>
      </c>
      <c r="B631" t="s">
        <v>26</v>
      </c>
      <c r="C631">
        <v>0</v>
      </c>
    </row>
    <row r="632" spans="1:3" x14ac:dyDescent="0.35">
      <c r="A632" t="s">
        <v>10</v>
      </c>
      <c r="B632" t="s">
        <v>26</v>
      </c>
      <c r="C632">
        <v>0</v>
      </c>
    </row>
    <row r="633" spans="1:3" x14ac:dyDescent="0.35">
      <c r="A633" t="s">
        <v>11</v>
      </c>
      <c r="B633" t="s">
        <v>26</v>
      </c>
      <c r="C633">
        <v>0</v>
      </c>
    </row>
    <row r="634" spans="1:3" x14ac:dyDescent="0.35">
      <c r="A634" t="s">
        <v>12</v>
      </c>
      <c r="B634" t="s">
        <v>26</v>
      </c>
      <c r="C634">
        <v>0</v>
      </c>
    </row>
    <row r="635" spans="1:3" x14ac:dyDescent="0.35">
      <c r="A635" t="s">
        <v>13</v>
      </c>
      <c r="B635" t="s">
        <v>26</v>
      </c>
      <c r="C635">
        <v>0</v>
      </c>
    </row>
    <row r="636" spans="1:3" x14ac:dyDescent="0.35">
      <c r="A636" t="s">
        <v>14</v>
      </c>
      <c r="B636" t="s">
        <v>26</v>
      </c>
      <c r="C636">
        <v>0</v>
      </c>
    </row>
    <row r="637" spans="1:3" x14ac:dyDescent="0.35">
      <c r="A637" t="s">
        <v>15</v>
      </c>
      <c r="B637" t="s">
        <v>26</v>
      </c>
      <c r="C637">
        <v>0</v>
      </c>
    </row>
    <row r="638" spans="1:3" x14ac:dyDescent="0.35">
      <c r="A638" t="s">
        <v>16</v>
      </c>
      <c r="B638" t="s">
        <v>26</v>
      </c>
      <c r="C638">
        <v>0</v>
      </c>
    </row>
    <row r="639" spans="1:3" x14ac:dyDescent="0.35">
      <c r="A639" t="s">
        <v>17</v>
      </c>
      <c r="B639" t="s">
        <v>26</v>
      </c>
      <c r="C639">
        <v>0</v>
      </c>
    </row>
    <row r="640" spans="1:3" x14ac:dyDescent="0.35">
      <c r="A640" t="s">
        <v>18</v>
      </c>
      <c r="B640" t="s">
        <v>26</v>
      </c>
      <c r="C640">
        <v>0</v>
      </c>
    </row>
    <row r="641" spans="1:3" x14ac:dyDescent="0.35">
      <c r="A641" t="s">
        <v>19</v>
      </c>
      <c r="B641" t="s">
        <v>26</v>
      </c>
      <c r="C641">
        <v>0</v>
      </c>
    </row>
    <row r="642" spans="1:3" x14ac:dyDescent="0.35">
      <c r="A642" t="s">
        <v>20</v>
      </c>
      <c r="B642" t="s">
        <v>26</v>
      </c>
      <c r="C642">
        <v>0</v>
      </c>
    </row>
    <row r="643" spans="1:3" x14ac:dyDescent="0.35">
      <c r="A643" t="s">
        <v>21</v>
      </c>
      <c r="B643" t="s">
        <v>26</v>
      </c>
      <c r="C643">
        <v>0</v>
      </c>
    </row>
    <row r="644" spans="1:3" x14ac:dyDescent="0.35">
      <c r="A644" t="s">
        <v>22</v>
      </c>
      <c r="B644" t="s">
        <v>26</v>
      </c>
      <c r="C644">
        <v>0</v>
      </c>
    </row>
    <row r="645" spans="1:3" x14ac:dyDescent="0.35">
      <c r="A645" t="s">
        <v>23</v>
      </c>
      <c r="B645" t="s">
        <v>26</v>
      </c>
      <c r="C645">
        <v>0</v>
      </c>
    </row>
    <row r="646" spans="1:3" x14ac:dyDescent="0.35">
      <c r="A646" t="s">
        <v>24</v>
      </c>
      <c r="B646" t="s">
        <v>26</v>
      </c>
      <c r="C646">
        <v>0</v>
      </c>
    </row>
    <row r="647" spans="1:3" x14ac:dyDescent="0.35">
      <c r="A647" t="s">
        <v>25</v>
      </c>
      <c r="B647" t="s">
        <v>26</v>
      </c>
      <c r="C647">
        <v>0</v>
      </c>
    </row>
    <row r="648" spans="1:3" x14ac:dyDescent="0.35">
      <c r="A648" t="s">
        <v>26</v>
      </c>
      <c r="B648" t="s">
        <v>26</v>
      </c>
      <c r="C648">
        <v>61824.290783745375</v>
      </c>
    </row>
    <row r="649" spans="1:3" x14ac:dyDescent="0.35">
      <c r="A649" t="s">
        <v>27</v>
      </c>
      <c r="B649" t="s">
        <v>26</v>
      </c>
      <c r="C649">
        <v>0</v>
      </c>
    </row>
    <row r="650" spans="1:3" x14ac:dyDescent="0.35">
      <c r="A650" t="s">
        <v>28</v>
      </c>
      <c r="B650" t="s">
        <v>26</v>
      </c>
      <c r="C650">
        <v>0</v>
      </c>
    </row>
    <row r="651" spans="1:3" x14ac:dyDescent="0.35">
      <c r="A651" t="s">
        <v>29</v>
      </c>
      <c r="B651" t="s">
        <v>26</v>
      </c>
      <c r="C651">
        <v>0</v>
      </c>
    </row>
    <row r="652" spans="1:3" x14ac:dyDescent="0.35">
      <c r="A652" t="s">
        <v>30</v>
      </c>
      <c r="B652" t="s">
        <v>26</v>
      </c>
      <c r="C652">
        <v>0</v>
      </c>
    </row>
    <row r="653" spans="1:3" x14ac:dyDescent="0.35">
      <c r="A653" t="s">
        <v>31</v>
      </c>
      <c r="B653" t="s">
        <v>26</v>
      </c>
      <c r="C653">
        <v>0</v>
      </c>
    </row>
    <row r="654" spans="1:3" x14ac:dyDescent="0.35">
      <c r="A654" t="s">
        <v>32</v>
      </c>
      <c r="B654" t="s">
        <v>26</v>
      </c>
      <c r="C654">
        <v>0</v>
      </c>
    </row>
    <row r="655" spans="1:3" x14ac:dyDescent="0.35">
      <c r="A655" t="s">
        <v>33</v>
      </c>
      <c r="B655" t="s">
        <v>26</v>
      </c>
      <c r="C655">
        <v>0</v>
      </c>
    </row>
    <row r="656" spans="1:3" x14ac:dyDescent="0.35">
      <c r="A656" t="s">
        <v>34</v>
      </c>
      <c r="B656" t="s">
        <v>26</v>
      </c>
      <c r="C656">
        <v>0</v>
      </c>
    </row>
    <row r="657" spans="1:3" x14ac:dyDescent="0.35">
      <c r="A657" t="s">
        <v>35</v>
      </c>
      <c r="B657" t="s">
        <v>26</v>
      </c>
      <c r="C657">
        <v>0</v>
      </c>
    </row>
    <row r="658" spans="1:3" x14ac:dyDescent="0.35">
      <c r="A658" t="s">
        <v>36</v>
      </c>
      <c r="B658" t="s">
        <v>26</v>
      </c>
      <c r="C658">
        <v>0</v>
      </c>
    </row>
    <row r="659" spans="1:3" x14ac:dyDescent="0.35">
      <c r="A659" t="s">
        <v>37</v>
      </c>
      <c r="B659" t="s">
        <v>26</v>
      </c>
      <c r="C659">
        <v>0</v>
      </c>
    </row>
    <row r="660" spans="1:3" x14ac:dyDescent="0.35">
      <c r="A660" t="s">
        <v>38</v>
      </c>
      <c r="B660" t="s">
        <v>26</v>
      </c>
      <c r="C660">
        <v>0</v>
      </c>
    </row>
    <row r="661" spans="1:3" x14ac:dyDescent="0.35">
      <c r="A661" t="s">
        <v>39</v>
      </c>
      <c r="B661" t="s">
        <v>26</v>
      </c>
      <c r="C661">
        <v>0</v>
      </c>
    </row>
    <row r="662" spans="1:3" x14ac:dyDescent="0.35">
      <c r="A662" t="s">
        <v>7</v>
      </c>
      <c r="B662" t="s">
        <v>27</v>
      </c>
      <c r="C662">
        <v>0</v>
      </c>
    </row>
    <row r="663" spans="1:3" x14ac:dyDescent="0.35">
      <c r="A663" t="s">
        <v>8</v>
      </c>
      <c r="B663" t="s">
        <v>27</v>
      </c>
      <c r="C663">
        <v>0</v>
      </c>
    </row>
    <row r="664" spans="1:3" x14ac:dyDescent="0.35">
      <c r="A664" t="s">
        <v>9</v>
      </c>
      <c r="B664" t="s">
        <v>27</v>
      </c>
      <c r="C664">
        <v>0</v>
      </c>
    </row>
    <row r="665" spans="1:3" x14ac:dyDescent="0.35">
      <c r="A665" t="s">
        <v>10</v>
      </c>
      <c r="B665" t="s">
        <v>27</v>
      </c>
      <c r="C665">
        <v>0</v>
      </c>
    </row>
    <row r="666" spans="1:3" x14ac:dyDescent="0.35">
      <c r="A666" t="s">
        <v>11</v>
      </c>
      <c r="B666" t="s">
        <v>27</v>
      </c>
      <c r="C666">
        <v>0</v>
      </c>
    </row>
    <row r="667" spans="1:3" x14ac:dyDescent="0.35">
      <c r="A667" t="s">
        <v>12</v>
      </c>
      <c r="B667" t="s">
        <v>27</v>
      </c>
      <c r="C667">
        <v>0</v>
      </c>
    </row>
    <row r="668" spans="1:3" x14ac:dyDescent="0.35">
      <c r="A668" t="s">
        <v>13</v>
      </c>
      <c r="B668" t="s">
        <v>27</v>
      </c>
      <c r="C668">
        <v>0</v>
      </c>
    </row>
    <row r="669" spans="1:3" x14ac:dyDescent="0.35">
      <c r="A669" t="s">
        <v>14</v>
      </c>
      <c r="B669" t="s">
        <v>27</v>
      </c>
      <c r="C669">
        <v>0</v>
      </c>
    </row>
    <row r="670" spans="1:3" x14ac:dyDescent="0.35">
      <c r="A670" t="s">
        <v>15</v>
      </c>
      <c r="B670" t="s">
        <v>27</v>
      </c>
      <c r="C670">
        <v>0</v>
      </c>
    </row>
    <row r="671" spans="1:3" x14ac:dyDescent="0.35">
      <c r="A671" t="s">
        <v>16</v>
      </c>
      <c r="B671" t="s">
        <v>27</v>
      </c>
      <c r="C671">
        <v>0</v>
      </c>
    </row>
    <row r="672" spans="1:3" x14ac:dyDescent="0.35">
      <c r="A672" t="s">
        <v>17</v>
      </c>
      <c r="B672" t="s">
        <v>27</v>
      </c>
      <c r="C672">
        <v>0</v>
      </c>
    </row>
    <row r="673" spans="1:3" x14ac:dyDescent="0.35">
      <c r="A673" t="s">
        <v>18</v>
      </c>
      <c r="B673" t="s">
        <v>27</v>
      </c>
      <c r="C673">
        <v>0</v>
      </c>
    </row>
    <row r="674" spans="1:3" x14ac:dyDescent="0.35">
      <c r="A674" t="s">
        <v>19</v>
      </c>
      <c r="B674" t="s">
        <v>27</v>
      </c>
      <c r="C674">
        <v>0</v>
      </c>
    </row>
    <row r="675" spans="1:3" x14ac:dyDescent="0.35">
      <c r="A675" t="s">
        <v>20</v>
      </c>
      <c r="B675" t="s">
        <v>27</v>
      </c>
      <c r="C675">
        <v>0</v>
      </c>
    </row>
    <row r="676" spans="1:3" x14ac:dyDescent="0.35">
      <c r="A676" t="s">
        <v>21</v>
      </c>
      <c r="B676" t="s">
        <v>27</v>
      </c>
      <c r="C676">
        <v>0</v>
      </c>
    </row>
    <row r="677" spans="1:3" x14ac:dyDescent="0.35">
      <c r="A677" t="s">
        <v>22</v>
      </c>
      <c r="B677" t="s">
        <v>27</v>
      </c>
      <c r="C677">
        <v>0</v>
      </c>
    </row>
    <row r="678" spans="1:3" x14ac:dyDescent="0.35">
      <c r="A678" t="s">
        <v>23</v>
      </c>
      <c r="B678" t="s">
        <v>27</v>
      </c>
      <c r="C678">
        <v>0</v>
      </c>
    </row>
    <row r="679" spans="1:3" x14ac:dyDescent="0.35">
      <c r="A679" t="s">
        <v>24</v>
      </c>
      <c r="B679" t="s">
        <v>27</v>
      </c>
      <c r="C679">
        <v>0</v>
      </c>
    </row>
    <row r="680" spans="1:3" x14ac:dyDescent="0.35">
      <c r="A680" t="s">
        <v>25</v>
      </c>
      <c r="B680" t="s">
        <v>27</v>
      </c>
      <c r="C680">
        <v>0</v>
      </c>
    </row>
    <row r="681" spans="1:3" x14ac:dyDescent="0.35">
      <c r="A681" t="s">
        <v>26</v>
      </c>
      <c r="B681" t="s">
        <v>27</v>
      </c>
      <c r="C681">
        <v>0</v>
      </c>
    </row>
    <row r="682" spans="1:3" x14ac:dyDescent="0.35">
      <c r="A682" t="s">
        <v>27</v>
      </c>
      <c r="B682" t="s">
        <v>27</v>
      </c>
      <c r="C682">
        <v>15857.388999999996</v>
      </c>
    </row>
    <row r="683" spans="1:3" x14ac:dyDescent="0.35">
      <c r="A683" t="s">
        <v>28</v>
      </c>
      <c r="B683" t="s">
        <v>27</v>
      </c>
      <c r="C683">
        <v>0</v>
      </c>
    </row>
    <row r="684" spans="1:3" x14ac:dyDescent="0.35">
      <c r="A684" t="s">
        <v>29</v>
      </c>
      <c r="B684" t="s">
        <v>27</v>
      </c>
      <c r="C684">
        <v>0</v>
      </c>
    </row>
    <row r="685" spans="1:3" x14ac:dyDescent="0.35">
      <c r="A685" t="s">
        <v>30</v>
      </c>
      <c r="B685" t="s">
        <v>27</v>
      </c>
      <c r="C685">
        <v>0</v>
      </c>
    </row>
    <row r="686" spans="1:3" x14ac:dyDescent="0.35">
      <c r="A686" t="s">
        <v>31</v>
      </c>
      <c r="B686" t="s">
        <v>27</v>
      </c>
      <c r="C686">
        <v>0</v>
      </c>
    </row>
    <row r="687" spans="1:3" x14ac:dyDescent="0.35">
      <c r="A687" t="s">
        <v>32</v>
      </c>
      <c r="B687" t="s">
        <v>27</v>
      </c>
      <c r="C687">
        <v>0</v>
      </c>
    </row>
    <row r="688" spans="1:3" x14ac:dyDescent="0.35">
      <c r="A688" t="s">
        <v>33</v>
      </c>
      <c r="B688" t="s">
        <v>27</v>
      </c>
      <c r="C688">
        <v>0</v>
      </c>
    </row>
    <row r="689" spans="1:3" x14ac:dyDescent="0.35">
      <c r="A689" t="s">
        <v>34</v>
      </c>
      <c r="B689" t="s">
        <v>27</v>
      </c>
      <c r="C689">
        <v>0</v>
      </c>
    </row>
    <row r="690" spans="1:3" x14ac:dyDescent="0.35">
      <c r="A690" t="s">
        <v>35</v>
      </c>
      <c r="B690" t="s">
        <v>27</v>
      </c>
      <c r="C690">
        <v>0</v>
      </c>
    </row>
    <row r="691" spans="1:3" x14ac:dyDescent="0.35">
      <c r="A691" t="s">
        <v>36</v>
      </c>
      <c r="B691" t="s">
        <v>27</v>
      </c>
      <c r="C691">
        <v>0</v>
      </c>
    </row>
    <row r="692" spans="1:3" x14ac:dyDescent="0.35">
      <c r="A692" t="s">
        <v>37</v>
      </c>
      <c r="B692" t="s">
        <v>27</v>
      </c>
      <c r="C692">
        <v>0</v>
      </c>
    </row>
    <row r="693" spans="1:3" x14ac:dyDescent="0.35">
      <c r="A693" t="s">
        <v>38</v>
      </c>
      <c r="B693" t="s">
        <v>27</v>
      </c>
      <c r="C693">
        <v>0</v>
      </c>
    </row>
    <row r="694" spans="1:3" x14ac:dyDescent="0.35">
      <c r="A694" t="s">
        <v>39</v>
      </c>
      <c r="B694" t="s">
        <v>27</v>
      </c>
      <c r="C694">
        <v>0</v>
      </c>
    </row>
    <row r="695" spans="1:3" x14ac:dyDescent="0.35">
      <c r="A695" t="s">
        <v>7</v>
      </c>
      <c r="B695" t="s">
        <v>28</v>
      </c>
      <c r="C695">
        <v>0</v>
      </c>
    </row>
    <row r="696" spans="1:3" x14ac:dyDescent="0.35">
      <c r="A696" t="s">
        <v>8</v>
      </c>
      <c r="B696" t="s">
        <v>28</v>
      </c>
      <c r="C696">
        <v>0</v>
      </c>
    </row>
    <row r="697" spans="1:3" x14ac:dyDescent="0.35">
      <c r="A697" t="s">
        <v>9</v>
      </c>
      <c r="B697" t="s">
        <v>28</v>
      </c>
      <c r="C697">
        <v>0</v>
      </c>
    </row>
    <row r="698" spans="1:3" x14ac:dyDescent="0.35">
      <c r="A698" t="s">
        <v>10</v>
      </c>
      <c r="B698" t="s">
        <v>28</v>
      </c>
      <c r="C698">
        <v>0</v>
      </c>
    </row>
    <row r="699" spans="1:3" x14ac:dyDescent="0.35">
      <c r="A699" t="s">
        <v>11</v>
      </c>
      <c r="B699" t="s">
        <v>28</v>
      </c>
      <c r="C699">
        <v>0</v>
      </c>
    </row>
    <row r="700" spans="1:3" x14ac:dyDescent="0.35">
      <c r="A700" t="s">
        <v>12</v>
      </c>
      <c r="B700" t="s">
        <v>28</v>
      </c>
      <c r="C700">
        <v>0</v>
      </c>
    </row>
    <row r="701" spans="1:3" x14ac:dyDescent="0.35">
      <c r="A701" t="s">
        <v>13</v>
      </c>
      <c r="B701" t="s">
        <v>28</v>
      </c>
      <c r="C701">
        <v>0</v>
      </c>
    </row>
    <row r="702" spans="1:3" x14ac:dyDescent="0.35">
      <c r="A702" t="s">
        <v>14</v>
      </c>
      <c r="B702" t="s">
        <v>28</v>
      </c>
      <c r="C702">
        <v>0</v>
      </c>
    </row>
    <row r="703" spans="1:3" x14ac:dyDescent="0.35">
      <c r="A703" t="s">
        <v>15</v>
      </c>
      <c r="B703" t="s">
        <v>28</v>
      </c>
      <c r="C703">
        <v>0</v>
      </c>
    </row>
    <row r="704" spans="1:3" x14ac:dyDescent="0.35">
      <c r="A704" t="s">
        <v>16</v>
      </c>
      <c r="B704" t="s">
        <v>28</v>
      </c>
      <c r="C704">
        <v>0</v>
      </c>
    </row>
    <row r="705" spans="1:3" x14ac:dyDescent="0.35">
      <c r="A705" t="s">
        <v>17</v>
      </c>
      <c r="B705" t="s">
        <v>28</v>
      </c>
      <c r="C705">
        <v>0</v>
      </c>
    </row>
    <row r="706" spans="1:3" x14ac:dyDescent="0.35">
      <c r="A706" t="s">
        <v>18</v>
      </c>
      <c r="B706" t="s">
        <v>28</v>
      </c>
      <c r="C706">
        <v>0</v>
      </c>
    </row>
    <row r="707" spans="1:3" x14ac:dyDescent="0.35">
      <c r="A707" t="s">
        <v>19</v>
      </c>
      <c r="B707" t="s">
        <v>28</v>
      </c>
      <c r="C707">
        <v>0</v>
      </c>
    </row>
    <row r="708" spans="1:3" x14ac:dyDescent="0.35">
      <c r="A708" t="s">
        <v>20</v>
      </c>
      <c r="B708" t="s">
        <v>28</v>
      </c>
      <c r="C708">
        <v>0</v>
      </c>
    </row>
    <row r="709" spans="1:3" x14ac:dyDescent="0.35">
      <c r="A709" t="s">
        <v>21</v>
      </c>
      <c r="B709" t="s">
        <v>28</v>
      </c>
      <c r="C709">
        <v>0</v>
      </c>
    </row>
    <row r="710" spans="1:3" x14ac:dyDescent="0.35">
      <c r="A710" t="s">
        <v>22</v>
      </c>
      <c r="B710" t="s">
        <v>28</v>
      </c>
      <c r="C710">
        <v>0</v>
      </c>
    </row>
    <row r="711" spans="1:3" x14ac:dyDescent="0.35">
      <c r="A711" t="s">
        <v>23</v>
      </c>
      <c r="B711" t="s">
        <v>28</v>
      </c>
      <c r="C711">
        <v>0</v>
      </c>
    </row>
    <row r="712" spans="1:3" x14ac:dyDescent="0.35">
      <c r="A712" t="s">
        <v>24</v>
      </c>
      <c r="B712" t="s">
        <v>28</v>
      </c>
      <c r="C712">
        <v>0</v>
      </c>
    </row>
    <row r="713" spans="1:3" x14ac:dyDescent="0.35">
      <c r="A713" t="s">
        <v>25</v>
      </c>
      <c r="B713" t="s">
        <v>28</v>
      </c>
      <c r="C713">
        <v>0</v>
      </c>
    </row>
    <row r="714" spans="1:3" x14ac:dyDescent="0.35">
      <c r="A714" t="s">
        <v>26</v>
      </c>
      <c r="B714" t="s">
        <v>28</v>
      </c>
      <c r="C714">
        <v>0</v>
      </c>
    </row>
    <row r="715" spans="1:3" x14ac:dyDescent="0.35">
      <c r="A715" t="s">
        <v>27</v>
      </c>
      <c r="B715" t="s">
        <v>28</v>
      </c>
      <c r="C715">
        <v>0</v>
      </c>
    </row>
    <row r="716" spans="1:3" x14ac:dyDescent="0.35">
      <c r="A716" t="s">
        <v>28</v>
      </c>
      <c r="B716" t="s">
        <v>28</v>
      </c>
      <c r="C716">
        <v>2289.5279999999998</v>
      </c>
    </row>
    <row r="717" spans="1:3" x14ac:dyDescent="0.35">
      <c r="A717" t="s">
        <v>29</v>
      </c>
      <c r="B717" t="s">
        <v>28</v>
      </c>
      <c r="C717">
        <v>0</v>
      </c>
    </row>
    <row r="718" spans="1:3" x14ac:dyDescent="0.35">
      <c r="A718" t="s">
        <v>30</v>
      </c>
      <c r="B718" t="s">
        <v>28</v>
      </c>
      <c r="C718">
        <v>0</v>
      </c>
    </row>
    <row r="719" spans="1:3" x14ac:dyDescent="0.35">
      <c r="A719" t="s">
        <v>31</v>
      </c>
      <c r="B719" t="s">
        <v>28</v>
      </c>
      <c r="C719">
        <v>0</v>
      </c>
    </row>
    <row r="720" spans="1:3" x14ac:dyDescent="0.35">
      <c r="A720" t="s">
        <v>32</v>
      </c>
      <c r="B720" t="s">
        <v>28</v>
      </c>
      <c r="C720">
        <v>0</v>
      </c>
    </row>
    <row r="721" spans="1:3" x14ac:dyDescent="0.35">
      <c r="A721" t="s">
        <v>33</v>
      </c>
      <c r="B721" t="s">
        <v>28</v>
      </c>
      <c r="C721">
        <v>0</v>
      </c>
    </row>
    <row r="722" spans="1:3" x14ac:dyDescent="0.35">
      <c r="A722" t="s">
        <v>34</v>
      </c>
      <c r="B722" t="s">
        <v>28</v>
      </c>
      <c r="C722">
        <v>0</v>
      </c>
    </row>
    <row r="723" spans="1:3" x14ac:dyDescent="0.35">
      <c r="A723" t="s">
        <v>35</v>
      </c>
      <c r="B723" t="s">
        <v>28</v>
      </c>
      <c r="C723">
        <v>0</v>
      </c>
    </row>
    <row r="724" spans="1:3" x14ac:dyDescent="0.35">
      <c r="A724" t="s">
        <v>36</v>
      </c>
      <c r="B724" t="s">
        <v>28</v>
      </c>
      <c r="C724">
        <v>0</v>
      </c>
    </row>
    <row r="725" spans="1:3" x14ac:dyDescent="0.35">
      <c r="A725" t="s">
        <v>37</v>
      </c>
      <c r="B725" t="s">
        <v>28</v>
      </c>
      <c r="C725">
        <v>0</v>
      </c>
    </row>
    <row r="726" spans="1:3" x14ac:dyDescent="0.35">
      <c r="A726" t="s">
        <v>38</v>
      </c>
      <c r="B726" t="s">
        <v>28</v>
      </c>
      <c r="C726">
        <v>0</v>
      </c>
    </row>
    <row r="727" spans="1:3" x14ac:dyDescent="0.35">
      <c r="A727" t="s">
        <v>39</v>
      </c>
      <c r="B727" t="s">
        <v>28</v>
      </c>
      <c r="C727">
        <v>0</v>
      </c>
    </row>
    <row r="728" spans="1:3" x14ac:dyDescent="0.35">
      <c r="A728" t="s">
        <v>7</v>
      </c>
      <c r="B728" t="s">
        <v>29</v>
      </c>
      <c r="C728">
        <v>0</v>
      </c>
    </row>
    <row r="729" spans="1:3" x14ac:dyDescent="0.35">
      <c r="A729" t="s">
        <v>8</v>
      </c>
      <c r="B729" t="s">
        <v>29</v>
      </c>
      <c r="C729">
        <v>0</v>
      </c>
    </row>
    <row r="730" spans="1:3" x14ac:dyDescent="0.35">
      <c r="A730" t="s">
        <v>9</v>
      </c>
      <c r="B730" t="s">
        <v>29</v>
      </c>
      <c r="C730">
        <v>0</v>
      </c>
    </row>
    <row r="731" spans="1:3" x14ac:dyDescent="0.35">
      <c r="A731" t="s">
        <v>10</v>
      </c>
      <c r="B731" t="s">
        <v>29</v>
      </c>
      <c r="C731">
        <v>0</v>
      </c>
    </row>
    <row r="732" spans="1:3" x14ac:dyDescent="0.35">
      <c r="A732" t="s">
        <v>11</v>
      </c>
      <c r="B732" t="s">
        <v>29</v>
      </c>
      <c r="C732">
        <v>0</v>
      </c>
    </row>
    <row r="733" spans="1:3" x14ac:dyDescent="0.35">
      <c r="A733" t="s">
        <v>12</v>
      </c>
      <c r="B733" t="s">
        <v>29</v>
      </c>
      <c r="C733">
        <v>0</v>
      </c>
    </row>
    <row r="734" spans="1:3" x14ac:dyDescent="0.35">
      <c r="A734" t="s">
        <v>13</v>
      </c>
      <c r="B734" t="s">
        <v>29</v>
      </c>
      <c r="C734">
        <v>0</v>
      </c>
    </row>
    <row r="735" spans="1:3" x14ac:dyDescent="0.35">
      <c r="A735" t="s">
        <v>14</v>
      </c>
      <c r="B735" t="s">
        <v>29</v>
      </c>
      <c r="C735">
        <v>0</v>
      </c>
    </row>
    <row r="736" spans="1:3" x14ac:dyDescent="0.35">
      <c r="A736" t="s">
        <v>15</v>
      </c>
      <c r="B736" t="s">
        <v>29</v>
      </c>
      <c r="C736">
        <v>0</v>
      </c>
    </row>
    <row r="737" spans="1:3" x14ac:dyDescent="0.35">
      <c r="A737" t="s">
        <v>16</v>
      </c>
      <c r="B737" t="s">
        <v>29</v>
      </c>
      <c r="C737">
        <v>0</v>
      </c>
    </row>
    <row r="738" spans="1:3" x14ac:dyDescent="0.35">
      <c r="A738" t="s">
        <v>17</v>
      </c>
      <c r="B738" t="s">
        <v>29</v>
      </c>
      <c r="C738">
        <v>0</v>
      </c>
    </row>
    <row r="739" spans="1:3" x14ac:dyDescent="0.35">
      <c r="A739" t="s">
        <v>18</v>
      </c>
      <c r="B739" t="s">
        <v>29</v>
      </c>
      <c r="C739">
        <v>0</v>
      </c>
    </row>
    <row r="740" spans="1:3" x14ac:dyDescent="0.35">
      <c r="A740" t="s">
        <v>19</v>
      </c>
      <c r="B740" t="s">
        <v>29</v>
      </c>
      <c r="C740">
        <v>0</v>
      </c>
    </row>
    <row r="741" spans="1:3" x14ac:dyDescent="0.35">
      <c r="A741" t="s">
        <v>20</v>
      </c>
      <c r="B741" t="s">
        <v>29</v>
      </c>
      <c r="C741">
        <v>0</v>
      </c>
    </row>
    <row r="742" spans="1:3" x14ac:dyDescent="0.35">
      <c r="A742" t="s">
        <v>21</v>
      </c>
      <c r="B742" t="s">
        <v>29</v>
      </c>
      <c r="C742">
        <v>0</v>
      </c>
    </row>
    <row r="743" spans="1:3" x14ac:dyDescent="0.35">
      <c r="A743" t="s">
        <v>22</v>
      </c>
      <c r="B743" t="s">
        <v>29</v>
      </c>
      <c r="C743">
        <v>0</v>
      </c>
    </row>
    <row r="744" spans="1:3" x14ac:dyDescent="0.35">
      <c r="A744" t="s">
        <v>23</v>
      </c>
      <c r="B744" t="s">
        <v>29</v>
      </c>
      <c r="C744">
        <v>0</v>
      </c>
    </row>
    <row r="745" spans="1:3" x14ac:dyDescent="0.35">
      <c r="A745" t="s">
        <v>24</v>
      </c>
      <c r="B745" t="s">
        <v>29</v>
      </c>
      <c r="C745">
        <v>0</v>
      </c>
    </row>
    <row r="746" spans="1:3" x14ac:dyDescent="0.35">
      <c r="A746" t="s">
        <v>25</v>
      </c>
      <c r="B746" t="s">
        <v>29</v>
      </c>
      <c r="C746">
        <v>0</v>
      </c>
    </row>
    <row r="747" spans="1:3" x14ac:dyDescent="0.35">
      <c r="A747" t="s">
        <v>26</v>
      </c>
      <c r="B747" t="s">
        <v>29</v>
      </c>
      <c r="C747">
        <v>0</v>
      </c>
    </row>
    <row r="748" spans="1:3" x14ac:dyDescent="0.35">
      <c r="A748" t="s">
        <v>27</v>
      </c>
      <c r="B748" t="s">
        <v>29</v>
      </c>
      <c r="C748">
        <v>0</v>
      </c>
    </row>
    <row r="749" spans="1:3" x14ac:dyDescent="0.35">
      <c r="A749" t="s">
        <v>28</v>
      </c>
      <c r="B749" t="s">
        <v>29</v>
      </c>
      <c r="C749">
        <v>0</v>
      </c>
    </row>
    <row r="750" spans="1:3" x14ac:dyDescent="0.35">
      <c r="A750" t="s">
        <v>29</v>
      </c>
      <c r="B750" t="s">
        <v>29</v>
      </c>
      <c r="C750">
        <v>102307.00900000002</v>
      </c>
    </row>
    <row r="751" spans="1:3" x14ac:dyDescent="0.35">
      <c r="A751" t="s">
        <v>30</v>
      </c>
      <c r="B751" t="s">
        <v>29</v>
      </c>
      <c r="C751">
        <v>0</v>
      </c>
    </row>
    <row r="752" spans="1:3" x14ac:dyDescent="0.35">
      <c r="A752" t="s">
        <v>31</v>
      </c>
      <c r="B752" t="s">
        <v>29</v>
      </c>
      <c r="C752">
        <v>0</v>
      </c>
    </row>
    <row r="753" spans="1:3" x14ac:dyDescent="0.35">
      <c r="A753" t="s">
        <v>32</v>
      </c>
      <c r="B753" t="s">
        <v>29</v>
      </c>
      <c r="C753">
        <v>0</v>
      </c>
    </row>
    <row r="754" spans="1:3" x14ac:dyDescent="0.35">
      <c r="A754" t="s">
        <v>33</v>
      </c>
      <c r="B754" t="s">
        <v>29</v>
      </c>
      <c r="C754">
        <v>0</v>
      </c>
    </row>
    <row r="755" spans="1:3" x14ac:dyDescent="0.35">
      <c r="A755" t="s">
        <v>34</v>
      </c>
      <c r="B755" t="s">
        <v>29</v>
      </c>
      <c r="C755">
        <v>0</v>
      </c>
    </row>
    <row r="756" spans="1:3" x14ac:dyDescent="0.35">
      <c r="A756" t="s">
        <v>35</v>
      </c>
      <c r="B756" t="s">
        <v>29</v>
      </c>
      <c r="C756">
        <v>0</v>
      </c>
    </row>
    <row r="757" spans="1:3" x14ac:dyDescent="0.35">
      <c r="A757" t="s">
        <v>36</v>
      </c>
      <c r="B757" t="s">
        <v>29</v>
      </c>
      <c r="C757">
        <v>0</v>
      </c>
    </row>
    <row r="758" spans="1:3" x14ac:dyDescent="0.35">
      <c r="A758" t="s">
        <v>37</v>
      </c>
      <c r="B758" t="s">
        <v>29</v>
      </c>
      <c r="C758">
        <v>0</v>
      </c>
    </row>
    <row r="759" spans="1:3" x14ac:dyDescent="0.35">
      <c r="A759" t="s">
        <v>38</v>
      </c>
      <c r="B759" t="s">
        <v>29</v>
      </c>
      <c r="C759">
        <v>0</v>
      </c>
    </row>
    <row r="760" spans="1:3" x14ac:dyDescent="0.35">
      <c r="A760" t="s">
        <v>39</v>
      </c>
      <c r="B760" t="s">
        <v>29</v>
      </c>
      <c r="C760">
        <v>0</v>
      </c>
    </row>
    <row r="761" spans="1:3" x14ac:dyDescent="0.35">
      <c r="A761" t="s">
        <v>7</v>
      </c>
      <c r="B761" t="s">
        <v>30</v>
      </c>
      <c r="C761">
        <v>0</v>
      </c>
    </row>
    <row r="762" spans="1:3" x14ac:dyDescent="0.35">
      <c r="A762" t="s">
        <v>8</v>
      </c>
      <c r="B762" t="s">
        <v>30</v>
      </c>
      <c r="C762">
        <v>0</v>
      </c>
    </row>
    <row r="763" spans="1:3" x14ac:dyDescent="0.35">
      <c r="A763" t="s">
        <v>9</v>
      </c>
      <c r="B763" t="s">
        <v>30</v>
      </c>
      <c r="C763">
        <v>0</v>
      </c>
    </row>
    <row r="764" spans="1:3" x14ac:dyDescent="0.35">
      <c r="A764" t="s">
        <v>10</v>
      </c>
      <c r="B764" t="s">
        <v>30</v>
      </c>
      <c r="C764">
        <v>0</v>
      </c>
    </row>
    <row r="765" spans="1:3" x14ac:dyDescent="0.35">
      <c r="A765" t="s">
        <v>11</v>
      </c>
      <c r="B765" t="s">
        <v>30</v>
      </c>
      <c r="C765">
        <v>0</v>
      </c>
    </row>
    <row r="766" spans="1:3" x14ac:dyDescent="0.35">
      <c r="A766" t="s">
        <v>12</v>
      </c>
      <c r="B766" t="s">
        <v>30</v>
      </c>
      <c r="C766">
        <v>0</v>
      </c>
    </row>
    <row r="767" spans="1:3" x14ac:dyDescent="0.35">
      <c r="A767" t="s">
        <v>13</v>
      </c>
      <c r="B767" t="s">
        <v>30</v>
      </c>
      <c r="C767">
        <v>0</v>
      </c>
    </row>
    <row r="768" spans="1:3" x14ac:dyDescent="0.35">
      <c r="A768" t="s">
        <v>14</v>
      </c>
      <c r="B768" t="s">
        <v>30</v>
      </c>
      <c r="C768">
        <v>0</v>
      </c>
    </row>
    <row r="769" spans="1:3" x14ac:dyDescent="0.35">
      <c r="A769" t="s">
        <v>15</v>
      </c>
      <c r="B769" t="s">
        <v>30</v>
      </c>
      <c r="C769">
        <v>0</v>
      </c>
    </row>
    <row r="770" spans="1:3" x14ac:dyDescent="0.35">
      <c r="A770" t="s">
        <v>16</v>
      </c>
      <c r="B770" t="s">
        <v>30</v>
      </c>
      <c r="C770">
        <v>0</v>
      </c>
    </row>
    <row r="771" spans="1:3" x14ac:dyDescent="0.35">
      <c r="A771" t="s">
        <v>17</v>
      </c>
      <c r="B771" t="s">
        <v>30</v>
      </c>
      <c r="C771">
        <v>0</v>
      </c>
    </row>
    <row r="772" spans="1:3" x14ac:dyDescent="0.35">
      <c r="A772" t="s">
        <v>18</v>
      </c>
      <c r="B772" t="s">
        <v>30</v>
      </c>
      <c r="C772">
        <v>0</v>
      </c>
    </row>
    <row r="773" spans="1:3" x14ac:dyDescent="0.35">
      <c r="A773" t="s">
        <v>19</v>
      </c>
      <c r="B773" t="s">
        <v>30</v>
      </c>
      <c r="C773">
        <v>0</v>
      </c>
    </row>
    <row r="774" spans="1:3" x14ac:dyDescent="0.35">
      <c r="A774" t="s">
        <v>20</v>
      </c>
      <c r="B774" t="s">
        <v>30</v>
      </c>
      <c r="C774">
        <v>0</v>
      </c>
    </row>
    <row r="775" spans="1:3" x14ac:dyDescent="0.35">
      <c r="A775" t="s">
        <v>21</v>
      </c>
      <c r="B775" t="s">
        <v>30</v>
      </c>
      <c r="C775">
        <v>0</v>
      </c>
    </row>
    <row r="776" spans="1:3" x14ac:dyDescent="0.35">
      <c r="A776" t="s">
        <v>22</v>
      </c>
      <c r="B776" t="s">
        <v>30</v>
      </c>
      <c r="C776">
        <v>0</v>
      </c>
    </row>
    <row r="777" spans="1:3" x14ac:dyDescent="0.35">
      <c r="A777" t="s">
        <v>23</v>
      </c>
      <c r="B777" t="s">
        <v>30</v>
      </c>
      <c r="C777">
        <v>0</v>
      </c>
    </row>
    <row r="778" spans="1:3" x14ac:dyDescent="0.35">
      <c r="A778" t="s">
        <v>24</v>
      </c>
      <c r="B778" t="s">
        <v>30</v>
      </c>
      <c r="C778">
        <v>0</v>
      </c>
    </row>
    <row r="779" spans="1:3" x14ac:dyDescent="0.35">
      <c r="A779" t="s">
        <v>25</v>
      </c>
      <c r="B779" t="s">
        <v>30</v>
      </c>
      <c r="C779">
        <v>0</v>
      </c>
    </row>
    <row r="780" spans="1:3" x14ac:dyDescent="0.35">
      <c r="A780" t="s">
        <v>26</v>
      </c>
      <c r="B780" t="s">
        <v>30</v>
      </c>
      <c r="C780">
        <v>0</v>
      </c>
    </row>
    <row r="781" spans="1:3" x14ac:dyDescent="0.35">
      <c r="A781" t="s">
        <v>27</v>
      </c>
      <c r="B781" t="s">
        <v>30</v>
      </c>
      <c r="C781">
        <v>0</v>
      </c>
    </row>
    <row r="782" spans="1:3" x14ac:dyDescent="0.35">
      <c r="A782" t="s">
        <v>28</v>
      </c>
      <c r="B782" t="s">
        <v>30</v>
      </c>
      <c r="C782">
        <v>0</v>
      </c>
    </row>
    <row r="783" spans="1:3" x14ac:dyDescent="0.35">
      <c r="A783" t="s">
        <v>29</v>
      </c>
      <c r="B783" t="s">
        <v>30</v>
      </c>
      <c r="C783">
        <v>0</v>
      </c>
    </row>
    <row r="784" spans="1:3" x14ac:dyDescent="0.35">
      <c r="A784" t="s">
        <v>30</v>
      </c>
      <c r="B784" t="s">
        <v>30</v>
      </c>
      <c r="C784">
        <v>51951.452999999994</v>
      </c>
    </row>
    <row r="785" spans="1:3" x14ac:dyDescent="0.35">
      <c r="A785" t="s">
        <v>31</v>
      </c>
      <c r="B785" t="s">
        <v>30</v>
      </c>
      <c r="C785">
        <v>0</v>
      </c>
    </row>
    <row r="786" spans="1:3" x14ac:dyDescent="0.35">
      <c r="A786" t="s">
        <v>32</v>
      </c>
      <c r="B786" t="s">
        <v>30</v>
      </c>
      <c r="C786">
        <v>0</v>
      </c>
    </row>
    <row r="787" spans="1:3" x14ac:dyDescent="0.35">
      <c r="A787" t="s">
        <v>33</v>
      </c>
      <c r="B787" t="s">
        <v>30</v>
      </c>
      <c r="C787">
        <v>0</v>
      </c>
    </row>
    <row r="788" spans="1:3" x14ac:dyDescent="0.35">
      <c r="A788" t="s">
        <v>34</v>
      </c>
      <c r="B788" t="s">
        <v>30</v>
      </c>
      <c r="C788">
        <v>0</v>
      </c>
    </row>
    <row r="789" spans="1:3" x14ac:dyDescent="0.35">
      <c r="A789" t="s">
        <v>35</v>
      </c>
      <c r="B789" t="s">
        <v>30</v>
      </c>
      <c r="C789">
        <v>0</v>
      </c>
    </row>
    <row r="790" spans="1:3" x14ac:dyDescent="0.35">
      <c r="A790" t="s">
        <v>36</v>
      </c>
      <c r="B790" t="s">
        <v>30</v>
      </c>
      <c r="C790">
        <v>0</v>
      </c>
    </row>
    <row r="791" spans="1:3" x14ac:dyDescent="0.35">
      <c r="A791" t="s">
        <v>37</v>
      </c>
      <c r="B791" t="s">
        <v>30</v>
      </c>
      <c r="C791">
        <v>0</v>
      </c>
    </row>
    <row r="792" spans="1:3" x14ac:dyDescent="0.35">
      <c r="A792" t="s">
        <v>38</v>
      </c>
      <c r="B792" t="s">
        <v>30</v>
      </c>
      <c r="C792">
        <v>0</v>
      </c>
    </row>
    <row r="793" spans="1:3" x14ac:dyDescent="0.35">
      <c r="A793" t="s">
        <v>39</v>
      </c>
      <c r="B793" t="s">
        <v>30</v>
      </c>
      <c r="C793">
        <v>0</v>
      </c>
    </row>
    <row r="794" spans="1:3" x14ac:dyDescent="0.35">
      <c r="A794" t="s">
        <v>7</v>
      </c>
      <c r="B794" t="s">
        <v>31</v>
      </c>
      <c r="C794">
        <v>0</v>
      </c>
    </row>
    <row r="795" spans="1:3" x14ac:dyDescent="0.35">
      <c r="A795" t="s">
        <v>8</v>
      </c>
      <c r="B795" t="s">
        <v>31</v>
      </c>
      <c r="C795">
        <v>0</v>
      </c>
    </row>
    <row r="796" spans="1:3" x14ac:dyDescent="0.35">
      <c r="A796" t="s">
        <v>9</v>
      </c>
      <c r="B796" t="s">
        <v>31</v>
      </c>
      <c r="C796">
        <v>0</v>
      </c>
    </row>
    <row r="797" spans="1:3" x14ac:dyDescent="0.35">
      <c r="A797" t="s">
        <v>10</v>
      </c>
      <c r="B797" t="s">
        <v>31</v>
      </c>
      <c r="C797">
        <v>0</v>
      </c>
    </row>
    <row r="798" spans="1:3" x14ac:dyDescent="0.35">
      <c r="A798" t="s">
        <v>11</v>
      </c>
      <c r="B798" t="s">
        <v>31</v>
      </c>
      <c r="C798">
        <v>0</v>
      </c>
    </row>
    <row r="799" spans="1:3" x14ac:dyDescent="0.35">
      <c r="A799" t="s">
        <v>12</v>
      </c>
      <c r="B799" t="s">
        <v>31</v>
      </c>
      <c r="C799">
        <v>0</v>
      </c>
    </row>
    <row r="800" spans="1:3" x14ac:dyDescent="0.35">
      <c r="A800" t="s">
        <v>13</v>
      </c>
      <c r="B800" t="s">
        <v>31</v>
      </c>
      <c r="C800">
        <v>0</v>
      </c>
    </row>
    <row r="801" spans="1:3" x14ac:dyDescent="0.35">
      <c r="A801" t="s">
        <v>14</v>
      </c>
      <c r="B801" t="s">
        <v>31</v>
      </c>
      <c r="C801">
        <v>0</v>
      </c>
    </row>
    <row r="802" spans="1:3" x14ac:dyDescent="0.35">
      <c r="A802" t="s">
        <v>15</v>
      </c>
      <c r="B802" t="s">
        <v>31</v>
      </c>
      <c r="C802">
        <v>0</v>
      </c>
    </row>
    <row r="803" spans="1:3" x14ac:dyDescent="0.35">
      <c r="A803" t="s">
        <v>16</v>
      </c>
      <c r="B803" t="s">
        <v>31</v>
      </c>
      <c r="C803">
        <v>0</v>
      </c>
    </row>
    <row r="804" spans="1:3" x14ac:dyDescent="0.35">
      <c r="A804" t="s">
        <v>17</v>
      </c>
      <c r="B804" t="s">
        <v>31</v>
      </c>
      <c r="C804">
        <v>0</v>
      </c>
    </row>
    <row r="805" spans="1:3" x14ac:dyDescent="0.35">
      <c r="A805" t="s">
        <v>18</v>
      </c>
      <c r="B805" t="s">
        <v>31</v>
      </c>
      <c r="C805">
        <v>0</v>
      </c>
    </row>
    <row r="806" spans="1:3" x14ac:dyDescent="0.35">
      <c r="A806" t="s">
        <v>19</v>
      </c>
      <c r="B806" t="s">
        <v>31</v>
      </c>
      <c r="C806">
        <v>0</v>
      </c>
    </row>
    <row r="807" spans="1:3" x14ac:dyDescent="0.35">
      <c r="A807" t="s">
        <v>20</v>
      </c>
      <c r="B807" t="s">
        <v>31</v>
      </c>
      <c r="C807">
        <v>0</v>
      </c>
    </row>
    <row r="808" spans="1:3" x14ac:dyDescent="0.35">
      <c r="A808" t="s">
        <v>21</v>
      </c>
      <c r="B808" t="s">
        <v>31</v>
      </c>
      <c r="C808">
        <v>0</v>
      </c>
    </row>
    <row r="809" spans="1:3" x14ac:dyDescent="0.35">
      <c r="A809" t="s">
        <v>22</v>
      </c>
      <c r="B809" t="s">
        <v>31</v>
      </c>
      <c r="C809">
        <v>0</v>
      </c>
    </row>
    <row r="810" spans="1:3" x14ac:dyDescent="0.35">
      <c r="A810" t="s">
        <v>23</v>
      </c>
      <c r="B810" t="s">
        <v>31</v>
      </c>
      <c r="C810">
        <v>0</v>
      </c>
    </row>
    <row r="811" spans="1:3" x14ac:dyDescent="0.35">
      <c r="A811" t="s">
        <v>24</v>
      </c>
      <c r="B811" t="s">
        <v>31</v>
      </c>
      <c r="C811">
        <v>0</v>
      </c>
    </row>
    <row r="812" spans="1:3" x14ac:dyDescent="0.35">
      <c r="A812" t="s">
        <v>25</v>
      </c>
      <c r="B812" t="s">
        <v>31</v>
      </c>
      <c r="C812">
        <v>0</v>
      </c>
    </row>
    <row r="813" spans="1:3" x14ac:dyDescent="0.35">
      <c r="A813" t="s">
        <v>26</v>
      </c>
      <c r="B813" t="s">
        <v>31</v>
      </c>
      <c r="C813">
        <v>0</v>
      </c>
    </row>
    <row r="814" spans="1:3" x14ac:dyDescent="0.35">
      <c r="A814" t="s">
        <v>27</v>
      </c>
      <c r="B814" t="s">
        <v>31</v>
      </c>
      <c r="C814">
        <v>0</v>
      </c>
    </row>
    <row r="815" spans="1:3" x14ac:dyDescent="0.35">
      <c r="A815" t="s">
        <v>28</v>
      </c>
      <c r="B815" t="s">
        <v>31</v>
      </c>
      <c r="C815">
        <v>0</v>
      </c>
    </row>
    <row r="816" spans="1:3" x14ac:dyDescent="0.35">
      <c r="A816" t="s">
        <v>29</v>
      </c>
      <c r="B816" t="s">
        <v>31</v>
      </c>
      <c r="C816">
        <v>0</v>
      </c>
    </row>
    <row r="817" spans="1:3" x14ac:dyDescent="0.35">
      <c r="A817" t="s">
        <v>30</v>
      </c>
      <c r="B817" t="s">
        <v>31</v>
      </c>
      <c r="C817">
        <v>0</v>
      </c>
    </row>
    <row r="818" spans="1:3" x14ac:dyDescent="0.35">
      <c r="A818" t="s">
        <v>31</v>
      </c>
      <c r="B818" t="s">
        <v>31</v>
      </c>
      <c r="C818">
        <v>33978.014777243785</v>
      </c>
    </row>
    <row r="819" spans="1:3" x14ac:dyDescent="0.35">
      <c r="A819" t="s">
        <v>32</v>
      </c>
      <c r="B819" t="s">
        <v>31</v>
      </c>
      <c r="C819">
        <v>0</v>
      </c>
    </row>
    <row r="820" spans="1:3" x14ac:dyDescent="0.35">
      <c r="A820" t="s">
        <v>33</v>
      </c>
      <c r="B820" t="s">
        <v>31</v>
      </c>
      <c r="C820">
        <v>0</v>
      </c>
    </row>
    <row r="821" spans="1:3" x14ac:dyDescent="0.35">
      <c r="A821" t="s">
        <v>34</v>
      </c>
      <c r="B821" t="s">
        <v>31</v>
      </c>
      <c r="C821">
        <v>0</v>
      </c>
    </row>
    <row r="822" spans="1:3" x14ac:dyDescent="0.35">
      <c r="A822" t="s">
        <v>35</v>
      </c>
      <c r="B822" t="s">
        <v>31</v>
      </c>
      <c r="C822">
        <v>0</v>
      </c>
    </row>
    <row r="823" spans="1:3" x14ac:dyDescent="0.35">
      <c r="A823" t="s">
        <v>36</v>
      </c>
      <c r="B823" t="s">
        <v>31</v>
      </c>
      <c r="C823">
        <v>0</v>
      </c>
    </row>
    <row r="824" spans="1:3" x14ac:dyDescent="0.35">
      <c r="A824" t="s">
        <v>37</v>
      </c>
      <c r="B824" t="s">
        <v>31</v>
      </c>
      <c r="C824">
        <v>0</v>
      </c>
    </row>
    <row r="825" spans="1:3" x14ac:dyDescent="0.35">
      <c r="A825" t="s">
        <v>38</v>
      </c>
      <c r="B825" t="s">
        <v>31</v>
      </c>
      <c r="C825">
        <v>0</v>
      </c>
    </row>
    <row r="826" spans="1:3" x14ac:dyDescent="0.35">
      <c r="A826" t="s">
        <v>39</v>
      </c>
      <c r="B826" t="s">
        <v>31</v>
      </c>
      <c r="C826">
        <v>0</v>
      </c>
    </row>
    <row r="827" spans="1:3" x14ac:dyDescent="0.35">
      <c r="A827" t="s">
        <v>7</v>
      </c>
      <c r="B827" t="s">
        <v>32</v>
      </c>
      <c r="C827">
        <v>0</v>
      </c>
    </row>
    <row r="828" spans="1:3" x14ac:dyDescent="0.35">
      <c r="A828" t="s">
        <v>8</v>
      </c>
      <c r="B828" t="s">
        <v>32</v>
      </c>
      <c r="C828">
        <v>0</v>
      </c>
    </row>
    <row r="829" spans="1:3" x14ac:dyDescent="0.35">
      <c r="A829" t="s">
        <v>9</v>
      </c>
      <c r="B829" t="s">
        <v>32</v>
      </c>
      <c r="C829">
        <v>0</v>
      </c>
    </row>
    <row r="830" spans="1:3" x14ac:dyDescent="0.35">
      <c r="A830" t="s">
        <v>10</v>
      </c>
      <c r="B830" t="s">
        <v>32</v>
      </c>
      <c r="C830">
        <v>0</v>
      </c>
    </row>
    <row r="831" spans="1:3" x14ac:dyDescent="0.35">
      <c r="A831" t="s">
        <v>11</v>
      </c>
      <c r="B831" t="s">
        <v>32</v>
      </c>
      <c r="C831">
        <v>0</v>
      </c>
    </row>
    <row r="832" spans="1:3" x14ac:dyDescent="0.35">
      <c r="A832" t="s">
        <v>12</v>
      </c>
      <c r="B832" t="s">
        <v>32</v>
      </c>
      <c r="C832">
        <v>0</v>
      </c>
    </row>
    <row r="833" spans="1:3" x14ac:dyDescent="0.35">
      <c r="A833" t="s">
        <v>13</v>
      </c>
      <c r="B833" t="s">
        <v>32</v>
      </c>
      <c r="C833">
        <v>0</v>
      </c>
    </row>
    <row r="834" spans="1:3" x14ac:dyDescent="0.35">
      <c r="A834" t="s">
        <v>14</v>
      </c>
      <c r="B834" t="s">
        <v>32</v>
      </c>
      <c r="C834">
        <v>0</v>
      </c>
    </row>
    <row r="835" spans="1:3" x14ac:dyDescent="0.35">
      <c r="A835" t="s">
        <v>15</v>
      </c>
      <c r="B835" t="s">
        <v>32</v>
      </c>
      <c r="C835">
        <v>0</v>
      </c>
    </row>
    <row r="836" spans="1:3" x14ac:dyDescent="0.35">
      <c r="A836" t="s">
        <v>16</v>
      </c>
      <c r="B836" t="s">
        <v>32</v>
      </c>
      <c r="C836">
        <v>0</v>
      </c>
    </row>
    <row r="837" spans="1:3" x14ac:dyDescent="0.35">
      <c r="A837" t="s">
        <v>17</v>
      </c>
      <c r="B837" t="s">
        <v>32</v>
      </c>
      <c r="C837">
        <v>0</v>
      </c>
    </row>
    <row r="838" spans="1:3" x14ac:dyDescent="0.35">
      <c r="A838" t="s">
        <v>18</v>
      </c>
      <c r="B838" t="s">
        <v>32</v>
      </c>
      <c r="C838">
        <v>0</v>
      </c>
    </row>
    <row r="839" spans="1:3" x14ac:dyDescent="0.35">
      <c r="A839" t="s">
        <v>19</v>
      </c>
      <c r="B839" t="s">
        <v>32</v>
      </c>
      <c r="C839">
        <v>0</v>
      </c>
    </row>
    <row r="840" spans="1:3" x14ac:dyDescent="0.35">
      <c r="A840" t="s">
        <v>20</v>
      </c>
      <c r="B840" t="s">
        <v>32</v>
      </c>
      <c r="C840">
        <v>0</v>
      </c>
    </row>
    <row r="841" spans="1:3" x14ac:dyDescent="0.35">
      <c r="A841" t="s">
        <v>21</v>
      </c>
      <c r="B841" t="s">
        <v>32</v>
      </c>
      <c r="C841">
        <v>0</v>
      </c>
    </row>
    <row r="842" spans="1:3" x14ac:dyDescent="0.35">
      <c r="A842" t="s">
        <v>22</v>
      </c>
      <c r="B842" t="s">
        <v>32</v>
      </c>
      <c r="C842">
        <v>0</v>
      </c>
    </row>
    <row r="843" spans="1:3" x14ac:dyDescent="0.35">
      <c r="A843" t="s">
        <v>23</v>
      </c>
      <c r="B843" t="s">
        <v>32</v>
      </c>
      <c r="C843">
        <v>0</v>
      </c>
    </row>
    <row r="844" spans="1:3" x14ac:dyDescent="0.35">
      <c r="A844" t="s">
        <v>24</v>
      </c>
      <c r="B844" t="s">
        <v>32</v>
      </c>
      <c r="C844">
        <v>0</v>
      </c>
    </row>
    <row r="845" spans="1:3" x14ac:dyDescent="0.35">
      <c r="A845" t="s">
        <v>25</v>
      </c>
      <c r="B845" t="s">
        <v>32</v>
      </c>
      <c r="C845">
        <v>0</v>
      </c>
    </row>
    <row r="846" spans="1:3" x14ac:dyDescent="0.35">
      <c r="A846" t="s">
        <v>26</v>
      </c>
      <c r="B846" t="s">
        <v>32</v>
      </c>
      <c r="C846">
        <v>0</v>
      </c>
    </row>
    <row r="847" spans="1:3" x14ac:dyDescent="0.35">
      <c r="A847" t="s">
        <v>27</v>
      </c>
      <c r="B847" t="s">
        <v>32</v>
      </c>
      <c r="C847">
        <v>0</v>
      </c>
    </row>
    <row r="848" spans="1:3" x14ac:dyDescent="0.35">
      <c r="A848" t="s">
        <v>28</v>
      </c>
      <c r="B848" t="s">
        <v>32</v>
      </c>
      <c r="C848">
        <v>0</v>
      </c>
    </row>
    <row r="849" spans="1:3" x14ac:dyDescent="0.35">
      <c r="A849" t="s">
        <v>29</v>
      </c>
      <c r="B849" t="s">
        <v>32</v>
      </c>
      <c r="C849">
        <v>0</v>
      </c>
    </row>
    <row r="850" spans="1:3" x14ac:dyDescent="0.35">
      <c r="A850" t="s">
        <v>30</v>
      </c>
      <c r="B850" t="s">
        <v>32</v>
      </c>
      <c r="C850">
        <v>0</v>
      </c>
    </row>
    <row r="851" spans="1:3" x14ac:dyDescent="0.35">
      <c r="A851" t="s">
        <v>31</v>
      </c>
      <c r="B851" t="s">
        <v>32</v>
      </c>
      <c r="C851">
        <v>0</v>
      </c>
    </row>
    <row r="852" spans="1:3" x14ac:dyDescent="0.35">
      <c r="A852" t="s">
        <v>32</v>
      </c>
      <c r="B852" t="s">
        <v>32</v>
      </c>
      <c r="C852">
        <v>68358.296123052918</v>
      </c>
    </row>
    <row r="853" spans="1:3" x14ac:dyDescent="0.35">
      <c r="A853" t="s">
        <v>33</v>
      </c>
      <c r="B853" t="s">
        <v>32</v>
      </c>
      <c r="C853">
        <v>0</v>
      </c>
    </row>
    <row r="854" spans="1:3" x14ac:dyDescent="0.35">
      <c r="A854" t="s">
        <v>34</v>
      </c>
      <c r="B854" t="s">
        <v>32</v>
      </c>
      <c r="C854">
        <v>0</v>
      </c>
    </row>
    <row r="855" spans="1:3" x14ac:dyDescent="0.35">
      <c r="A855" t="s">
        <v>35</v>
      </c>
      <c r="B855" t="s">
        <v>32</v>
      </c>
      <c r="C855">
        <v>0</v>
      </c>
    </row>
    <row r="856" spans="1:3" x14ac:dyDescent="0.35">
      <c r="A856" t="s">
        <v>36</v>
      </c>
      <c r="B856" t="s">
        <v>32</v>
      </c>
      <c r="C856">
        <v>0</v>
      </c>
    </row>
    <row r="857" spans="1:3" x14ac:dyDescent="0.35">
      <c r="A857" t="s">
        <v>37</v>
      </c>
      <c r="B857" t="s">
        <v>32</v>
      </c>
      <c r="C857">
        <v>0</v>
      </c>
    </row>
    <row r="858" spans="1:3" x14ac:dyDescent="0.35">
      <c r="A858" t="s">
        <v>38</v>
      </c>
      <c r="B858" t="s">
        <v>32</v>
      </c>
      <c r="C858">
        <v>0</v>
      </c>
    </row>
    <row r="859" spans="1:3" x14ac:dyDescent="0.35">
      <c r="A859" t="s">
        <v>39</v>
      </c>
      <c r="B859" t="s">
        <v>32</v>
      </c>
      <c r="C859">
        <v>0</v>
      </c>
    </row>
    <row r="860" spans="1:3" x14ac:dyDescent="0.35">
      <c r="A860" t="s">
        <v>7</v>
      </c>
      <c r="B860" t="s">
        <v>33</v>
      </c>
      <c r="C860">
        <v>0</v>
      </c>
    </row>
    <row r="861" spans="1:3" x14ac:dyDescent="0.35">
      <c r="A861" t="s">
        <v>8</v>
      </c>
      <c r="B861" t="s">
        <v>33</v>
      </c>
      <c r="C861">
        <v>0</v>
      </c>
    </row>
    <row r="862" spans="1:3" x14ac:dyDescent="0.35">
      <c r="A862" t="s">
        <v>9</v>
      </c>
      <c r="B862" t="s">
        <v>33</v>
      </c>
      <c r="C862">
        <v>0</v>
      </c>
    </row>
    <row r="863" spans="1:3" x14ac:dyDescent="0.35">
      <c r="A863" t="s">
        <v>10</v>
      </c>
      <c r="B863" t="s">
        <v>33</v>
      </c>
      <c r="C863">
        <v>0</v>
      </c>
    </row>
    <row r="864" spans="1:3" x14ac:dyDescent="0.35">
      <c r="A864" t="s">
        <v>11</v>
      </c>
      <c r="B864" t="s">
        <v>33</v>
      </c>
      <c r="C864">
        <v>0</v>
      </c>
    </row>
    <row r="865" spans="1:3" x14ac:dyDescent="0.35">
      <c r="A865" t="s">
        <v>12</v>
      </c>
      <c r="B865" t="s">
        <v>33</v>
      </c>
      <c r="C865">
        <v>0</v>
      </c>
    </row>
    <row r="866" spans="1:3" x14ac:dyDescent="0.35">
      <c r="A866" t="s">
        <v>13</v>
      </c>
      <c r="B866" t="s">
        <v>33</v>
      </c>
      <c r="C866">
        <v>0</v>
      </c>
    </row>
    <row r="867" spans="1:3" x14ac:dyDescent="0.35">
      <c r="A867" t="s">
        <v>14</v>
      </c>
      <c r="B867" t="s">
        <v>33</v>
      </c>
      <c r="C867">
        <v>0</v>
      </c>
    </row>
    <row r="868" spans="1:3" x14ac:dyDescent="0.35">
      <c r="A868" t="s">
        <v>15</v>
      </c>
      <c r="B868" t="s">
        <v>33</v>
      </c>
      <c r="C868">
        <v>0</v>
      </c>
    </row>
    <row r="869" spans="1:3" x14ac:dyDescent="0.35">
      <c r="A869" t="s">
        <v>16</v>
      </c>
      <c r="B869" t="s">
        <v>33</v>
      </c>
      <c r="C869">
        <v>0</v>
      </c>
    </row>
    <row r="870" spans="1:3" x14ac:dyDescent="0.35">
      <c r="A870" t="s">
        <v>17</v>
      </c>
      <c r="B870" t="s">
        <v>33</v>
      </c>
      <c r="C870">
        <v>0</v>
      </c>
    </row>
    <row r="871" spans="1:3" x14ac:dyDescent="0.35">
      <c r="A871" t="s">
        <v>18</v>
      </c>
      <c r="B871" t="s">
        <v>33</v>
      </c>
      <c r="C871">
        <v>0</v>
      </c>
    </row>
    <row r="872" spans="1:3" x14ac:dyDescent="0.35">
      <c r="A872" t="s">
        <v>19</v>
      </c>
      <c r="B872" t="s">
        <v>33</v>
      </c>
      <c r="C872">
        <v>0</v>
      </c>
    </row>
    <row r="873" spans="1:3" x14ac:dyDescent="0.35">
      <c r="A873" t="s">
        <v>20</v>
      </c>
      <c r="B873" t="s">
        <v>33</v>
      </c>
      <c r="C873">
        <v>0</v>
      </c>
    </row>
    <row r="874" spans="1:3" x14ac:dyDescent="0.35">
      <c r="A874" t="s">
        <v>21</v>
      </c>
      <c r="B874" t="s">
        <v>33</v>
      </c>
      <c r="C874">
        <v>0</v>
      </c>
    </row>
    <row r="875" spans="1:3" x14ac:dyDescent="0.35">
      <c r="A875" t="s">
        <v>22</v>
      </c>
      <c r="B875" t="s">
        <v>33</v>
      </c>
      <c r="C875">
        <v>0</v>
      </c>
    </row>
    <row r="876" spans="1:3" x14ac:dyDescent="0.35">
      <c r="A876" t="s">
        <v>23</v>
      </c>
      <c r="B876" t="s">
        <v>33</v>
      </c>
      <c r="C876">
        <v>0</v>
      </c>
    </row>
    <row r="877" spans="1:3" x14ac:dyDescent="0.35">
      <c r="A877" t="s">
        <v>24</v>
      </c>
      <c r="B877" t="s">
        <v>33</v>
      </c>
      <c r="C877">
        <v>0</v>
      </c>
    </row>
    <row r="878" spans="1:3" x14ac:dyDescent="0.35">
      <c r="A878" t="s">
        <v>25</v>
      </c>
      <c r="B878" t="s">
        <v>33</v>
      </c>
      <c r="C878">
        <v>0</v>
      </c>
    </row>
    <row r="879" spans="1:3" x14ac:dyDescent="0.35">
      <c r="A879" t="s">
        <v>26</v>
      </c>
      <c r="B879" t="s">
        <v>33</v>
      </c>
      <c r="C879">
        <v>0</v>
      </c>
    </row>
    <row r="880" spans="1:3" x14ac:dyDescent="0.35">
      <c r="A880" t="s">
        <v>27</v>
      </c>
      <c r="B880" t="s">
        <v>33</v>
      </c>
      <c r="C880">
        <v>0</v>
      </c>
    </row>
    <row r="881" spans="1:3" x14ac:dyDescent="0.35">
      <c r="A881" t="s">
        <v>28</v>
      </c>
      <c r="B881" t="s">
        <v>33</v>
      </c>
      <c r="C881">
        <v>0</v>
      </c>
    </row>
    <row r="882" spans="1:3" x14ac:dyDescent="0.35">
      <c r="A882" t="s">
        <v>29</v>
      </c>
      <c r="B882" t="s">
        <v>33</v>
      </c>
      <c r="C882">
        <v>0</v>
      </c>
    </row>
    <row r="883" spans="1:3" x14ac:dyDescent="0.35">
      <c r="A883" t="s">
        <v>30</v>
      </c>
      <c r="B883" t="s">
        <v>33</v>
      </c>
      <c r="C883">
        <v>0</v>
      </c>
    </row>
    <row r="884" spans="1:3" x14ac:dyDescent="0.35">
      <c r="A884" t="s">
        <v>31</v>
      </c>
      <c r="B884" t="s">
        <v>33</v>
      </c>
      <c r="C884">
        <v>0</v>
      </c>
    </row>
    <row r="885" spans="1:3" x14ac:dyDescent="0.35">
      <c r="A885" t="s">
        <v>32</v>
      </c>
      <c r="B885" t="s">
        <v>33</v>
      </c>
      <c r="C885">
        <v>0</v>
      </c>
    </row>
    <row r="886" spans="1:3" x14ac:dyDescent="0.35">
      <c r="A886" t="s">
        <v>33</v>
      </c>
      <c r="B886" t="s">
        <v>33</v>
      </c>
      <c r="C886">
        <v>51738.011936033465</v>
      </c>
    </row>
    <row r="887" spans="1:3" x14ac:dyDescent="0.35">
      <c r="A887" t="s">
        <v>34</v>
      </c>
      <c r="B887" t="s">
        <v>33</v>
      </c>
      <c r="C887">
        <v>0</v>
      </c>
    </row>
    <row r="888" spans="1:3" x14ac:dyDescent="0.35">
      <c r="A888" t="s">
        <v>35</v>
      </c>
      <c r="B888" t="s">
        <v>33</v>
      </c>
      <c r="C888">
        <v>0</v>
      </c>
    </row>
    <row r="889" spans="1:3" x14ac:dyDescent="0.35">
      <c r="A889" t="s">
        <v>36</v>
      </c>
      <c r="B889" t="s">
        <v>33</v>
      </c>
      <c r="C889">
        <v>0</v>
      </c>
    </row>
    <row r="890" spans="1:3" x14ac:dyDescent="0.35">
      <c r="A890" t="s">
        <v>37</v>
      </c>
      <c r="B890" t="s">
        <v>33</v>
      </c>
      <c r="C890">
        <v>0</v>
      </c>
    </row>
    <row r="891" spans="1:3" x14ac:dyDescent="0.35">
      <c r="A891" t="s">
        <v>38</v>
      </c>
      <c r="B891" t="s">
        <v>33</v>
      </c>
      <c r="C891">
        <v>0</v>
      </c>
    </row>
    <row r="892" spans="1:3" x14ac:dyDescent="0.35">
      <c r="A892" t="s">
        <v>39</v>
      </c>
      <c r="B892" t="s">
        <v>33</v>
      </c>
      <c r="C892">
        <v>0</v>
      </c>
    </row>
    <row r="893" spans="1:3" x14ac:dyDescent="0.35">
      <c r="A893" t="s">
        <v>7</v>
      </c>
      <c r="B893" t="s">
        <v>34</v>
      </c>
      <c r="C893">
        <v>0</v>
      </c>
    </row>
    <row r="894" spans="1:3" x14ac:dyDescent="0.35">
      <c r="A894" t="s">
        <v>8</v>
      </c>
      <c r="B894" t="s">
        <v>34</v>
      </c>
      <c r="C894">
        <v>0</v>
      </c>
    </row>
    <row r="895" spans="1:3" x14ac:dyDescent="0.35">
      <c r="A895" t="s">
        <v>9</v>
      </c>
      <c r="B895" t="s">
        <v>34</v>
      </c>
      <c r="C895">
        <v>0</v>
      </c>
    </row>
    <row r="896" spans="1:3" x14ac:dyDescent="0.35">
      <c r="A896" t="s">
        <v>10</v>
      </c>
      <c r="B896" t="s">
        <v>34</v>
      </c>
      <c r="C896">
        <v>0</v>
      </c>
    </row>
    <row r="897" spans="1:3" x14ac:dyDescent="0.35">
      <c r="A897" t="s">
        <v>11</v>
      </c>
      <c r="B897" t="s">
        <v>34</v>
      </c>
      <c r="C897">
        <v>0</v>
      </c>
    </row>
    <row r="898" spans="1:3" x14ac:dyDescent="0.35">
      <c r="A898" t="s">
        <v>12</v>
      </c>
      <c r="B898" t="s">
        <v>34</v>
      </c>
      <c r="C898">
        <v>0</v>
      </c>
    </row>
    <row r="899" spans="1:3" x14ac:dyDescent="0.35">
      <c r="A899" t="s">
        <v>13</v>
      </c>
      <c r="B899" t="s">
        <v>34</v>
      </c>
      <c r="C899">
        <v>0</v>
      </c>
    </row>
    <row r="900" spans="1:3" x14ac:dyDescent="0.35">
      <c r="A900" t="s">
        <v>14</v>
      </c>
      <c r="B900" t="s">
        <v>34</v>
      </c>
      <c r="C900">
        <v>0</v>
      </c>
    </row>
    <row r="901" spans="1:3" x14ac:dyDescent="0.35">
      <c r="A901" t="s">
        <v>15</v>
      </c>
      <c r="B901" t="s">
        <v>34</v>
      </c>
      <c r="C901">
        <v>0</v>
      </c>
    </row>
    <row r="902" spans="1:3" x14ac:dyDescent="0.35">
      <c r="A902" t="s">
        <v>16</v>
      </c>
      <c r="B902" t="s">
        <v>34</v>
      </c>
      <c r="C902">
        <v>0</v>
      </c>
    </row>
    <row r="903" spans="1:3" x14ac:dyDescent="0.35">
      <c r="A903" t="s">
        <v>17</v>
      </c>
      <c r="B903" t="s">
        <v>34</v>
      </c>
      <c r="C903">
        <v>0</v>
      </c>
    </row>
    <row r="904" spans="1:3" x14ac:dyDescent="0.35">
      <c r="A904" t="s">
        <v>18</v>
      </c>
      <c r="B904" t="s">
        <v>34</v>
      </c>
      <c r="C904">
        <v>0</v>
      </c>
    </row>
    <row r="905" spans="1:3" x14ac:dyDescent="0.35">
      <c r="A905" t="s">
        <v>19</v>
      </c>
      <c r="B905" t="s">
        <v>34</v>
      </c>
      <c r="C905">
        <v>0</v>
      </c>
    </row>
    <row r="906" spans="1:3" x14ac:dyDescent="0.35">
      <c r="A906" t="s">
        <v>20</v>
      </c>
      <c r="B906" t="s">
        <v>34</v>
      </c>
      <c r="C906">
        <v>0</v>
      </c>
    </row>
    <row r="907" spans="1:3" x14ac:dyDescent="0.35">
      <c r="A907" t="s">
        <v>21</v>
      </c>
      <c r="B907" t="s">
        <v>34</v>
      </c>
      <c r="C907">
        <v>0</v>
      </c>
    </row>
    <row r="908" spans="1:3" x14ac:dyDescent="0.35">
      <c r="A908" t="s">
        <v>22</v>
      </c>
      <c r="B908" t="s">
        <v>34</v>
      </c>
      <c r="C908">
        <v>0</v>
      </c>
    </row>
    <row r="909" spans="1:3" x14ac:dyDescent="0.35">
      <c r="A909" t="s">
        <v>23</v>
      </c>
      <c r="B909" t="s">
        <v>34</v>
      </c>
      <c r="C909">
        <v>0</v>
      </c>
    </row>
    <row r="910" spans="1:3" x14ac:dyDescent="0.35">
      <c r="A910" t="s">
        <v>24</v>
      </c>
      <c r="B910" t="s">
        <v>34</v>
      </c>
      <c r="C910">
        <v>0</v>
      </c>
    </row>
    <row r="911" spans="1:3" x14ac:dyDescent="0.35">
      <c r="A911" t="s">
        <v>25</v>
      </c>
      <c r="B911" t="s">
        <v>34</v>
      </c>
      <c r="C911">
        <v>0</v>
      </c>
    </row>
    <row r="912" spans="1:3" x14ac:dyDescent="0.35">
      <c r="A912" t="s">
        <v>26</v>
      </c>
      <c r="B912" t="s">
        <v>34</v>
      </c>
      <c r="C912">
        <v>0</v>
      </c>
    </row>
    <row r="913" spans="1:3" x14ac:dyDescent="0.35">
      <c r="A913" t="s">
        <v>27</v>
      </c>
      <c r="B913" t="s">
        <v>34</v>
      </c>
      <c r="C913">
        <v>0</v>
      </c>
    </row>
    <row r="914" spans="1:3" x14ac:dyDescent="0.35">
      <c r="A914" t="s">
        <v>28</v>
      </c>
      <c r="B914" t="s">
        <v>34</v>
      </c>
      <c r="C914">
        <v>0</v>
      </c>
    </row>
    <row r="915" spans="1:3" x14ac:dyDescent="0.35">
      <c r="A915" t="s">
        <v>29</v>
      </c>
      <c r="B915" t="s">
        <v>34</v>
      </c>
      <c r="C915">
        <v>0</v>
      </c>
    </row>
    <row r="916" spans="1:3" x14ac:dyDescent="0.35">
      <c r="A916" t="s">
        <v>30</v>
      </c>
      <c r="B916" t="s">
        <v>34</v>
      </c>
      <c r="C916">
        <v>0</v>
      </c>
    </row>
    <row r="917" spans="1:3" x14ac:dyDescent="0.35">
      <c r="A917" t="s">
        <v>31</v>
      </c>
      <c r="B917" t="s">
        <v>34</v>
      </c>
      <c r="C917">
        <v>0</v>
      </c>
    </row>
    <row r="918" spans="1:3" x14ac:dyDescent="0.35">
      <c r="A918" t="s">
        <v>32</v>
      </c>
      <c r="B918" t="s">
        <v>34</v>
      </c>
      <c r="C918">
        <v>0</v>
      </c>
    </row>
    <row r="919" spans="1:3" x14ac:dyDescent="0.35">
      <c r="A919" t="s">
        <v>33</v>
      </c>
      <c r="B919" t="s">
        <v>34</v>
      </c>
      <c r="C919">
        <v>0</v>
      </c>
    </row>
    <row r="920" spans="1:3" x14ac:dyDescent="0.35">
      <c r="A920" t="s">
        <v>34</v>
      </c>
      <c r="B920" t="s">
        <v>34</v>
      </c>
      <c r="C920">
        <v>92686.291595032715</v>
      </c>
    </row>
    <row r="921" spans="1:3" x14ac:dyDescent="0.35">
      <c r="A921" t="s">
        <v>35</v>
      </c>
      <c r="B921" t="s">
        <v>34</v>
      </c>
      <c r="C921">
        <v>0</v>
      </c>
    </row>
    <row r="922" spans="1:3" x14ac:dyDescent="0.35">
      <c r="A922" t="s">
        <v>36</v>
      </c>
      <c r="B922" t="s">
        <v>34</v>
      </c>
      <c r="C922">
        <v>0</v>
      </c>
    </row>
    <row r="923" spans="1:3" x14ac:dyDescent="0.35">
      <c r="A923" t="s">
        <v>37</v>
      </c>
      <c r="B923" t="s">
        <v>34</v>
      </c>
      <c r="C923">
        <v>0</v>
      </c>
    </row>
    <row r="924" spans="1:3" x14ac:dyDescent="0.35">
      <c r="A924" t="s">
        <v>38</v>
      </c>
      <c r="B924" t="s">
        <v>34</v>
      </c>
      <c r="C924">
        <v>0</v>
      </c>
    </row>
    <row r="925" spans="1:3" x14ac:dyDescent="0.35">
      <c r="A925" t="s">
        <v>39</v>
      </c>
      <c r="B925" t="s">
        <v>34</v>
      </c>
      <c r="C925">
        <v>0</v>
      </c>
    </row>
    <row r="926" spans="1:3" x14ac:dyDescent="0.35">
      <c r="A926" t="s">
        <v>7</v>
      </c>
      <c r="B926" t="s">
        <v>35</v>
      </c>
      <c r="C926">
        <v>0</v>
      </c>
    </row>
    <row r="927" spans="1:3" x14ac:dyDescent="0.35">
      <c r="A927" t="s">
        <v>8</v>
      </c>
      <c r="B927" t="s">
        <v>35</v>
      </c>
      <c r="C927">
        <v>0</v>
      </c>
    </row>
    <row r="928" spans="1:3" x14ac:dyDescent="0.35">
      <c r="A928" t="s">
        <v>9</v>
      </c>
      <c r="B928" t="s">
        <v>35</v>
      </c>
      <c r="C928">
        <v>0</v>
      </c>
    </row>
    <row r="929" spans="1:3" x14ac:dyDescent="0.35">
      <c r="A929" t="s">
        <v>10</v>
      </c>
      <c r="B929" t="s">
        <v>35</v>
      </c>
      <c r="C929">
        <v>0</v>
      </c>
    </row>
    <row r="930" spans="1:3" x14ac:dyDescent="0.35">
      <c r="A930" t="s">
        <v>11</v>
      </c>
      <c r="B930" t="s">
        <v>35</v>
      </c>
      <c r="C930">
        <v>0</v>
      </c>
    </row>
    <row r="931" spans="1:3" x14ac:dyDescent="0.35">
      <c r="A931" t="s">
        <v>12</v>
      </c>
      <c r="B931" t="s">
        <v>35</v>
      </c>
      <c r="C931">
        <v>0</v>
      </c>
    </row>
    <row r="932" spans="1:3" x14ac:dyDescent="0.35">
      <c r="A932" t="s">
        <v>13</v>
      </c>
      <c r="B932" t="s">
        <v>35</v>
      </c>
      <c r="C932">
        <v>0</v>
      </c>
    </row>
    <row r="933" spans="1:3" x14ac:dyDescent="0.35">
      <c r="A933" t="s">
        <v>14</v>
      </c>
      <c r="B933" t="s">
        <v>35</v>
      </c>
      <c r="C933">
        <v>0</v>
      </c>
    </row>
    <row r="934" spans="1:3" x14ac:dyDescent="0.35">
      <c r="A934" t="s">
        <v>15</v>
      </c>
      <c r="B934" t="s">
        <v>35</v>
      </c>
      <c r="C934">
        <v>0</v>
      </c>
    </row>
    <row r="935" spans="1:3" x14ac:dyDescent="0.35">
      <c r="A935" t="s">
        <v>16</v>
      </c>
      <c r="B935" t="s">
        <v>35</v>
      </c>
      <c r="C935">
        <v>0</v>
      </c>
    </row>
    <row r="936" spans="1:3" x14ac:dyDescent="0.35">
      <c r="A936" t="s">
        <v>17</v>
      </c>
      <c r="B936" t="s">
        <v>35</v>
      </c>
      <c r="C936">
        <v>0</v>
      </c>
    </row>
    <row r="937" spans="1:3" x14ac:dyDescent="0.35">
      <c r="A937" t="s">
        <v>18</v>
      </c>
      <c r="B937" t="s">
        <v>35</v>
      </c>
      <c r="C937">
        <v>0</v>
      </c>
    </row>
    <row r="938" spans="1:3" x14ac:dyDescent="0.35">
      <c r="A938" t="s">
        <v>19</v>
      </c>
      <c r="B938" t="s">
        <v>35</v>
      </c>
      <c r="C938">
        <v>0</v>
      </c>
    </row>
    <row r="939" spans="1:3" x14ac:dyDescent="0.35">
      <c r="A939" t="s">
        <v>20</v>
      </c>
      <c r="B939" t="s">
        <v>35</v>
      </c>
      <c r="C939">
        <v>0</v>
      </c>
    </row>
    <row r="940" spans="1:3" x14ac:dyDescent="0.35">
      <c r="A940" t="s">
        <v>21</v>
      </c>
      <c r="B940" t="s">
        <v>35</v>
      </c>
      <c r="C940">
        <v>0</v>
      </c>
    </row>
    <row r="941" spans="1:3" x14ac:dyDescent="0.35">
      <c r="A941" t="s">
        <v>22</v>
      </c>
      <c r="B941" t="s">
        <v>35</v>
      </c>
      <c r="C941">
        <v>0</v>
      </c>
    </row>
    <row r="942" spans="1:3" x14ac:dyDescent="0.35">
      <c r="A942" t="s">
        <v>23</v>
      </c>
      <c r="B942" t="s">
        <v>35</v>
      </c>
      <c r="C942">
        <v>0</v>
      </c>
    </row>
    <row r="943" spans="1:3" x14ac:dyDescent="0.35">
      <c r="A943" t="s">
        <v>24</v>
      </c>
      <c r="B943" t="s">
        <v>35</v>
      </c>
      <c r="C943">
        <v>0</v>
      </c>
    </row>
    <row r="944" spans="1:3" x14ac:dyDescent="0.35">
      <c r="A944" t="s">
        <v>25</v>
      </c>
      <c r="B944" t="s">
        <v>35</v>
      </c>
      <c r="C944">
        <v>0</v>
      </c>
    </row>
    <row r="945" spans="1:3" x14ac:dyDescent="0.35">
      <c r="A945" t="s">
        <v>26</v>
      </c>
      <c r="B945" t="s">
        <v>35</v>
      </c>
      <c r="C945">
        <v>0</v>
      </c>
    </row>
    <row r="946" spans="1:3" x14ac:dyDescent="0.35">
      <c r="A946" t="s">
        <v>27</v>
      </c>
      <c r="B946" t="s">
        <v>35</v>
      </c>
      <c r="C946">
        <v>0</v>
      </c>
    </row>
    <row r="947" spans="1:3" x14ac:dyDescent="0.35">
      <c r="A947" t="s">
        <v>28</v>
      </c>
      <c r="B947" t="s">
        <v>35</v>
      </c>
      <c r="C947">
        <v>0</v>
      </c>
    </row>
    <row r="948" spans="1:3" x14ac:dyDescent="0.35">
      <c r="A948" t="s">
        <v>29</v>
      </c>
      <c r="B948" t="s">
        <v>35</v>
      </c>
      <c r="C948">
        <v>0</v>
      </c>
    </row>
    <row r="949" spans="1:3" x14ac:dyDescent="0.35">
      <c r="A949" t="s">
        <v>30</v>
      </c>
      <c r="B949" t="s">
        <v>35</v>
      </c>
      <c r="C949">
        <v>0</v>
      </c>
    </row>
    <row r="950" spans="1:3" x14ac:dyDescent="0.35">
      <c r="A950" t="s">
        <v>31</v>
      </c>
      <c r="B950" t="s">
        <v>35</v>
      </c>
      <c r="C950">
        <v>0</v>
      </c>
    </row>
    <row r="951" spans="1:3" x14ac:dyDescent="0.35">
      <c r="A951" t="s">
        <v>32</v>
      </c>
      <c r="B951" t="s">
        <v>35</v>
      </c>
      <c r="C951">
        <v>0</v>
      </c>
    </row>
    <row r="952" spans="1:3" x14ac:dyDescent="0.35">
      <c r="A952" t="s">
        <v>33</v>
      </c>
      <c r="B952" t="s">
        <v>35</v>
      </c>
      <c r="C952">
        <v>0</v>
      </c>
    </row>
    <row r="953" spans="1:3" x14ac:dyDescent="0.35">
      <c r="A953" t="s">
        <v>34</v>
      </c>
      <c r="B953" t="s">
        <v>35</v>
      </c>
      <c r="C953">
        <v>0</v>
      </c>
    </row>
    <row r="954" spans="1:3" x14ac:dyDescent="0.35">
      <c r="A954" t="s">
        <v>35</v>
      </c>
      <c r="B954" t="s">
        <v>35</v>
      </c>
      <c r="C954">
        <v>48821.366518956798</v>
      </c>
    </row>
    <row r="955" spans="1:3" x14ac:dyDescent="0.35">
      <c r="A955" t="s">
        <v>36</v>
      </c>
      <c r="B955" t="s">
        <v>35</v>
      </c>
      <c r="C955">
        <v>0</v>
      </c>
    </row>
    <row r="956" spans="1:3" x14ac:dyDescent="0.35">
      <c r="A956" t="s">
        <v>37</v>
      </c>
      <c r="B956" t="s">
        <v>35</v>
      </c>
      <c r="C956">
        <v>0</v>
      </c>
    </row>
    <row r="957" spans="1:3" x14ac:dyDescent="0.35">
      <c r="A957" t="s">
        <v>38</v>
      </c>
      <c r="B957" t="s">
        <v>35</v>
      </c>
      <c r="C957">
        <v>0</v>
      </c>
    </row>
    <row r="958" spans="1:3" x14ac:dyDescent="0.35">
      <c r="A958" t="s">
        <v>39</v>
      </c>
      <c r="B958" t="s">
        <v>35</v>
      </c>
      <c r="C958">
        <v>0</v>
      </c>
    </row>
    <row r="959" spans="1:3" x14ac:dyDescent="0.35">
      <c r="A959" t="s">
        <v>7</v>
      </c>
      <c r="B959" t="s">
        <v>36</v>
      </c>
      <c r="C959">
        <v>0</v>
      </c>
    </row>
    <row r="960" spans="1:3" x14ac:dyDescent="0.35">
      <c r="A960" t="s">
        <v>8</v>
      </c>
      <c r="B960" t="s">
        <v>36</v>
      </c>
      <c r="C960">
        <v>0</v>
      </c>
    </row>
    <row r="961" spans="1:3" x14ac:dyDescent="0.35">
      <c r="A961" t="s">
        <v>9</v>
      </c>
      <c r="B961" t="s">
        <v>36</v>
      </c>
      <c r="C961">
        <v>0</v>
      </c>
    </row>
    <row r="962" spans="1:3" x14ac:dyDescent="0.35">
      <c r="A962" t="s">
        <v>10</v>
      </c>
      <c r="B962" t="s">
        <v>36</v>
      </c>
      <c r="C962">
        <v>0</v>
      </c>
    </row>
    <row r="963" spans="1:3" x14ac:dyDescent="0.35">
      <c r="A963" t="s">
        <v>11</v>
      </c>
      <c r="B963" t="s">
        <v>36</v>
      </c>
      <c r="C963">
        <v>0</v>
      </c>
    </row>
    <row r="964" spans="1:3" x14ac:dyDescent="0.35">
      <c r="A964" t="s">
        <v>12</v>
      </c>
      <c r="B964" t="s">
        <v>36</v>
      </c>
      <c r="C964">
        <v>0</v>
      </c>
    </row>
    <row r="965" spans="1:3" x14ac:dyDescent="0.35">
      <c r="A965" t="s">
        <v>13</v>
      </c>
      <c r="B965" t="s">
        <v>36</v>
      </c>
      <c r="C965">
        <v>0</v>
      </c>
    </row>
    <row r="966" spans="1:3" x14ac:dyDescent="0.35">
      <c r="A966" t="s">
        <v>14</v>
      </c>
      <c r="B966" t="s">
        <v>36</v>
      </c>
      <c r="C966">
        <v>0</v>
      </c>
    </row>
    <row r="967" spans="1:3" x14ac:dyDescent="0.35">
      <c r="A967" t="s">
        <v>15</v>
      </c>
      <c r="B967" t="s">
        <v>36</v>
      </c>
      <c r="C967">
        <v>0</v>
      </c>
    </row>
    <row r="968" spans="1:3" x14ac:dyDescent="0.35">
      <c r="A968" t="s">
        <v>16</v>
      </c>
      <c r="B968" t="s">
        <v>36</v>
      </c>
      <c r="C968">
        <v>0</v>
      </c>
    </row>
    <row r="969" spans="1:3" x14ac:dyDescent="0.35">
      <c r="A969" t="s">
        <v>17</v>
      </c>
      <c r="B969" t="s">
        <v>36</v>
      </c>
      <c r="C969">
        <v>0</v>
      </c>
    </row>
    <row r="970" spans="1:3" x14ac:dyDescent="0.35">
      <c r="A970" t="s">
        <v>18</v>
      </c>
      <c r="B970" t="s">
        <v>36</v>
      </c>
      <c r="C970">
        <v>0</v>
      </c>
    </row>
    <row r="971" spans="1:3" x14ac:dyDescent="0.35">
      <c r="A971" t="s">
        <v>19</v>
      </c>
      <c r="B971" t="s">
        <v>36</v>
      </c>
      <c r="C971">
        <v>0</v>
      </c>
    </row>
    <row r="972" spans="1:3" x14ac:dyDescent="0.35">
      <c r="A972" t="s">
        <v>20</v>
      </c>
      <c r="B972" t="s">
        <v>36</v>
      </c>
      <c r="C972">
        <v>0</v>
      </c>
    </row>
    <row r="973" spans="1:3" x14ac:dyDescent="0.35">
      <c r="A973" t="s">
        <v>21</v>
      </c>
      <c r="B973" t="s">
        <v>36</v>
      </c>
      <c r="C973">
        <v>0</v>
      </c>
    </row>
    <row r="974" spans="1:3" x14ac:dyDescent="0.35">
      <c r="A974" t="s">
        <v>22</v>
      </c>
      <c r="B974" t="s">
        <v>36</v>
      </c>
      <c r="C974">
        <v>0</v>
      </c>
    </row>
    <row r="975" spans="1:3" x14ac:dyDescent="0.35">
      <c r="A975" t="s">
        <v>23</v>
      </c>
      <c r="B975" t="s">
        <v>36</v>
      </c>
      <c r="C975">
        <v>0</v>
      </c>
    </row>
    <row r="976" spans="1:3" x14ac:dyDescent="0.35">
      <c r="A976" t="s">
        <v>24</v>
      </c>
      <c r="B976" t="s">
        <v>36</v>
      </c>
      <c r="C976">
        <v>0</v>
      </c>
    </row>
    <row r="977" spans="1:3" x14ac:dyDescent="0.35">
      <c r="A977" t="s">
        <v>25</v>
      </c>
      <c r="B977" t="s">
        <v>36</v>
      </c>
      <c r="C977">
        <v>0</v>
      </c>
    </row>
    <row r="978" spans="1:3" x14ac:dyDescent="0.35">
      <c r="A978" t="s">
        <v>26</v>
      </c>
      <c r="B978" t="s">
        <v>36</v>
      </c>
      <c r="C978">
        <v>0</v>
      </c>
    </row>
    <row r="979" spans="1:3" x14ac:dyDescent="0.35">
      <c r="A979" t="s">
        <v>27</v>
      </c>
      <c r="B979" t="s">
        <v>36</v>
      </c>
      <c r="C979">
        <v>0</v>
      </c>
    </row>
    <row r="980" spans="1:3" x14ac:dyDescent="0.35">
      <c r="A980" t="s">
        <v>28</v>
      </c>
      <c r="B980" t="s">
        <v>36</v>
      </c>
      <c r="C980">
        <v>0</v>
      </c>
    </row>
    <row r="981" spans="1:3" x14ac:dyDescent="0.35">
      <c r="A981" t="s">
        <v>29</v>
      </c>
      <c r="B981" t="s">
        <v>36</v>
      </c>
      <c r="C981">
        <v>0</v>
      </c>
    </row>
    <row r="982" spans="1:3" x14ac:dyDescent="0.35">
      <c r="A982" t="s">
        <v>30</v>
      </c>
      <c r="B982" t="s">
        <v>36</v>
      </c>
      <c r="C982">
        <v>0</v>
      </c>
    </row>
    <row r="983" spans="1:3" x14ac:dyDescent="0.35">
      <c r="A983" t="s">
        <v>31</v>
      </c>
      <c r="B983" t="s">
        <v>36</v>
      </c>
      <c r="C983">
        <v>0</v>
      </c>
    </row>
    <row r="984" spans="1:3" x14ac:dyDescent="0.35">
      <c r="A984" t="s">
        <v>32</v>
      </c>
      <c r="B984" t="s">
        <v>36</v>
      </c>
      <c r="C984">
        <v>0</v>
      </c>
    </row>
    <row r="985" spans="1:3" x14ac:dyDescent="0.35">
      <c r="A985" t="s">
        <v>33</v>
      </c>
      <c r="B985" t="s">
        <v>36</v>
      </c>
      <c r="C985">
        <v>0</v>
      </c>
    </row>
    <row r="986" spans="1:3" x14ac:dyDescent="0.35">
      <c r="A986" t="s">
        <v>34</v>
      </c>
      <c r="B986" t="s">
        <v>36</v>
      </c>
      <c r="C986">
        <v>0</v>
      </c>
    </row>
    <row r="987" spans="1:3" x14ac:dyDescent="0.35">
      <c r="A987" t="s">
        <v>35</v>
      </c>
      <c r="B987" t="s">
        <v>36</v>
      </c>
      <c r="C987">
        <v>0</v>
      </c>
    </row>
    <row r="988" spans="1:3" x14ac:dyDescent="0.35">
      <c r="A988" t="s">
        <v>36</v>
      </c>
      <c r="B988" t="s">
        <v>36</v>
      </c>
      <c r="C988">
        <v>12497.736973482994</v>
      </c>
    </row>
    <row r="989" spans="1:3" x14ac:dyDescent="0.35">
      <c r="A989" t="s">
        <v>37</v>
      </c>
      <c r="B989" t="s">
        <v>36</v>
      </c>
      <c r="C989">
        <v>0</v>
      </c>
    </row>
    <row r="990" spans="1:3" x14ac:dyDescent="0.35">
      <c r="A990" t="s">
        <v>38</v>
      </c>
      <c r="B990" t="s">
        <v>36</v>
      </c>
      <c r="C990">
        <v>0</v>
      </c>
    </row>
    <row r="991" spans="1:3" x14ac:dyDescent="0.35">
      <c r="A991" t="s">
        <v>39</v>
      </c>
      <c r="B991" t="s">
        <v>36</v>
      </c>
      <c r="C991">
        <v>0</v>
      </c>
    </row>
    <row r="992" spans="1:3" x14ac:dyDescent="0.35">
      <c r="A992" t="s">
        <v>7</v>
      </c>
      <c r="B992" t="s">
        <v>37</v>
      </c>
      <c r="C992">
        <v>0</v>
      </c>
    </row>
    <row r="993" spans="1:3" x14ac:dyDescent="0.35">
      <c r="A993" t="s">
        <v>8</v>
      </c>
      <c r="B993" t="s">
        <v>37</v>
      </c>
      <c r="C993">
        <v>0</v>
      </c>
    </row>
    <row r="994" spans="1:3" x14ac:dyDescent="0.35">
      <c r="A994" t="s">
        <v>9</v>
      </c>
      <c r="B994" t="s">
        <v>37</v>
      </c>
      <c r="C994">
        <v>0</v>
      </c>
    </row>
    <row r="995" spans="1:3" x14ac:dyDescent="0.35">
      <c r="A995" t="s">
        <v>10</v>
      </c>
      <c r="B995" t="s">
        <v>37</v>
      </c>
      <c r="C995">
        <v>0</v>
      </c>
    </row>
    <row r="996" spans="1:3" x14ac:dyDescent="0.35">
      <c r="A996" t="s">
        <v>11</v>
      </c>
      <c r="B996" t="s">
        <v>37</v>
      </c>
      <c r="C996">
        <v>0</v>
      </c>
    </row>
    <row r="997" spans="1:3" x14ac:dyDescent="0.35">
      <c r="A997" t="s">
        <v>12</v>
      </c>
      <c r="B997" t="s">
        <v>37</v>
      </c>
      <c r="C997">
        <v>0</v>
      </c>
    </row>
    <row r="998" spans="1:3" x14ac:dyDescent="0.35">
      <c r="A998" t="s">
        <v>13</v>
      </c>
      <c r="B998" t="s">
        <v>37</v>
      </c>
      <c r="C998">
        <v>0</v>
      </c>
    </row>
    <row r="999" spans="1:3" x14ac:dyDescent="0.35">
      <c r="A999" t="s">
        <v>14</v>
      </c>
      <c r="B999" t="s">
        <v>37</v>
      </c>
      <c r="C999">
        <v>0</v>
      </c>
    </row>
    <row r="1000" spans="1:3" x14ac:dyDescent="0.35">
      <c r="A1000" t="s">
        <v>15</v>
      </c>
      <c r="B1000" t="s">
        <v>37</v>
      </c>
      <c r="C1000">
        <v>0</v>
      </c>
    </row>
    <row r="1001" spans="1:3" x14ac:dyDescent="0.35">
      <c r="A1001" t="s">
        <v>16</v>
      </c>
      <c r="B1001" t="s">
        <v>37</v>
      </c>
      <c r="C1001">
        <v>0</v>
      </c>
    </row>
    <row r="1002" spans="1:3" x14ac:dyDescent="0.35">
      <c r="A1002" t="s">
        <v>17</v>
      </c>
      <c r="B1002" t="s">
        <v>37</v>
      </c>
      <c r="C1002">
        <v>0</v>
      </c>
    </row>
    <row r="1003" spans="1:3" x14ac:dyDescent="0.35">
      <c r="A1003" t="s">
        <v>18</v>
      </c>
      <c r="B1003" t="s">
        <v>37</v>
      </c>
      <c r="C1003">
        <v>0</v>
      </c>
    </row>
    <row r="1004" spans="1:3" x14ac:dyDescent="0.35">
      <c r="A1004" t="s">
        <v>19</v>
      </c>
      <c r="B1004" t="s">
        <v>37</v>
      </c>
      <c r="C1004">
        <v>0</v>
      </c>
    </row>
    <row r="1005" spans="1:3" x14ac:dyDescent="0.35">
      <c r="A1005" t="s">
        <v>20</v>
      </c>
      <c r="B1005" t="s">
        <v>37</v>
      </c>
      <c r="C1005">
        <v>0</v>
      </c>
    </row>
    <row r="1006" spans="1:3" x14ac:dyDescent="0.35">
      <c r="A1006" t="s">
        <v>21</v>
      </c>
      <c r="B1006" t="s">
        <v>37</v>
      </c>
      <c r="C1006">
        <v>0</v>
      </c>
    </row>
    <row r="1007" spans="1:3" x14ac:dyDescent="0.35">
      <c r="A1007" t="s">
        <v>22</v>
      </c>
      <c r="B1007" t="s">
        <v>37</v>
      </c>
      <c r="C1007">
        <v>0</v>
      </c>
    </row>
    <row r="1008" spans="1:3" x14ac:dyDescent="0.35">
      <c r="A1008" t="s">
        <v>23</v>
      </c>
      <c r="B1008" t="s">
        <v>37</v>
      </c>
      <c r="C1008">
        <v>0</v>
      </c>
    </row>
    <row r="1009" spans="1:3" x14ac:dyDescent="0.35">
      <c r="A1009" t="s">
        <v>24</v>
      </c>
      <c r="B1009" t="s">
        <v>37</v>
      </c>
      <c r="C1009">
        <v>0</v>
      </c>
    </row>
    <row r="1010" spans="1:3" x14ac:dyDescent="0.35">
      <c r="A1010" t="s">
        <v>25</v>
      </c>
      <c r="B1010" t="s">
        <v>37</v>
      </c>
      <c r="C1010">
        <v>0</v>
      </c>
    </row>
    <row r="1011" spans="1:3" x14ac:dyDescent="0.35">
      <c r="A1011" t="s">
        <v>26</v>
      </c>
      <c r="B1011" t="s">
        <v>37</v>
      </c>
      <c r="C1011">
        <v>0</v>
      </c>
    </row>
    <row r="1012" spans="1:3" x14ac:dyDescent="0.35">
      <c r="A1012" t="s">
        <v>27</v>
      </c>
      <c r="B1012" t="s">
        <v>37</v>
      </c>
      <c r="C1012">
        <v>0</v>
      </c>
    </row>
    <row r="1013" spans="1:3" x14ac:dyDescent="0.35">
      <c r="A1013" t="s">
        <v>28</v>
      </c>
      <c r="B1013" t="s">
        <v>37</v>
      </c>
      <c r="C1013">
        <v>0</v>
      </c>
    </row>
    <row r="1014" spans="1:3" x14ac:dyDescent="0.35">
      <c r="A1014" t="s">
        <v>29</v>
      </c>
      <c r="B1014" t="s">
        <v>37</v>
      </c>
      <c r="C1014">
        <v>0</v>
      </c>
    </row>
    <row r="1015" spans="1:3" x14ac:dyDescent="0.35">
      <c r="A1015" t="s">
        <v>30</v>
      </c>
      <c r="B1015" t="s">
        <v>37</v>
      </c>
      <c r="C1015">
        <v>0</v>
      </c>
    </row>
    <row r="1016" spans="1:3" x14ac:dyDescent="0.35">
      <c r="A1016" t="s">
        <v>31</v>
      </c>
      <c r="B1016" t="s">
        <v>37</v>
      </c>
      <c r="C1016">
        <v>0</v>
      </c>
    </row>
    <row r="1017" spans="1:3" x14ac:dyDescent="0.35">
      <c r="A1017" t="s">
        <v>32</v>
      </c>
      <c r="B1017" t="s">
        <v>37</v>
      </c>
      <c r="C1017">
        <v>0</v>
      </c>
    </row>
    <row r="1018" spans="1:3" x14ac:dyDescent="0.35">
      <c r="A1018" t="s">
        <v>33</v>
      </c>
      <c r="B1018" t="s">
        <v>37</v>
      </c>
      <c r="C1018">
        <v>0</v>
      </c>
    </row>
    <row r="1019" spans="1:3" x14ac:dyDescent="0.35">
      <c r="A1019" t="s">
        <v>34</v>
      </c>
      <c r="B1019" t="s">
        <v>37</v>
      </c>
      <c r="C1019">
        <v>0</v>
      </c>
    </row>
    <row r="1020" spans="1:3" x14ac:dyDescent="0.35">
      <c r="A1020" t="s">
        <v>35</v>
      </c>
      <c r="B1020" t="s">
        <v>37</v>
      </c>
      <c r="C1020">
        <v>0</v>
      </c>
    </row>
    <row r="1021" spans="1:3" x14ac:dyDescent="0.35">
      <c r="A1021" t="s">
        <v>36</v>
      </c>
      <c r="B1021" t="s">
        <v>37</v>
      </c>
      <c r="C1021">
        <v>0</v>
      </c>
    </row>
    <row r="1022" spans="1:3" x14ac:dyDescent="0.35">
      <c r="A1022" t="s">
        <v>37</v>
      </c>
      <c r="B1022" t="s">
        <v>37</v>
      </c>
      <c r="C1022">
        <v>11654.900466501786</v>
      </c>
    </row>
    <row r="1023" spans="1:3" x14ac:dyDescent="0.35">
      <c r="A1023" t="s">
        <v>38</v>
      </c>
      <c r="B1023" t="s">
        <v>37</v>
      </c>
      <c r="C1023">
        <v>0</v>
      </c>
    </row>
    <row r="1024" spans="1:3" x14ac:dyDescent="0.35">
      <c r="A1024" t="s">
        <v>39</v>
      </c>
      <c r="B1024" t="s">
        <v>37</v>
      </c>
      <c r="C1024">
        <v>0</v>
      </c>
    </row>
    <row r="1025" spans="1:3" x14ac:dyDescent="0.35">
      <c r="A1025" t="s">
        <v>7</v>
      </c>
      <c r="B1025" t="s">
        <v>38</v>
      </c>
      <c r="C1025">
        <v>0</v>
      </c>
    </row>
    <row r="1026" spans="1:3" x14ac:dyDescent="0.35">
      <c r="A1026" t="s">
        <v>8</v>
      </c>
      <c r="B1026" t="s">
        <v>38</v>
      </c>
      <c r="C1026">
        <v>0</v>
      </c>
    </row>
    <row r="1027" spans="1:3" x14ac:dyDescent="0.35">
      <c r="A1027" t="s">
        <v>9</v>
      </c>
      <c r="B1027" t="s">
        <v>38</v>
      </c>
      <c r="C1027">
        <v>0</v>
      </c>
    </row>
    <row r="1028" spans="1:3" x14ac:dyDescent="0.35">
      <c r="A1028" t="s">
        <v>10</v>
      </c>
      <c r="B1028" t="s">
        <v>38</v>
      </c>
      <c r="C1028">
        <v>0</v>
      </c>
    </row>
    <row r="1029" spans="1:3" x14ac:dyDescent="0.35">
      <c r="A1029" t="s">
        <v>11</v>
      </c>
      <c r="B1029" t="s">
        <v>38</v>
      </c>
      <c r="C1029">
        <v>0</v>
      </c>
    </row>
    <row r="1030" spans="1:3" x14ac:dyDescent="0.35">
      <c r="A1030" t="s">
        <v>12</v>
      </c>
      <c r="B1030" t="s">
        <v>38</v>
      </c>
      <c r="C1030">
        <v>0</v>
      </c>
    </row>
    <row r="1031" spans="1:3" x14ac:dyDescent="0.35">
      <c r="A1031" t="s">
        <v>13</v>
      </c>
      <c r="B1031" t="s">
        <v>38</v>
      </c>
      <c r="C1031">
        <v>0</v>
      </c>
    </row>
    <row r="1032" spans="1:3" x14ac:dyDescent="0.35">
      <c r="A1032" t="s">
        <v>14</v>
      </c>
      <c r="B1032" t="s">
        <v>38</v>
      </c>
      <c r="C1032">
        <v>0</v>
      </c>
    </row>
    <row r="1033" spans="1:3" x14ac:dyDescent="0.35">
      <c r="A1033" t="s">
        <v>15</v>
      </c>
      <c r="B1033" t="s">
        <v>38</v>
      </c>
      <c r="C1033">
        <v>0</v>
      </c>
    </row>
    <row r="1034" spans="1:3" x14ac:dyDescent="0.35">
      <c r="A1034" t="s">
        <v>16</v>
      </c>
      <c r="B1034" t="s">
        <v>38</v>
      </c>
      <c r="C1034">
        <v>0</v>
      </c>
    </row>
    <row r="1035" spans="1:3" x14ac:dyDescent="0.35">
      <c r="A1035" t="s">
        <v>17</v>
      </c>
      <c r="B1035" t="s">
        <v>38</v>
      </c>
      <c r="C1035">
        <v>0</v>
      </c>
    </row>
    <row r="1036" spans="1:3" x14ac:dyDescent="0.35">
      <c r="A1036" t="s">
        <v>18</v>
      </c>
      <c r="B1036" t="s">
        <v>38</v>
      </c>
      <c r="C1036">
        <v>0</v>
      </c>
    </row>
    <row r="1037" spans="1:3" x14ac:dyDescent="0.35">
      <c r="A1037" t="s">
        <v>19</v>
      </c>
      <c r="B1037" t="s">
        <v>38</v>
      </c>
      <c r="C1037">
        <v>0</v>
      </c>
    </row>
    <row r="1038" spans="1:3" x14ac:dyDescent="0.35">
      <c r="A1038" t="s">
        <v>20</v>
      </c>
      <c r="B1038" t="s">
        <v>38</v>
      </c>
      <c r="C1038">
        <v>0</v>
      </c>
    </row>
    <row r="1039" spans="1:3" x14ac:dyDescent="0.35">
      <c r="A1039" t="s">
        <v>21</v>
      </c>
      <c r="B1039" t="s">
        <v>38</v>
      </c>
      <c r="C1039">
        <v>0</v>
      </c>
    </row>
    <row r="1040" spans="1:3" x14ac:dyDescent="0.35">
      <c r="A1040" t="s">
        <v>22</v>
      </c>
      <c r="B1040" t="s">
        <v>38</v>
      </c>
      <c r="C1040">
        <v>0</v>
      </c>
    </row>
    <row r="1041" spans="1:3" x14ac:dyDescent="0.35">
      <c r="A1041" t="s">
        <v>23</v>
      </c>
      <c r="B1041" t="s">
        <v>38</v>
      </c>
      <c r="C1041">
        <v>0</v>
      </c>
    </row>
    <row r="1042" spans="1:3" x14ac:dyDescent="0.35">
      <c r="A1042" t="s">
        <v>24</v>
      </c>
      <c r="B1042" t="s">
        <v>38</v>
      </c>
      <c r="C1042">
        <v>0</v>
      </c>
    </row>
    <row r="1043" spans="1:3" x14ac:dyDescent="0.35">
      <c r="A1043" t="s">
        <v>25</v>
      </c>
      <c r="B1043" t="s">
        <v>38</v>
      </c>
      <c r="C1043">
        <v>0</v>
      </c>
    </row>
    <row r="1044" spans="1:3" x14ac:dyDescent="0.35">
      <c r="A1044" t="s">
        <v>26</v>
      </c>
      <c r="B1044" t="s">
        <v>38</v>
      </c>
      <c r="C1044">
        <v>0</v>
      </c>
    </row>
    <row r="1045" spans="1:3" x14ac:dyDescent="0.35">
      <c r="A1045" t="s">
        <v>27</v>
      </c>
      <c r="B1045" t="s">
        <v>38</v>
      </c>
      <c r="C1045">
        <v>0</v>
      </c>
    </row>
    <row r="1046" spans="1:3" x14ac:dyDescent="0.35">
      <c r="A1046" t="s">
        <v>28</v>
      </c>
      <c r="B1046" t="s">
        <v>38</v>
      </c>
      <c r="C1046">
        <v>0</v>
      </c>
    </row>
    <row r="1047" spans="1:3" x14ac:dyDescent="0.35">
      <c r="A1047" t="s">
        <v>29</v>
      </c>
      <c r="B1047" t="s">
        <v>38</v>
      </c>
      <c r="C1047">
        <v>0</v>
      </c>
    </row>
    <row r="1048" spans="1:3" x14ac:dyDescent="0.35">
      <c r="A1048" t="s">
        <v>30</v>
      </c>
      <c r="B1048" t="s">
        <v>38</v>
      </c>
      <c r="C1048">
        <v>0</v>
      </c>
    </row>
    <row r="1049" spans="1:3" x14ac:dyDescent="0.35">
      <c r="A1049" t="s">
        <v>31</v>
      </c>
      <c r="B1049" t="s">
        <v>38</v>
      </c>
      <c r="C1049">
        <v>0</v>
      </c>
    </row>
    <row r="1050" spans="1:3" x14ac:dyDescent="0.35">
      <c r="A1050" t="s">
        <v>32</v>
      </c>
      <c r="B1050" t="s">
        <v>38</v>
      </c>
      <c r="C1050">
        <v>0</v>
      </c>
    </row>
    <row r="1051" spans="1:3" x14ac:dyDescent="0.35">
      <c r="A1051" t="s">
        <v>33</v>
      </c>
      <c r="B1051" t="s">
        <v>38</v>
      </c>
      <c r="C1051">
        <v>0</v>
      </c>
    </row>
    <row r="1052" spans="1:3" x14ac:dyDescent="0.35">
      <c r="A1052" t="s">
        <v>34</v>
      </c>
      <c r="B1052" t="s">
        <v>38</v>
      </c>
      <c r="C1052">
        <v>0</v>
      </c>
    </row>
    <row r="1053" spans="1:3" x14ac:dyDescent="0.35">
      <c r="A1053" t="s">
        <v>35</v>
      </c>
      <c r="B1053" t="s">
        <v>38</v>
      </c>
      <c r="C1053">
        <v>0</v>
      </c>
    </row>
    <row r="1054" spans="1:3" x14ac:dyDescent="0.35">
      <c r="A1054" t="s">
        <v>36</v>
      </c>
      <c r="B1054" t="s">
        <v>38</v>
      </c>
      <c r="C1054">
        <v>0</v>
      </c>
    </row>
    <row r="1055" spans="1:3" x14ac:dyDescent="0.35">
      <c r="A1055" t="s">
        <v>37</v>
      </c>
      <c r="B1055" t="s">
        <v>38</v>
      </c>
      <c r="C1055">
        <v>0</v>
      </c>
    </row>
    <row r="1056" spans="1:3" x14ac:dyDescent="0.35">
      <c r="A1056" t="s">
        <v>38</v>
      </c>
      <c r="B1056" t="s">
        <v>38</v>
      </c>
      <c r="C1056">
        <v>7820.8397258647346</v>
      </c>
    </row>
    <row r="1057" spans="1:3" x14ac:dyDescent="0.35">
      <c r="A1057" t="s">
        <v>39</v>
      </c>
      <c r="B1057" t="s">
        <v>38</v>
      </c>
      <c r="C1057">
        <v>0</v>
      </c>
    </row>
    <row r="1058" spans="1:3" x14ac:dyDescent="0.35">
      <c r="A1058" t="s">
        <v>7</v>
      </c>
      <c r="B1058" t="s">
        <v>39</v>
      </c>
      <c r="C1058">
        <v>0</v>
      </c>
    </row>
    <row r="1059" spans="1:3" x14ac:dyDescent="0.35">
      <c r="A1059" t="s">
        <v>8</v>
      </c>
      <c r="B1059" t="s">
        <v>39</v>
      </c>
      <c r="C1059">
        <v>0</v>
      </c>
    </row>
    <row r="1060" spans="1:3" x14ac:dyDescent="0.35">
      <c r="A1060" t="s">
        <v>9</v>
      </c>
      <c r="B1060" t="s">
        <v>39</v>
      </c>
      <c r="C1060">
        <v>0</v>
      </c>
    </row>
    <row r="1061" spans="1:3" x14ac:dyDescent="0.35">
      <c r="A1061" t="s">
        <v>10</v>
      </c>
      <c r="B1061" t="s">
        <v>39</v>
      </c>
      <c r="C1061">
        <v>0</v>
      </c>
    </row>
    <row r="1062" spans="1:3" x14ac:dyDescent="0.35">
      <c r="A1062" t="s">
        <v>11</v>
      </c>
      <c r="B1062" t="s">
        <v>39</v>
      </c>
      <c r="C1062">
        <v>0</v>
      </c>
    </row>
    <row r="1063" spans="1:3" x14ac:dyDescent="0.35">
      <c r="A1063" t="s">
        <v>12</v>
      </c>
      <c r="B1063" t="s">
        <v>39</v>
      </c>
      <c r="C1063">
        <v>0</v>
      </c>
    </row>
    <row r="1064" spans="1:3" x14ac:dyDescent="0.35">
      <c r="A1064" t="s">
        <v>13</v>
      </c>
      <c r="B1064" t="s">
        <v>39</v>
      </c>
      <c r="C1064">
        <v>0</v>
      </c>
    </row>
    <row r="1065" spans="1:3" x14ac:dyDescent="0.35">
      <c r="A1065" t="s">
        <v>14</v>
      </c>
      <c r="B1065" t="s">
        <v>39</v>
      </c>
      <c r="C1065">
        <v>0</v>
      </c>
    </row>
    <row r="1066" spans="1:3" x14ac:dyDescent="0.35">
      <c r="A1066" t="s">
        <v>15</v>
      </c>
      <c r="B1066" t="s">
        <v>39</v>
      </c>
      <c r="C1066">
        <v>0</v>
      </c>
    </row>
    <row r="1067" spans="1:3" x14ac:dyDescent="0.35">
      <c r="A1067" t="s">
        <v>16</v>
      </c>
      <c r="B1067" t="s">
        <v>39</v>
      </c>
      <c r="C1067">
        <v>0</v>
      </c>
    </row>
    <row r="1068" spans="1:3" x14ac:dyDescent="0.35">
      <c r="A1068" t="s">
        <v>17</v>
      </c>
      <c r="B1068" t="s">
        <v>39</v>
      </c>
      <c r="C1068">
        <v>0</v>
      </c>
    </row>
    <row r="1069" spans="1:3" x14ac:dyDescent="0.35">
      <c r="A1069" t="s">
        <v>18</v>
      </c>
      <c r="B1069" t="s">
        <v>39</v>
      </c>
      <c r="C1069">
        <v>0</v>
      </c>
    </row>
    <row r="1070" spans="1:3" x14ac:dyDescent="0.35">
      <c r="A1070" t="s">
        <v>19</v>
      </c>
      <c r="B1070" t="s">
        <v>39</v>
      </c>
      <c r="C1070">
        <v>0</v>
      </c>
    </row>
    <row r="1071" spans="1:3" x14ac:dyDescent="0.35">
      <c r="A1071" t="s">
        <v>20</v>
      </c>
      <c r="B1071" t="s">
        <v>39</v>
      </c>
      <c r="C1071">
        <v>0</v>
      </c>
    </row>
    <row r="1072" spans="1:3" x14ac:dyDescent="0.35">
      <c r="A1072" t="s">
        <v>21</v>
      </c>
      <c r="B1072" t="s">
        <v>39</v>
      </c>
      <c r="C1072">
        <v>0</v>
      </c>
    </row>
    <row r="1073" spans="1:3" x14ac:dyDescent="0.35">
      <c r="A1073" t="s">
        <v>22</v>
      </c>
      <c r="B1073" t="s">
        <v>39</v>
      </c>
      <c r="C1073">
        <v>0</v>
      </c>
    </row>
    <row r="1074" spans="1:3" x14ac:dyDescent="0.35">
      <c r="A1074" t="s">
        <v>23</v>
      </c>
      <c r="B1074" t="s">
        <v>39</v>
      </c>
      <c r="C1074">
        <v>0</v>
      </c>
    </row>
    <row r="1075" spans="1:3" x14ac:dyDescent="0.35">
      <c r="A1075" t="s">
        <v>24</v>
      </c>
      <c r="B1075" t="s">
        <v>39</v>
      </c>
      <c r="C1075">
        <v>0</v>
      </c>
    </row>
    <row r="1076" spans="1:3" x14ac:dyDescent="0.35">
      <c r="A1076" t="s">
        <v>25</v>
      </c>
      <c r="B1076" t="s">
        <v>39</v>
      </c>
      <c r="C1076">
        <v>0</v>
      </c>
    </row>
    <row r="1077" spans="1:3" x14ac:dyDescent="0.35">
      <c r="A1077" t="s">
        <v>26</v>
      </c>
      <c r="B1077" t="s">
        <v>39</v>
      </c>
      <c r="C1077">
        <v>0</v>
      </c>
    </row>
    <row r="1078" spans="1:3" x14ac:dyDescent="0.35">
      <c r="A1078" t="s">
        <v>27</v>
      </c>
      <c r="B1078" t="s">
        <v>39</v>
      </c>
      <c r="C1078">
        <v>0</v>
      </c>
    </row>
    <row r="1079" spans="1:3" x14ac:dyDescent="0.35">
      <c r="A1079" t="s">
        <v>28</v>
      </c>
      <c r="B1079" t="s">
        <v>39</v>
      </c>
      <c r="C1079">
        <v>0</v>
      </c>
    </row>
    <row r="1080" spans="1:3" x14ac:dyDescent="0.35">
      <c r="A1080" t="s">
        <v>29</v>
      </c>
      <c r="B1080" t="s">
        <v>39</v>
      </c>
      <c r="C1080">
        <v>0</v>
      </c>
    </row>
    <row r="1081" spans="1:3" x14ac:dyDescent="0.35">
      <c r="A1081" t="s">
        <v>30</v>
      </c>
      <c r="B1081" t="s">
        <v>39</v>
      </c>
      <c r="C1081">
        <v>0</v>
      </c>
    </row>
    <row r="1082" spans="1:3" x14ac:dyDescent="0.35">
      <c r="A1082" t="s">
        <v>31</v>
      </c>
      <c r="B1082" t="s">
        <v>39</v>
      </c>
      <c r="C1082">
        <v>0</v>
      </c>
    </row>
    <row r="1083" spans="1:3" x14ac:dyDescent="0.35">
      <c r="A1083" t="s">
        <v>32</v>
      </c>
      <c r="B1083" t="s">
        <v>39</v>
      </c>
      <c r="C1083">
        <v>0</v>
      </c>
    </row>
    <row r="1084" spans="1:3" x14ac:dyDescent="0.35">
      <c r="A1084" t="s">
        <v>33</v>
      </c>
      <c r="B1084" t="s">
        <v>39</v>
      </c>
      <c r="C1084">
        <v>0</v>
      </c>
    </row>
    <row r="1085" spans="1:3" x14ac:dyDescent="0.35">
      <c r="A1085" t="s">
        <v>34</v>
      </c>
      <c r="B1085" t="s">
        <v>39</v>
      </c>
      <c r="C1085">
        <v>0</v>
      </c>
    </row>
    <row r="1086" spans="1:3" x14ac:dyDescent="0.35">
      <c r="A1086" t="s">
        <v>35</v>
      </c>
      <c r="B1086" t="s">
        <v>39</v>
      </c>
      <c r="C1086">
        <v>0</v>
      </c>
    </row>
    <row r="1087" spans="1:3" x14ac:dyDescent="0.35">
      <c r="A1087" t="s">
        <v>36</v>
      </c>
      <c r="B1087" t="s">
        <v>39</v>
      </c>
      <c r="C1087">
        <v>0</v>
      </c>
    </row>
    <row r="1088" spans="1:3" x14ac:dyDescent="0.35">
      <c r="A1088" t="s">
        <v>37</v>
      </c>
      <c r="B1088" t="s">
        <v>39</v>
      </c>
      <c r="C1088">
        <v>0</v>
      </c>
    </row>
    <row r="1089" spans="1:3" x14ac:dyDescent="0.35">
      <c r="A1089" t="s">
        <v>38</v>
      </c>
      <c r="B1089" t="s">
        <v>39</v>
      </c>
      <c r="C1089">
        <v>0</v>
      </c>
    </row>
    <row r="1090" spans="1:3" x14ac:dyDescent="0.35">
      <c r="A1090" t="s">
        <v>39</v>
      </c>
      <c r="B1090" t="s">
        <v>39</v>
      </c>
      <c r="C1090">
        <v>1945.3419233888926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5"/>
  <dimension ref="A1:B34"/>
  <sheetViews>
    <sheetView workbookViewId="0">
      <selection activeCell="H44" sqref="H44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144.48319917074988</v>
      </c>
    </row>
    <row r="3" spans="1:2" x14ac:dyDescent="0.35">
      <c r="A3" t="s">
        <v>8</v>
      </c>
      <c r="B3">
        <v>273.09907150285983</v>
      </c>
    </row>
    <row r="4" spans="1:2" x14ac:dyDescent="0.35">
      <c r="A4" t="s">
        <v>9</v>
      </c>
      <c r="B4">
        <v>470.15579411139271</v>
      </c>
    </row>
    <row r="5" spans="1:2" x14ac:dyDescent="0.35">
      <c r="A5" t="s">
        <v>10</v>
      </c>
      <c r="B5">
        <v>316.85345481780871</v>
      </c>
    </row>
    <row r="6" spans="1:2" x14ac:dyDescent="0.35">
      <c r="A6" t="s">
        <v>11</v>
      </c>
      <c r="B6">
        <v>123.97176356046</v>
      </c>
    </row>
    <row r="7" spans="1:2" x14ac:dyDescent="0.35">
      <c r="A7" t="s">
        <v>12</v>
      </c>
      <c r="B7">
        <v>25.615142863249726</v>
      </c>
    </row>
    <row r="8" spans="1:2" x14ac:dyDescent="0.35">
      <c r="A8" t="s">
        <v>13</v>
      </c>
      <c r="B8">
        <v>76.334952436394971</v>
      </c>
    </row>
    <row r="9" spans="1:2" x14ac:dyDescent="0.35">
      <c r="A9" t="s">
        <v>14</v>
      </c>
      <c r="B9">
        <v>110.92151011683221</v>
      </c>
    </row>
    <row r="10" spans="1:2" x14ac:dyDescent="0.35">
      <c r="A10" t="s">
        <v>15</v>
      </c>
      <c r="B10">
        <v>341.30383999408031</v>
      </c>
    </row>
    <row r="11" spans="1:2" x14ac:dyDescent="0.35">
      <c r="A11" t="s">
        <v>16</v>
      </c>
      <c r="B11">
        <v>117.91219445275921</v>
      </c>
    </row>
    <row r="12" spans="1:2" x14ac:dyDescent="0.35">
      <c r="A12" t="s">
        <v>17</v>
      </c>
      <c r="B12">
        <v>78.717071856171785</v>
      </c>
    </row>
    <row r="13" spans="1:2" x14ac:dyDescent="0.35">
      <c r="A13" t="s">
        <v>18</v>
      </c>
      <c r="B13">
        <v>767.68664665032475</v>
      </c>
    </row>
    <row r="14" spans="1:2" x14ac:dyDescent="0.35">
      <c r="A14" t="s">
        <v>19</v>
      </c>
      <c r="B14">
        <v>552.83398678655647</v>
      </c>
    </row>
    <row r="15" spans="1:2" x14ac:dyDescent="0.35">
      <c r="A15" t="s">
        <v>20</v>
      </c>
      <c r="B15">
        <v>901.72973205814549</v>
      </c>
    </row>
    <row r="16" spans="1:2" x14ac:dyDescent="0.35">
      <c r="A16" t="s">
        <v>21</v>
      </c>
      <c r="B16">
        <v>798.31084508367542</v>
      </c>
    </row>
    <row r="17" spans="1:2" x14ac:dyDescent="0.35">
      <c r="A17" t="s">
        <v>22</v>
      </c>
      <c r="B17">
        <v>364.30453778586281</v>
      </c>
    </row>
    <row r="18" spans="1:2" x14ac:dyDescent="0.35">
      <c r="A18" t="s">
        <v>23</v>
      </c>
      <c r="B18">
        <v>251.03150737018399</v>
      </c>
    </row>
    <row r="19" spans="1:2" x14ac:dyDescent="0.35">
      <c r="A19" t="s">
        <v>24</v>
      </c>
      <c r="B19">
        <v>1798.419359134663</v>
      </c>
    </row>
    <row r="20" spans="1:2" x14ac:dyDescent="0.35">
      <c r="A20" t="s">
        <v>25</v>
      </c>
      <c r="B20">
        <v>2096.455468597982</v>
      </c>
    </row>
    <row r="21" spans="1:2" x14ac:dyDescent="0.35">
      <c r="A21" t="s">
        <v>26</v>
      </c>
      <c r="B21">
        <v>1115.9617426456637</v>
      </c>
    </row>
    <row r="22" spans="1:2" x14ac:dyDescent="0.35">
      <c r="A22" t="s">
        <v>27</v>
      </c>
      <c r="B22">
        <v>304.84349057504454</v>
      </c>
    </row>
    <row r="23" spans="1:2" x14ac:dyDescent="0.35">
      <c r="A23" t="s">
        <v>28</v>
      </c>
      <c r="B23">
        <v>11.783962240474239</v>
      </c>
    </row>
    <row r="24" spans="1:2" x14ac:dyDescent="0.35">
      <c r="A24" t="s">
        <v>29</v>
      </c>
      <c r="B24">
        <v>1717.8932022486185</v>
      </c>
    </row>
    <row r="25" spans="1:2" x14ac:dyDescent="0.35">
      <c r="A25" t="s">
        <v>30</v>
      </c>
      <c r="B25">
        <v>230.70108520244324</v>
      </c>
    </row>
    <row r="26" spans="1:2" x14ac:dyDescent="0.35">
      <c r="A26" t="s">
        <v>31</v>
      </c>
      <c r="B26">
        <v>873.73889883210711</v>
      </c>
    </row>
    <row r="27" spans="1:2" x14ac:dyDescent="0.35">
      <c r="A27" t="s">
        <v>32</v>
      </c>
      <c r="B27">
        <v>646.64652197217947</v>
      </c>
    </row>
    <row r="28" spans="1:2" x14ac:dyDescent="0.35">
      <c r="A28" t="s">
        <v>33</v>
      </c>
      <c r="B28">
        <v>1383.7912020421388</v>
      </c>
    </row>
    <row r="29" spans="1:2" x14ac:dyDescent="0.35">
      <c r="A29" t="s">
        <v>34</v>
      </c>
      <c r="B29">
        <v>565.91719738690153</v>
      </c>
    </row>
    <row r="30" spans="1:2" x14ac:dyDescent="0.35">
      <c r="A30" t="s">
        <v>35</v>
      </c>
      <c r="B30">
        <v>742.85724814210334</v>
      </c>
    </row>
    <row r="31" spans="1:2" x14ac:dyDescent="0.35">
      <c r="A31" t="s">
        <v>36</v>
      </c>
      <c r="B31">
        <v>276.62232084941786</v>
      </c>
    </row>
    <row r="32" spans="1:2" x14ac:dyDescent="0.35">
      <c r="A32" t="s">
        <v>37</v>
      </c>
      <c r="B32">
        <v>348.84260849367001</v>
      </c>
    </row>
    <row r="33" spans="1:2" x14ac:dyDescent="0.35">
      <c r="A33" t="s">
        <v>38</v>
      </c>
      <c r="B33">
        <v>200.26044101909014</v>
      </c>
    </row>
    <row r="34" spans="1:2" x14ac:dyDescent="0.35">
      <c r="A34" t="s">
        <v>39</v>
      </c>
      <c r="B34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6"/>
  <dimension ref="A1:B34"/>
  <sheetViews>
    <sheetView workbookViewId="0">
      <selection activeCell="B2" sqref="B2:B34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2</v>
      </c>
    </row>
    <row r="3" spans="1:2" x14ac:dyDescent="0.35">
      <c r="A3" t="s">
        <v>8</v>
      </c>
      <c r="B3">
        <v>2</v>
      </c>
    </row>
    <row r="4" spans="1:2" x14ac:dyDescent="0.35">
      <c r="A4" t="s">
        <v>9</v>
      </c>
      <c r="B4">
        <v>2</v>
      </c>
    </row>
    <row r="5" spans="1:2" x14ac:dyDescent="0.35">
      <c r="A5" t="s">
        <v>10</v>
      </c>
      <c r="B5">
        <v>2</v>
      </c>
    </row>
    <row r="6" spans="1:2" x14ac:dyDescent="0.35">
      <c r="A6" t="s">
        <v>11</v>
      </c>
      <c r="B6">
        <v>2</v>
      </c>
    </row>
    <row r="7" spans="1:2" x14ac:dyDescent="0.35">
      <c r="A7" t="s">
        <v>12</v>
      </c>
      <c r="B7">
        <v>2</v>
      </c>
    </row>
    <row r="8" spans="1:2" x14ac:dyDescent="0.35">
      <c r="A8" t="s">
        <v>13</v>
      </c>
      <c r="B8">
        <v>2</v>
      </c>
    </row>
    <row r="9" spans="1:2" x14ac:dyDescent="0.35">
      <c r="A9" t="s">
        <v>14</v>
      </c>
      <c r="B9">
        <v>2</v>
      </c>
    </row>
    <row r="10" spans="1:2" x14ac:dyDescent="0.35">
      <c r="A10" t="s">
        <v>15</v>
      </c>
      <c r="B10">
        <v>2</v>
      </c>
    </row>
    <row r="11" spans="1:2" x14ac:dyDescent="0.35">
      <c r="A11" t="s">
        <v>16</v>
      </c>
      <c r="B11">
        <v>2</v>
      </c>
    </row>
    <row r="12" spans="1:2" x14ac:dyDescent="0.35">
      <c r="A12" t="s">
        <v>17</v>
      </c>
      <c r="B12">
        <v>2</v>
      </c>
    </row>
    <row r="13" spans="1:2" x14ac:dyDescent="0.35">
      <c r="A13" t="s">
        <v>18</v>
      </c>
      <c r="B13">
        <v>2</v>
      </c>
    </row>
    <row r="14" spans="1:2" x14ac:dyDescent="0.35">
      <c r="A14" t="s">
        <v>19</v>
      </c>
      <c r="B14">
        <v>2</v>
      </c>
    </row>
    <row r="15" spans="1:2" x14ac:dyDescent="0.35">
      <c r="A15" t="s">
        <v>20</v>
      </c>
      <c r="B15">
        <v>2</v>
      </c>
    </row>
    <row r="16" spans="1:2" x14ac:dyDescent="0.35">
      <c r="A16" t="s">
        <v>21</v>
      </c>
      <c r="B16">
        <v>2</v>
      </c>
    </row>
    <row r="17" spans="1:2" x14ac:dyDescent="0.35">
      <c r="A17" t="s">
        <v>22</v>
      </c>
      <c r="B17">
        <v>2</v>
      </c>
    </row>
    <row r="18" spans="1:2" x14ac:dyDescent="0.35">
      <c r="A18" t="s">
        <v>23</v>
      </c>
      <c r="B18">
        <v>2</v>
      </c>
    </row>
    <row r="19" spans="1:2" x14ac:dyDescent="0.35">
      <c r="A19" t="s">
        <v>24</v>
      </c>
      <c r="B19">
        <v>2</v>
      </c>
    </row>
    <row r="20" spans="1:2" x14ac:dyDescent="0.35">
      <c r="A20" t="s">
        <v>25</v>
      </c>
      <c r="B20">
        <v>2</v>
      </c>
    </row>
    <row r="21" spans="1:2" x14ac:dyDescent="0.35">
      <c r="A21" t="s">
        <v>26</v>
      </c>
      <c r="B21">
        <v>2</v>
      </c>
    </row>
    <row r="22" spans="1:2" x14ac:dyDescent="0.35">
      <c r="A22" t="s">
        <v>27</v>
      </c>
      <c r="B22">
        <v>2</v>
      </c>
    </row>
    <row r="23" spans="1:2" x14ac:dyDescent="0.35">
      <c r="A23" t="s">
        <v>28</v>
      </c>
      <c r="B23">
        <v>2</v>
      </c>
    </row>
    <row r="24" spans="1:2" x14ac:dyDescent="0.35">
      <c r="A24" t="s">
        <v>29</v>
      </c>
      <c r="B24">
        <v>2</v>
      </c>
    </row>
    <row r="25" spans="1:2" x14ac:dyDescent="0.35">
      <c r="A25" t="s">
        <v>30</v>
      </c>
      <c r="B25">
        <v>2</v>
      </c>
    </row>
    <row r="26" spans="1:2" x14ac:dyDescent="0.35">
      <c r="A26" t="s">
        <v>31</v>
      </c>
      <c r="B26">
        <v>2</v>
      </c>
    </row>
    <row r="27" spans="1:2" x14ac:dyDescent="0.35">
      <c r="A27" t="s">
        <v>32</v>
      </c>
      <c r="B27">
        <v>2</v>
      </c>
    </row>
    <row r="28" spans="1:2" x14ac:dyDescent="0.35">
      <c r="A28" t="s">
        <v>33</v>
      </c>
      <c r="B28">
        <v>2</v>
      </c>
    </row>
    <row r="29" spans="1:2" x14ac:dyDescent="0.35">
      <c r="A29" t="s">
        <v>34</v>
      </c>
      <c r="B29">
        <v>2</v>
      </c>
    </row>
    <row r="30" spans="1:2" x14ac:dyDescent="0.35">
      <c r="A30" t="s">
        <v>35</v>
      </c>
      <c r="B30">
        <v>2</v>
      </c>
    </row>
    <row r="31" spans="1:2" x14ac:dyDescent="0.35">
      <c r="A31" t="s">
        <v>36</v>
      </c>
      <c r="B31">
        <v>2</v>
      </c>
    </row>
    <row r="32" spans="1:2" x14ac:dyDescent="0.35">
      <c r="A32" t="s">
        <v>37</v>
      </c>
      <c r="B32">
        <v>2</v>
      </c>
    </row>
    <row r="33" spans="1:2" x14ac:dyDescent="0.35">
      <c r="A33" t="s">
        <v>38</v>
      </c>
      <c r="B33">
        <v>2</v>
      </c>
    </row>
    <row r="34" spans="1:2" x14ac:dyDescent="0.35">
      <c r="A34" t="s">
        <v>39</v>
      </c>
      <c r="B34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AFCC-6EC3-4617-B2DF-568836D680C4}">
  <sheetPr codeName="Sheet27"/>
  <dimension ref="A1:A2"/>
  <sheetViews>
    <sheetView workbookViewId="0">
      <selection activeCell="M44" sqref="M44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-0.5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8"/>
  <dimension ref="A1:B34"/>
  <sheetViews>
    <sheetView workbookViewId="0">
      <selection activeCell="A2" sqref="A2:B34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0.23</v>
      </c>
    </row>
    <row r="3" spans="1:2" x14ac:dyDescent="0.35">
      <c r="A3" t="s">
        <v>8</v>
      </c>
      <c r="B3">
        <v>0.2</v>
      </c>
    </row>
    <row r="4" spans="1:2" x14ac:dyDescent="0.35">
      <c r="A4" t="s">
        <v>9</v>
      </c>
      <c r="B4">
        <v>1.1200000000000001</v>
      </c>
    </row>
    <row r="5" spans="1:2" x14ac:dyDescent="0.35">
      <c r="A5" t="s">
        <v>10</v>
      </c>
      <c r="B5">
        <v>1.26</v>
      </c>
    </row>
    <row r="6" spans="1:2" x14ac:dyDescent="0.35">
      <c r="A6" t="s">
        <v>11</v>
      </c>
      <c r="B6">
        <v>1.26</v>
      </c>
    </row>
    <row r="7" spans="1:2" x14ac:dyDescent="0.35">
      <c r="A7" t="s">
        <v>12</v>
      </c>
      <c r="B7">
        <v>1.26</v>
      </c>
    </row>
    <row r="8" spans="1:2" x14ac:dyDescent="0.35">
      <c r="A8" t="s">
        <v>13</v>
      </c>
      <c r="B8">
        <v>1.26</v>
      </c>
    </row>
    <row r="9" spans="1:2" x14ac:dyDescent="0.35">
      <c r="A9" t="s">
        <v>14</v>
      </c>
      <c r="B9">
        <v>1.26</v>
      </c>
    </row>
    <row r="10" spans="1:2" x14ac:dyDescent="0.35">
      <c r="A10" t="s">
        <v>15</v>
      </c>
      <c r="B10">
        <v>1.26</v>
      </c>
    </row>
    <row r="11" spans="1:2" x14ac:dyDescent="0.35">
      <c r="A11" t="s">
        <v>16</v>
      </c>
      <c r="B11">
        <v>1.26</v>
      </c>
    </row>
    <row r="12" spans="1:2" x14ac:dyDescent="0.35">
      <c r="A12" t="s">
        <v>17</v>
      </c>
      <c r="B12">
        <v>1.26</v>
      </c>
    </row>
    <row r="13" spans="1:2" x14ac:dyDescent="0.35">
      <c r="A13" t="s">
        <v>18</v>
      </c>
      <c r="B13">
        <v>1.26</v>
      </c>
    </row>
    <row r="14" spans="1:2" x14ac:dyDescent="0.35">
      <c r="A14" t="s">
        <v>19</v>
      </c>
      <c r="B14">
        <v>1.26</v>
      </c>
    </row>
    <row r="15" spans="1:2" x14ac:dyDescent="0.35">
      <c r="A15" t="s">
        <v>20</v>
      </c>
      <c r="B15">
        <v>1.26</v>
      </c>
    </row>
    <row r="16" spans="1:2" x14ac:dyDescent="0.35">
      <c r="A16" t="s">
        <v>21</v>
      </c>
      <c r="B16">
        <v>1.26</v>
      </c>
    </row>
    <row r="17" spans="1:2" x14ac:dyDescent="0.35">
      <c r="A17" t="s">
        <v>22</v>
      </c>
      <c r="B17">
        <v>1.26</v>
      </c>
    </row>
    <row r="18" spans="1:2" x14ac:dyDescent="0.35">
      <c r="A18" t="s">
        <v>23</v>
      </c>
      <c r="B18">
        <v>1.26</v>
      </c>
    </row>
    <row r="19" spans="1:2" x14ac:dyDescent="0.35">
      <c r="A19" t="s">
        <v>24</v>
      </c>
      <c r="B19">
        <v>1.4</v>
      </c>
    </row>
    <row r="20" spans="1:2" x14ac:dyDescent="0.35">
      <c r="A20" t="s">
        <v>25</v>
      </c>
      <c r="B20">
        <v>1.68</v>
      </c>
    </row>
    <row r="21" spans="1:2" x14ac:dyDescent="0.35">
      <c r="A21" t="s">
        <v>26</v>
      </c>
      <c r="B21">
        <v>1.68</v>
      </c>
    </row>
    <row r="22" spans="1:2" x14ac:dyDescent="0.35">
      <c r="A22" t="s">
        <v>27</v>
      </c>
      <c r="B22">
        <v>1.68</v>
      </c>
    </row>
    <row r="23" spans="1:2" x14ac:dyDescent="0.35">
      <c r="A23" t="s">
        <v>28</v>
      </c>
      <c r="B23">
        <v>1.68</v>
      </c>
    </row>
    <row r="24" spans="1:2" x14ac:dyDescent="0.35">
      <c r="A24" t="s">
        <v>29</v>
      </c>
      <c r="B24">
        <v>1.68</v>
      </c>
    </row>
    <row r="25" spans="1:2" x14ac:dyDescent="0.35">
      <c r="A25" t="s">
        <v>30</v>
      </c>
      <c r="B25">
        <v>1.68</v>
      </c>
    </row>
    <row r="26" spans="1:2" x14ac:dyDescent="0.35">
      <c r="A26" t="s">
        <v>31</v>
      </c>
      <c r="B26">
        <v>1.26</v>
      </c>
    </row>
    <row r="27" spans="1:2" x14ac:dyDescent="0.35">
      <c r="A27" t="s">
        <v>32</v>
      </c>
      <c r="B27">
        <v>1.26</v>
      </c>
    </row>
    <row r="28" spans="1:2" x14ac:dyDescent="0.35">
      <c r="A28" t="s">
        <v>33</v>
      </c>
      <c r="B28">
        <v>1.26</v>
      </c>
    </row>
    <row r="29" spans="1:2" x14ac:dyDescent="0.35">
      <c r="A29" t="s">
        <v>34</v>
      </c>
      <c r="B29">
        <v>1.26</v>
      </c>
    </row>
    <row r="30" spans="1:2" x14ac:dyDescent="0.35">
      <c r="A30" t="s">
        <v>35</v>
      </c>
      <c r="B30">
        <v>1.26</v>
      </c>
    </row>
    <row r="31" spans="1:2" x14ac:dyDescent="0.35">
      <c r="A31" t="s">
        <v>36</v>
      </c>
      <c r="B31">
        <v>1.26</v>
      </c>
    </row>
    <row r="32" spans="1:2" x14ac:dyDescent="0.35">
      <c r="A32" t="s">
        <v>37</v>
      </c>
      <c r="B32">
        <v>1.26</v>
      </c>
    </row>
    <row r="33" spans="1:2" x14ac:dyDescent="0.35">
      <c r="A33" t="s">
        <v>38</v>
      </c>
      <c r="B33">
        <v>1.26</v>
      </c>
    </row>
    <row r="34" spans="1:2" x14ac:dyDescent="0.35">
      <c r="A34" t="s">
        <v>39</v>
      </c>
      <c r="B34">
        <v>1.26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9"/>
  <dimension ref="A1:B34"/>
  <sheetViews>
    <sheetView workbookViewId="0">
      <selection activeCell="A2" sqref="A2:B34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2</v>
      </c>
    </row>
    <row r="3" spans="1:2" x14ac:dyDescent="0.35">
      <c r="A3" t="s">
        <v>8</v>
      </c>
      <c r="B3">
        <v>2</v>
      </c>
    </row>
    <row r="4" spans="1:2" x14ac:dyDescent="0.35">
      <c r="A4" t="s">
        <v>9</v>
      </c>
      <c r="B4">
        <v>2</v>
      </c>
    </row>
    <row r="5" spans="1:2" x14ac:dyDescent="0.35">
      <c r="A5" t="s">
        <v>10</v>
      </c>
      <c r="B5">
        <v>2</v>
      </c>
    </row>
    <row r="6" spans="1:2" x14ac:dyDescent="0.35">
      <c r="A6" t="s">
        <v>11</v>
      </c>
      <c r="B6">
        <v>2</v>
      </c>
    </row>
    <row r="7" spans="1:2" x14ac:dyDescent="0.35">
      <c r="A7" t="s">
        <v>12</v>
      </c>
      <c r="B7">
        <v>2</v>
      </c>
    </row>
    <row r="8" spans="1:2" x14ac:dyDescent="0.35">
      <c r="A8" t="s">
        <v>13</v>
      </c>
      <c r="B8">
        <v>2</v>
      </c>
    </row>
    <row r="9" spans="1:2" x14ac:dyDescent="0.35">
      <c r="A9" t="s">
        <v>14</v>
      </c>
      <c r="B9">
        <v>2</v>
      </c>
    </row>
    <row r="10" spans="1:2" x14ac:dyDescent="0.35">
      <c r="A10" t="s">
        <v>15</v>
      </c>
      <c r="B10">
        <v>2</v>
      </c>
    </row>
    <row r="11" spans="1:2" x14ac:dyDescent="0.35">
      <c r="A11" t="s">
        <v>16</v>
      </c>
      <c r="B11">
        <v>2</v>
      </c>
    </row>
    <row r="12" spans="1:2" x14ac:dyDescent="0.35">
      <c r="A12" t="s">
        <v>17</v>
      </c>
      <c r="B12">
        <v>2</v>
      </c>
    </row>
    <row r="13" spans="1:2" x14ac:dyDescent="0.35">
      <c r="A13" t="s">
        <v>18</v>
      </c>
      <c r="B13">
        <v>2</v>
      </c>
    </row>
    <row r="14" spans="1:2" x14ac:dyDescent="0.35">
      <c r="A14" t="s">
        <v>19</v>
      </c>
      <c r="B14">
        <v>2</v>
      </c>
    </row>
    <row r="15" spans="1:2" x14ac:dyDescent="0.35">
      <c r="A15" t="s">
        <v>20</v>
      </c>
      <c r="B15">
        <v>2</v>
      </c>
    </row>
    <row r="16" spans="1:2" x14ac:dyDescent="0.35">
      <c r="A16" t="s">
        <v>21</v>
      </c>
      <c r="B16">
        <v>2</v>
      </c>
    </row>
    <row r="17" spans="1:2" x14ac:dyDescent="0.35">
      <c r="A17" t="s">
        <v>22</v>
      </c>
      <c r="B17">
        <v>2</v>
      </c>
    </row>
    <row r="18" spans="1:2" x14ac:dyDescent="0.35">
      <c r="A18" t="s">
        <v>23</v>
      </c>
      <c r="B18">
        <v>2</v>
      </c>
    </row>
    <row r="19" spans="1:2" x14ac:dyDescent="0.35">
      <c r="A19" t="s">
        <v>24</v>
      </c>
      <c r="B19">
        <v>2</v>
      </c>
    </row>
    <row r="20" spans="1:2" x14ac:dyDescent="0.35">
      <c r="A20" t="s">
        <v>25</v>
      </c>
      <c r="B20">
        <v>2</v>
      </c>
    </row>
    <row r="21" spans="1:2" x14ac:dyDescent="0.35">
      <c r="A21" t="s">
        <v>26</v>
      </c>
      <c r="B21">
        <v>2</v>
      </c>
    </row>
    <row r="22" spans="1:2" x14ac:dyDescent="0.35">
      <c r="A22" t="s">
        <v>27</v>
      </c>
      <c r="B22">
        <v>2</v>
      </c>
    </row>
    <row r="23" spans="1:2" x14ac:dyDescent="0.35">
      <c r="A23" t="s">
        <v>28</v>
      </c>
      <c r="B23">
        <v>2</v>
      </c>
    </row>
    <row r="24" spans="1:2" x14ac:dyDescent="0.35">
      <c r="A24" t="s">
        <v>29</v>
      </c>
      <c r="B24">
        <v>2</v>
      </c>
    </row>
    <row r="25" spans="1:2" x14ac:dyDescent="0.35">
      <c r="A25" t="s">
        <v>30</v>
      </c>
      <c r="B25">
        <v>2</v>
      </c>
    </row>
    <row r="26" spans="1:2" x14ac:dyDescent="0.35">
      <c r="A26" t="s">
        <v>31</v>
      </c>
      <c r="B26">
        <v>2</v>
      </c>
    </row>
    <row r="27" spans="1:2" x14ac:dyDescent="0.35">
      <c r="A27" t="s">
        <v>32</v>
      </c>
      <c r="B27">
        <v>2</v>
      </c>
    </row>
    <row r="28" spans="1:2" x14ac:dyDescent="0.35">
      <c r="A28" t="s">
        <v>33</v>
      </c>
      <c r="B28">
        <v>2</v>
      </c>
    </row>
    <row r="29" spans="1:2" x14ac:dyDescent="0.35">
      <c r="A29" t="s">
        <v>34</v>
      </c>
      <c r="B29">
        <v>2</v>
      </c>
    </row>
    <row r="30" spans="1:2" x14ac:dyDescent="0.35">
      <c r="A30" t="s">
        <v>35</v>
      </c>
      <c r="B30">
        <v>2</v>
      </c>
    </row>
    <row r="31" spans="1:2" x14ac:dyDescent="0.35">
      <c r="A31" t="s">
        <v>36</v>
      </c>
      <c r="B31">
        <v>2</v>
      </c>
    </row>
    <row r="32" spans="1:2" x14ac:dyDescent="0.35">
      <c r="A32" t="s">
        <v>37</v>
      </c>
      <c r="B32">
        <v>2</v>
      </c>
    </row>
    <row r="33" spans="1:2" x14ac:dyDescent="0.35">
      <c r="A33" t="s">
        <v>38</v>
      </c>
      <c r="B33">
        <v>2</v>
      </c>
    </row>
    <row r="34" spans="1:2" x14ac:dyDescent="0.35">
      <c r="A34" t="s">
        <v>39</v>
      </c>
      <c r="B34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0"/>
  <dimension ref="A1:B34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s="1" t="s">
        <v>3</v>
      </c>
      <c r="B1" s="1" t="s">
        <v>0</v>
      </c>
    </row>
    <row r="2" spans="1:2" x14ac:dyDescent="0.35">
      <c r="A2" t="s">
        <v>7</v>
      </c>
      <c r="B2">
        <v>0.4</v>
      </c>
    </row>
    <row r="3" spans="1:2" x14ac:dyDescent="0.35">
      <c r="A3" t="s">
        <v>8</v>
      </c>
      <c r="B3">
        <v>0.4</v>
      </c>
    </row>
    <row r="4" spans="1:2" x14ac:dyDescent="0.35">
      <c r="A4" t="s">
        <v>9</v>
      </c>
      <c r="B4">
        <v>0.4</v>
      </c>
    </row>
    <row r="5" spans="1:2" x14ac:dyDescent="0.35">
      <c r="A5" t="s">
        <v>10</v>
      </c>
      <c r="B5">
        <v>0.4</v>
      </c>
    </row>
    <row r="6" spans="1:2" x14ac:dyDescent="0.35">
      <c r="A6" t="s">
        <v>11</v>
      </c>
      <c r="B6">
        <v>0.4</v>
      </c>
    </row>
    <row r="7" spans="1:2" x14ac:dyDescent="0.35">
      <c r="A7" t="s">
        <v>12</v>
      </c>
      <c r="B7">
        <v>0.4</v>
      </c>
    </row>
    <row r="8" spans="1:2" x14ac:dyDescent="0.35">
      <c r="A8" t="s">
        <v>13</v>
      </c>
      <c r="B8">
        <v>0.4</v>
      </c>
    </row>
    <row r="9" spans="1:2" x14ac:dyDescent="0.35">
      <c r="A9" t="s">
        <v>14</v>
      </c>
      <c r="B9">
        <v>0.4</v>
      </c>
    </row>
    <row r="10" spans="1:2" x14ac:dyDescent="0.35">
      <c r="A10" t="s">
        <v>15</v>
      </c>
      <c r="B10">
        <v>0.4</v>
      </c>
    </row>
    <row r="11" spans="1:2" x14ac:dyDescent="0.35">
      <c r="A11" t="s">
        <v>16</v>
      </c>
      <c r="B11">
        <v>0.4</v>
      </c>
    </row>
    <row r="12" spans="1:2" x14ac:dyDescent="0.35">
      <c r="A12" t="s">
        <v>17</v>
      </c>
      <c r="B12">
        <v>0.4</v>
      </c>
    </row>
    <row r="13" spans="1:2" x14ac:dyDescent="0.35">
      <c r="A13" t="s">
        <v>18</v>
      </c>
      <c r="B13">
        <v>0.4</v>
      </c>
    </row>
    <row r="14" spans="1:2" x14ac:dyDescent="0.35">
      <c r="A14" t="s">
        <v>19</v>
      </c>
      <c r="B14">
        <v>0.4</v>
      </c>
    </row>
    <row r="15" spans="1:2" x14ac:dyDescent="0.35">
      <c r="A15" t="s">
        <v>20</v>
      </c>
      <c r="B15">
        <v>0.4</v>
      </c>
    </row>
    <row r="16" spans="1:2" x14ac:dyDescent="0.35">
      <c r="A16" t="s">
        <v>21</v>
      </c>
      <c r="B16">
        <v>0.4</v>
      </c>
    </row>
    <row r="17" spans="1:2" x14ac:dyDescent="0.35">
      <c r="A17" t="s">
        <v>22</v>
      </c>
      <c r="B17">
        <v>0.4</v>
      </c>
    </row>
    <row r="18" spans="1:2" x14ac:dyDescent="0.35">
      <c r="A18" t="s">
        <v>23</v>
      </c>
      <c r="B18">
        <v>0.4</v>
      </c>
    </row>
    <row r="19" spans="1:2" x14ac:dyDescent="0.35">
      <c r="A19" t="s">
        <v>24</v>
      </c>
      <c r="B19">
        <v>0.4</v>
      </c>
    </row>
    <row r="20" spans="1:2" x14ac:dyDescent="0.35">
      <c r="A20" t="s">
        <v>25</v>
      </c>
      <c r="B20">
        <v>0.4</v>
      </c>
    </row>
    <row r="21" spans="1:2" x14ac:dyDescent="0.35">
      <c r="A21" t="s">
        <v>26</v>
      </c>
      <c r="B21">
        <v>0.4</v>
      </c>
    </row>
    <row r="22" spans="1:2" x14ac:dyDescent="0.35">
      <c r="A22" t="s">
        <v>27</v>
      </c>
      <c r="B22">
        <v>0.4</v>
      </c>
    </row>
    <row r="23" spans="1:2" x14ac:dyDescent="0.35">
      <c r="A23" t="s">
        <v>28</v>
      </c>
      <c r="B23">
        <v>0.4</v>
      </c>
    </row>
    <row r="24" spans="1:2" x14ac:dyDescent="0.35">
      <c r="A24" t="s">
        <v>29</v>
      </c>
      <c r="B24">
        <v>0.4</v>
      </c>
    </row>
    <row r="25" spans="1:2" x14ac:dyDescent="0.35">
      <c r="A25" t="s">
        <v>30</v>
      </c>
      <c r="B25">
        <v>0.4</v>
      </c>
    </row>
    <row r="26" spans="1:2" x14ac:dyDescent="0.35">
      <c r="A26" t="s">
        <v>31</v>
      </c>
      <c r="B26">
        <v>0.4</v>
      </c>
    </row>
    <row r="27" spans="1:2" x14ac:dyDescent="0.35">
      <c r="A27" t="s">
        <v>32</v>
      </c>
      <c r="B27">
        <v>0.4</v>
      </c>
    </row>
    <row r="28" spans="1:2" x14ac:dyDescent="0.35">
      <c r="A28" t="s">
        <v>33</v>
      </c>
      <c r="B28">
        <v>0.4</v>
      </c>
    </row>
    <row r="29" spans="1:2" x14ac:dyDescent="0.35">
      <c r="A29" t="s">
        <v>34</v>
      </c>
      <c r="B29">
        <v>0.4</v>
      </c>
    </row>
    <row r="30" spans="1:2" x14ac:dyDescent="0.35">
      <c r="A30" t="s">
        <v>35</v>
      </c>
      <c r="B30">
        <v>0.4</v>
      </c>
    </row>
    <row r="31" spans="1:2" x14ac:dyDescent="0.35">
      <c r="A31" t="s">
        <v>36</v>
      </c>
      <c r="B31">
        <v>0.4</v>
      </c>
    </row>
    <row r="32" spans="1:2" x14ac:dyDescent="0.35">
      <c r="A32" t="s">
        <v>37</v>
      </c>
      <c r="B32">
        <v>0.4</v>
      </c>
    </row>
    <row r="33" spans="1:2" x14ac:dyDescent="0.35">
      <c r="A33" t="s">
        <v>38</v>
      </c>
      <c r="B33">
        <v>0.4</v>
      </c>
    </row>
    <row r="34" spans="1:2" x14ac:dyDescent="0.35">
      <c r="A34" t="s">
        <v>39</v>
      </c>
      <c r="B34">
        <v>0.4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1"/>
  <dimension ref="A1:B34"/>
  <sheetViews>
    <sheetView workbookViewId="0">
      <selection activeCell="A2" sqref="A2:B34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2</v>
      </c>
    </row>
    <row r="3" spans="1:2" x14ac:dyDescent="0.35">
      <c r="A3" t="s">
        <v>8</v>
      </c>
      <c r="B3">
        <v>2</v>
      </c>
    </row>
    <row r="4" spans="1:2" x14ac:dyDescent="0.35">
      <c r="A4" t="s">
        <v>9</v>
      </c>
      <c r="B4">
        <v>2</v>
      </c>
    </row>
    <row r="5" spans="1:2" x14ac:dyDescent="0.35">
      <c r="A5" t="s">
        <v>10</v>
      </c>
      <c r="B5">
        <v>2</v>
      </c>
    </row>
    <row r="6" spans="1:2" x14ac:dyDescent="0.35">
      <c r="A6" t="s">
        <v>11</v>
      </c>
      <c r="B6">
        <v>2</v>
      </c>
    </row>
    <row r="7" spans="1:2" x14ac:dyDescent="0.35">
      <c r="A7" t="s">
        <v>12</v>
      </c>
      <c r="B7">
        <v>2</v>
      </c>
    </row>
    <row r="8" spans="1:2" x14ac:dyDescent="0.35">
      <c r="A8" t="s">
        <v>13</v>
      </c>
      <c r="B8">
        <v>2</v>
      </c>
    </row>
    <row r="9" spans="1:2" x14ac:dyDescent="0.35">
      <c r="A9" t="s">
        <v>14</v>
      </c>
      <c r="B9">
        <v>2</v>
      </c>
    </row>
    <row r="10" spans="1:2" x14ac:dyDescent="0.35">
      <c r="A10" t="s">
        <v>15</v>
      </c>
      <c r="B10">
        <v>2</v>
      </c>
    </row>
    <row r="11" spans="1:2" x14ac:dyDescent="0.35">
      <c r="A11" t="s">
        <v>16</v>
      </c>
      <c r="B11">
        <v>2</v>
      </c>
    </row>
    <row r="12" spans="1:2" x14ac:dyDescent="0.35">
      <c r="A12" t="s">
        <v>17</v>
      </c>
      <c r="B12">
        <v>2</v>
      </c>
    </row>
    <row r="13" spans="1:2" x14ac:dyDescent="0.35">
      <c r="A13" t="s">
        <v>18</v>
      </c>
      <c r="B13">
        <v>2</v>
      </c>
    </row>
    <row r="14" spans="1:2" x14ac:dyDescent="0.35">
      <c r="A14" t="s">
        <v>19</v>
      </c>
      <c r="B14">
        <v>2</v>
      </c>
    </row>
    <row r="15" spans="1:2" x14ac:dyDescent="0.35">
      <c r="A15" t="s">
        <v>20</v>
      </c>
      <c r="B15">
        <v>2</v>
      </c>
    </row>
    <row r="16" spans="1:2" x14ac:dyDescent="0.35">
      <c r="A16" t="s">
        <v>21</v>
      </c>
      <c r="B16">
        <v>2</v>
      </c>
    </row>
    <row r="17" spans="1:2" x14ac:dyDescent="0.35">
      <c r="A17" t="s">
        <v>22</v>
      </c>
      <c r="B17">
        <v>2</v>
      </c>
    </row>
    <row r="18" spans="1:2" x14ac:dyDescent="0.35">
      <c r="A18" t="s">
        <v>23</v>
      </c>
      <c r="B18">
        <v>2</v>
      </c>
    </row>
    <row r="19" spans="1:2" x14ac:dyDescent="0.35">
      <c r="A19" t="s">
        <v>24</v>
      </c>
      <c r="B19">
        <v>2</v>
      </c>
    </row>
    <row r="20" spans="1:2" x14ac:dyDescent="0.35">
      <c r="A20" t="s">
        <v>25</v>
      </c>
      <c r="B20">
        <v>2</v>
      </c>
    </row>
    <row r="21" spans="1:2" x14ac:dyDescent="0.35">
      <c r="A21" t="s">
        <v>26</v>
      </c>
      <c r="B21">
        <v>2</v>
      </c>
    </row>
    <row r="22" spans="1:2" x14ac:dyDescent="0.35">
      <c r="A22" t="s">
        <v>27</v>
      </c>
      <c r="B22">
        <v>2</v>
      </c>
    </row>
    <row r="23" spans="1:2" x14ac:dyDescent="0.35">
      <c r="A23" t="s">
        <v>28</v>
      </c>
      <c r="B23">
        <v>2</v>
      </c>
    </row>
    <row r="24" spans="1:2" x14ac:dyDescent="0.35">
      <c r="A24" t="s">
        <v>29</v>
      </c>
      <c r="B24">
        <v>2</v>
      </c>
    </row>
    <row r="25" spans="1:2" x14ac:dyDescent="0.35">
      <c r="A25" t="s">
        <v>30</v>
      </c>
      <c r="B25">
        <v>2</v>
      </c>
    </row>
    <row r="26" spans="1:2" x14ac:dyDescent="0.35">
      <c r="A26" t="s">
        <v>31</v>
      </c>
      <c r="B26">
        <v>2</v>
      </c>
    </row>
    <row r="27" spans="1:2" x14ac:dyDescent="0.35">
      <c r="A27" t="s">
        <v>32</v>
      </c>
      <c r="B27">
        <v>2</v>
      </c>
    </row>
    <row r="28" spans="1:2" x14ac:dyDescent="0.35">
      <c r="A28" t="s">
        <v>33</v>
      </c>
      <c r="B28">
        <v>2</v>
      </c>
    </row>
    <row r="29" spans="1:2" x14ac:dyDescent="0.35">
      <c r="A29" t="s">
        <v>34</v>
      </c>
      <c r="B29">
        <v>2</v>
      </c>
    </row>
    <row r="30" spans="1:2" x14ac:dyDescent="0.35">
      <c r="A30" t="s">
        <v>35</v>
      </c>
      <c r="B30">
        <v>2</v>
      </c>
    </row>
    <row r="31" spans="1:2" x14ac:dyDescent="0.35">
      <c r="A31" t="s">
        <v>36</v>
      </c>
      <c r="B31">
        <v>2</v>
      </c>
    </row>
    <row r="32" spans="1:2" x14ac:dyDescent="0.35">
      <c r="A32" t="s">
        <v>37</v>
      </c>
      <c r="B32">
        <v>2</v>
      </c>
    </row>
    <row r="33" spans="1:2" x14ac:dyDescent="0.35">
      <c r="A33" t="s">
        <v>38</v>
      </c>
      <c r="B33">
        <v>2</v>
      </c>
    </row>
    <row r="34" spans="1:2" x14ac:dyDescent="0.35">
      <c r="A34" t="s">
        <v>39</v>
      </c>
      <c r="B34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2"/>
  <dimension ref="A1:B34"/>
  <sheetViews>
    <sheetView workbookViewId="0">
      <selection activeCell="A2" sqref="A2:B34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2</v>
      </c>
    </row>
    <row r="3" spans="1:2" x14ac:dyDescent="0.35">
      <c r="A3" t="s">
        <v>8</v>
      </c>
      <c r="B3">
        <v>2</v>
      </c>
    </row>
    <row r="4" spans="1:2" x14ac:dyDescent="0.35">
      <c r="A4" t="s">
        <v>9</v>
      </c>
      <c r="B4">
        <v>2</v>
      </c>
    </row>
    <row r="5" spans="1:2" x14ac:dyDescent="0.35">
      <c r="A5" t="s">
        <v>10</v>
      </c>
      <c r="B5">
        <v>2</v>
      </c>
    </row>
    <row r="6" spans="1:2" x14ac:dyDescent="0.35">
      <c r="A6" t="s">
        <v>11</v>
      </c>
      <c r="B6">
        <v>2</v>
      </c>
    </row>
    <row r="7" spans="1:2" x14ac:dyDescent="0.35">
      <c r="A7" t="s">
        <v>12</v>
      </c>
      <c r="B7">
        <v>2</v>
      </c>
    </row>
    <row r="8" spans="1:2" x14ac:dyDescent="0.35">
      <c r="A8" t="s">
        <v>13</v>
      </c>
      <c r="B8">
        <v>2</v>
      </c>
    </row>
    <row r="9" spans="1:2" x14ac:dyDescent="0.35">
      <c r="A9" t="s">
        <v>14</v>
      </c>
      <c r="B9">
        <v>2</v>
      </c>
    </row>
    <row r="10" spans="1:2" x14ac:dyDescent="0.35">
      <c r="A10" t="s">
        <v>15</v>
      </c>
      <c r="B10">
        <v>2</v>
      </c>
    </row>
    <row r="11" spans="1:2" x14ac:dyDescent="0.35">
      <c r="A11" t="s">
        <v>16</v>
      </c>
      <c r="B11">
        <v>2</v>
      </c>
    </row>
    <row r="12" spans="1:2" x14ac:dyDescent="0.35">
      <c r="A12" t="s">
        <v>17</v>
      </c>
      <c r="B12">
        <v>2</v>
      </c>
    </row>
    <row r="13" spans="1:2" x14ac:dyDescent="0.35">
      <c r="A13" t="s">
        <v>18</v>
      </c>
      <c r="B13">
        <v>2</v>
      </c>
    </row>
    <row r="14" spans="1:2" x14ac:dyDescent="0.35">
      <c r="A14" t="s">
        <v>19</v>
      </c>
      <c r="B14">
        <v>2</v>
      </c>
    </row>
    <row r="15" spans="1:2" x14ac:dyDescent="0.35">
      <c r="A15" t="s">
        <v>20</v>
      </c>
      <c r="B15">
        <v>2</v>
      </c>
    </row>
    <row r="16" spans="1:2" x14ac:dyDescent="0.35">
      <c r="A16" t="s">
        <v>21</v>
      </c>
      <c r="B16">
        <v>2</v>
      </c>
    </row>
    <row r="17" spans="1:2" x14ac:dyDescent="0.35">
      <c r="A17" t="s">
        <v>22</v>
      </c>
      <c r="B17">
        <v>2</v>
      </c>
    </row>
    <row r="18" spans="1:2" x14ac:dyDescent="0.35">
      <c r="A18" t="s">
        <v>23</v>
      </c>
      <c r="B18">
        <v>2</v>
      </c>
    </row>
    <row r="19" spans="1:2" x14ac:dyDescent="0.35">
      <c r="A19" t="s">
        <v>24</v>
      </c>
      <c r="B19">
        <v>2</v>
      </c>
    </row>
    <row r="20" spans="1:2" x14ac:dyDescent="0.35">
      <c r="A20" t="s">
        <v>25</v>
      </c>
      <c r="B20">
        <v>2</v>
      </c>
    </row>
    <row r="21" spans="1:2" x14ac:dyDescent="0.35">
      <c r="A21" t="s">
        <v>26</v>
      </c>
      <c r="B21">
        <v>2</v>
      </c>
    </row>
    <row r="22" spans="1:2" x14ac:dyDescent="0.35">
      <c r="A22" t="s">
        <v>27</v>
      </c>
      <c r="B22">
        <v>2</v>
      </c>
    </row>
    <row r="23" spans="1:2" x14ac:dyDescent="0.35">
      <c r="A23" t="s">
        <v>28</v>
      </c>
      <c r="B23">
        <v>2</v>
      </c>
    </row>
    <row r="24" spans="1:2" x14ac:dyDescent="0.35">
      <c r="A24" t="s">
        <v>29</v>
      </c>
      <c r="B24">
        <v>2</v>
      </c>
    </row>
    <row r="25" spans="1:2" x14ac:dyDescent="0.35">
      <c r="A25" t="s">
        <v>30</v>
      </c>
      <c r="B25">
        <v>2</v>
      </c>
    </row>
    <row r="26" spans="1:2" x14ac:dyDescent="0.35">
      <c r="A26" t="s">
        <v>31</v>
      </c>
      <c r="B26">
        <v>2</v>
      </c>
    </row>
    <row r="27" spans="1:2" x14ac:dyDescent="0.35">
      <c r="A27" t="s">
        <v>32</v>
      </c>
      <c r="B27">
        <v>2</v>
      </c>
    </row>
    <row r="28" spans="1:2" x14ac:dyDescent="0.35">
      <c r="A28" t="s">
        <v>33</v>
      </c>
      <c r="B28">
        <v>2</v>
      </c>
    </row>
    <row r="29" spans="1:2" x14ac:dyDescent="0.35">
      <c r="A29" t="s">
        <v>34</v>
      </c>
      <c r="B29">
        <v>2</v>
      </c>
    </row>
    <row r="30" spans="1:2" x14ac:dyDescent="0.35">
      <c r="A30" t="s">
        <v>35</v>
      </c>
      <c r="B30">
        <v>2</v>
      </c>
    </row>
    <row r="31" spans="1:2" x14ac:dyDescent="0.35">
      <c r="A31" t="s">
        <v>36</v>
      </c>
      <c r="B31">
        <v>2</v>
      </c>
    </row>
    <row r="32" spans="1:2" x14ac:dyDescent="0.35">
      <c r="A32" t="s">
        <v>37</v>
      </c>
      <c r="B32">
        <v>2</v>
      </c>
    </row>
    <row r="33" spans="1:2" x14ac:dyDescent="0.35">
      <c r="A33" t="s">
        <v>38</v>
      </c>
      <c r="B33">
        <v>2</v>
      </c>
    </row>
    <row r="34" spans="1:2" x14ac:dyDescent="0.35">
      <c r="A34" t="s">
        <v>39</v>
      </c>
      <c r="B34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-1.1499999999999999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/>
  <dimension ref="A1:B34"/>
  <sheetViews>
    <sheetView workbookViewId="0">
      <selection activeCell="A2" sqref="A2:B34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1</v>
      </c>
    </row>
    <row r="3" spans="1:2" x14ac:dyDescent="0.35">
      <c r="A3" t="s">
        <v>8</v>
      </c>
      <c r="B3">
        <v>1</v>
      </c>
    </row>
    <row r="4" spans="1:2" x14ac:dyDescent="0.35">
      <c r="A4" t="s">
        <v>9</v>
      </c>
      <c r="B4">
        <v>1</v>
      </c>
    </row>
    <row r="5" spans="1:2" x14ac:dyDescent="0.35">
      <c r="A5" t="s">
        <v>10</v>
      </c>
      <c r="B5">
        <v>1</v>
      </c>
    </row>
    <row r="6" spans="1:2" x14ac:dyDescent="0.35">
      <c r="A6" t="s">
        <v>11</v>
      </c>
      <c r="B6">
        <v>1</v>
      </c>
    </row>
    <row r="7" spans="1:2" x14ac:dyDescent="0.35">
      <c r="A7" t="s">
        <v>12</v>
      </c>
      <c r="B7">
        <v>1</v>
      </c>
    </row>
    <row r="8" spans="1:2" x14ac:dyDescent="0.35">
      <c r="A8" t="s">
        <v>13</v>
      </c>
      <c r="B8">
        <v>1</v>
      </c>
    </row>
    <row r="9" spans="1:2" x14ac:dyDescent="0.35">
      <c r="A9" t="s">
        <v>14</v>
      </c>
      <c r="B9">
        <v>1</v>
      </c>
    </row>
    <row r="10" spans="1:2" x14ac:dyDescent="0.35">
      <c r="A10" t="s">
        <v>15</v>
      </c>
      <c r="B10">
        <v>1</v>
      </c>
    </row>
    <row r="11" spans="1:2" x14ac:dyDescent="0.35">
      <c r="A11" t="s">
        <v>16</v>
      </c>
      <c r="B11">
        <v>1</v>
      </c>
    </row>
    <row r="12" spans="1:2" x14ac:dyDescent="0.35">
      <c r="A12" t="s">
        <v>17</v>
      </c>
      <c r="B12">
        <v>1</v>
      </c>
    </row>
    <row r="13" spans="1:2" x14ac:dyDescent="0.35">
      <c r="A13" t="s">
        <v>18</v>
      </c>
      <c r="B13">
        <v>1</v>
      </c>
    </row>
    <row r="14" spans="1:2" x14ac:dyDescent="0.35">
      <c r="A14" t="s">
        <v>19</v>
      </c>
      <c r="B14">
        <v>1</v>
      </c>
    </row>
    <row r="15" spans="1:2" x14ac:dyDescent="0.35">
      <c r="A15" t="s">
        <v>20</v>
      </c>
      <c r="B15">
        <v>1</v>
      </c>
    </row>
    <row r="16" spans="1:2" x14ac:dyDescent="0.35">
      <c r="A16" t="s">
        <v>21</v>
      </c>
      <c r="B16">
        <v>1</v>
      </c>
    </row>
    <row r="17" spans="1:2" x14ac:dyDescent="0.35">
      <c r="A17" t="s">
        <v>22</v>
      </c>
      <c r="B17">
        <v>1</v>
      </c>
    </row>
    <row r="18" spans="1:2" x14ac:dyDescent="0.35">
      <c r="A18" t="s">
        <v>23</v>
      </c>
      <c r="B18">
        <v>1</v>
      </c>
    </row>
    <row r="19" spans="1:2" x14ac:dyDescent="0.35">
      <c r="A19" t="s">
        <v>24</v>
      </c>
      <c r="B19">
        <v>1</v>
      </c>
    </row>
    <row r="20" spans="1:2" x14ac:dyDescent="0.35">
      <c r="A20" t="s">
        <v>25</v>
      </c>
      <c r="B20">
        <v>1</v>
      </c>
    </row>
    <row r="21" spans="1:2" x14ac:dyDescent="0.35">
      <c r="A21" t="s">
        <v>26</v>
      </c>
      <c r="B21">
        <v>1</v>
      </c>
    </row>
    <row r="22" spans="1:2" x14ac:dyDescent="0.35">
      <c r="A22" t="s">
        <v>27</v>
      </c>
      <c r="B22">
        <v>1</v>
      </c>
    </row>
    <row r="23" spans="1:2" x14ac:dyDescent="0.35">
      <c r="A23" t="s">
        <v>28</v>
      </c>
      <c r="B23">
        <v>1</v>
      </c>
    </row>
    <row r="24" spans="1:2" x14ac:dyDescent="0.35">
      <c r="A24" t="s">
        <v>29</v>
      </c>
      <c r="B24">
        <v>1</v>
      </c>
    </row>
    <row r="25" spans="1:2" x14ac:dyDescent="0.35">
      <c r="A25" t="s">
        <v>30</v>
      </c>
      <c r="B25">
        <v>1</v>
      </c>
    </row>
    <row r="26" spans="1:2" x14ac:dyDescent="0.35">
      <c r="A26" t="s">
        <v>31</v>
      </c>
      <c r="B26">
        <v>1</v>
      </c>
    </row>
    <row r="27" spans="1:2" x14ac:dyDescent="0.35">
      <c r="A27" t="s">
        <v>32</v>
      </c>
      <c r="B27">
        <v>1</v>
      </c>
    </row>
    <row r="28" spans="1:2" x14ac:dyDescent="0.35">
      <c r="A28" t="s">
        <v>33</v>
      </c>
      <c r="B28">
        <v>1</v>
      </c>
    </row>
    <row r="29" spans="1:2" x14ac:dyDescent="0.35">
      <c r="A29" t="s">
        <v>34</v>
      </c>
      <c r="B29">
        <v>1</v>
      </c>
    </row>
    <row r="30" spans="1:2" x14ac:dyDescent="0.35">
      <c r="A30" t="s">
        <v>35</v>
      </c>
      <c r="B30">
        <v>1</v>
      </c>
    </row>
    <row r="31" spans="1:2" x14ac:dyDescent="0.35">
      <c r="A31" t="s">
        <v>36</v>
      </c>
      <c r="B31">
        <v>1</v>
      </c>
    </row>
    <row r="32" spans="1:2" x14ac:dyDescent="0.35">
      <c r="A32" t="s">
        <v>37</v>
      </c>
      <c r="B32">
        <v>1</v>
      </c>
    </row>
    <row r="33" spans="1:2" x14ac:dyDescent="0.35">
      <c r="A33" t="s">
        <v>38</v>
      </c>
      <c r="B33">
        <v>1</v>
      </c>
    </row>
    <row r="34" spans="1:2" x14ac:dyDescent="0.35">
      <c r="A34" t="s">
        <v>39</v>
      </c>
      <c r="B34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5"/>
  <dimension ref="A1:B34"/>
  <sheetViews>
    <sheetView workbookViewId="0">
      <selection activeCell="A2" sqref="A2:B34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t="s">
        <v>7</v>
      </c>
      <c r="B2">
        <v>-4.4000000000000004</v>
      </c>
    </row>
    <row r="3" spans="1:2" x14ac:dyDescent="0.35">
      <c r="A3" t="s">
        <v>8</v>
      </c>
      <c r="B3">
        <v>-5.6</v>
      </c>
    </row>
    <row r="4" spans="1:2" x14ac:dyDescent="0.35">
      <c r="A4" t="s">
        <v>9</v>
      </c>
      <c r="B4">
        <v>-4.7</v>
      </c>
    </row>
    <row r="5" spans="1:2" x14ac:dyDescent="0.35">
      <c r="A5" t="s">
        <v>10</v>
      </c>
      <c r="B5">
        <v>-6.7</v>
      </c>
    </row>
    <row r="6" spans="1:2" x14ac:dyDescent="0.35">
      <c r="A6" t="s">
        <v>11</v>
      </c>
      <c r="B6">
        <v>-3.6</v>
      </c>
    </row>
    <row r="7" spans="1:2" x14ac:dyDescent="0.35">
      <c r="A7" t="s">
        <v>12</v>
      </c>
      <c r="B7">
        <v>-3.6</v>
      </c>
    </row>
    <row r="8" spans="1:2" x14ac:dyDescent="0.35">
      <c r="A8" t="s">
        <v>13</v>
      </c>
      <c r="B8">
        <v>-3.6</v>
      </c>
    </row>
    <row r="9" spans="1:2" x14ac:dyDescent="0.35">
      <c r="A9" t="s">
        <v>14</v>
      </c>
      <c r="B9">
        <v>-3.6</v>
      </c>
    </row>
    <row r="10" spans="1:2" x14ac:dyDescent="0.35">
      <c r="A10" t="s">
        <v>15</v>
      </c>
      <c r="B10">
        <v>-3.6</v>
      </c>
    </row>
    <row r="11" spans="1:2" x14ac:dyDescent="0.35">
      <c r="A11" t="s">
        <v>16</v>
      </c>
      <c r="B11">
        <v>-3.6</v>
      </c>
    </row>
    <row r="12" spans="1:2" x14ac:dyDescent="0.35">
      <c r="A12" t="s">
        <v>17</v>
      </c>
      <c r="B12">
        <v>-3.6</v>
      </c>
    </row>
    <row r="13" spans="1:2" x14ac:dyDescent="0.35">
      <c r="A13" t="s">
        <v>18</v>
      </c>
      <c r="B13">
        <v>-3.6</v>
      </c>
    </row>
    <row r="14" spans="1:2" x14ac:dyDescent="0.35">
      <c r="A14" t="s">
        <v>19</v>
      </c>
      <c r="B14">
        <v>-3.6</v>
      </c>
    </row>
    <row r="15" spans="1:2" x14ac:dyDescent="0.35">
      <c r="A15" t="s">
        <v>20</v>
      </c>
      <c r="B15">
        <v>-3.6</v>
      </c>
    </row>
    <row r="16" spans="1:2" x14ac:dyDescent="0.35">
      <c r="A16" t="s">
        <v>21</v>
      </c>
      <c r="B16">
        <v>-3.6</v>
      </c>
    </row>
    <row r="17" spans="1:2" x14ac:dyDescent="0.35">
      <c r="A17" t="s">
        <v>22</v>
      </c>
      <c r="B17">
        <v>-3.6</v>
      </c>
    </row>
    <row r="18" spans="1:2" x14ac:dyDescent="0.35">
      <c r="A18" t="s">
        <v>23</v>
      </c>
      <c r="B18">
        <v>-4</v>
      </c>
    </row>
    <row r="19" spans="1:2" x14ac:dyDescent="0.35">
      <c r="A19" t="s">
        <v>24</v>
      </c>
      <c r="B19">
        <v>-4</v>
      </c>
    </row>
    <row r="20" spans="1:2" x14ac:dyDescent="0.35">
      <c r="A20" t="s">
        <v>25</v>
      </c>
      <c r="B20">
        <v>-4</v>
      </c>
    </row>
    <row r="21" spans="1:2" x14ac:dyDescent="0.35">
      <c r="A21" t="s">
        <v>26</v>
      </c>
      <c r="B21">
        <v>-4</v>
      </c>
    </row>
    <row r="22" spans="1:2" x14ac:dyDescent="0.35">
      <c r="A22" t="s">
        <v>27</v>
      </c>
      <c r="B22">
        <v>-4</v>
      </c>
    </row>
    <row r="23" spans="1:2" x14ac:dyDescent="0.35">
      <c r="A23" t="s">
        <v>28</v>
      </c>
      <c r="B23">
        <v>-4</v>
      </c>
    </row>
    <row r="24" spans="1:2" x14ac:dyDescent="0.35">
      <c r="A24" t="s">
        <v>29</v>
      </c>
      <c r="B24">
        <v>-4</v>
      </c>
    </row>
    <row r="25" spans="1:2" x14ac:dyDescent="0.35">
      <c r="A25" t="s">
        <v>30</v>
      </c>
      <c r="B25">
        <v>-4</v>
      </c>
    </row>
    <row r="26" spans="1:2" x14ac:dyDescent="0.35">
      <c r="A26" t="s">
        <v>31</v>
      </c>
      <c r="B26">
        <v>-4</v>
      </c>
    </row>
    <row r="27" spans="1:2" x14ac:dyDescent="0.35">
      <c r="A27" t="s">
        <v>32</v>
      </c>
      <c r="B27">
        <v>-4</v>
      </c>
    </row>
    <row r="28" spans="1:2" x14ac:dyDescent="0.35">
      <c r="A28" t="s">
        <v>33</v>
      </c>
      <c r="B28">
        <v>-4</v>
      </c>
    </row>
    <row r="29" spans="1:2" x14ac:dyDescent="0.35">
      <c r="A29" t="s">
        <v>34</v>
      </c>
      <c r="B29">
        <v>-4</v>
      </c>
    </row>
    <row r="30" spans="1:2" x14ac:dyDescent="0.35">
      <c r="A30" t="s">
        <v>35</v>
      </c>
      <c r="B30">
        <v>-4</v>
      </c>
    </row>
    <row r="31" spans="1:2" x14ac:dyDescent="0.35">
      <c r="A31" t="s">
        <v>36</v>
      </c>
      <c r="B31">
        <v>-4</v>
      </c>
    </row>
    <row r="32" spans="1:2" x14ac:dyDescent="0.35">
      <c r="A32" t="s">
        <v>37</v>
      </c>
      <c r="B32">
        <v>-4</v>
      </c>
    </row>
    <row r="33" spans="1:2" x14ac:dyDescent="0.35">
      <c r="A33" t="s">
        <v>38</v>
      </c>
      <c r="B33">
        <v>-4</v>
      </c>
    </row>
    <row r="34" spans="1:2" x14ac:dyDescent="0.35">
      <c r="A34" t="s">
        <v>39</v>
      </c>
      <c r="B34">
        <v>-4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6"/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-2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7"/>
  <dimension ref="A1:A34"/>
  <sheetViews>
    <sheetView workbookViewId="0">
      <selection activeCell="K11" sqref="K1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13</v>
      </c>
    </row>
    <row r="9" spans="1:1" x14ac:dyDescent="0.35">
      <c r="A9" t="s">
        <v>14</v>
      </c>
    </row>
    <row r="10" spans="1:1" x14ac:dyDescent="0.35">
      <c r="A10" t="s">
        <v>15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37</v>
      </c>
    </row>
    <row r="33" spans="1:1" x14ac:dyDescent="0.35">
      <c r="A33" t="s">
        <v>38</v>
      </c>
    </row>
    <row r="34" spans="1:1" x14ac:dyDescent="0.35">
      <c r="A34" t="s">
        <v>39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80AD-CEE7-4874-B0D7-C293E8B1A68B}">
  <dimension ref="A1:R35"/>
  <sheetViews>
    <sheetView workbookViewId="0">
      <selection activeCell="AF38" sqref="AF38"/>
    </sheetView>
  </sheetViews>
  <sheetFormatPr defaultRowHeight="14.5" x14ac:dyDescent="0.35"/>
  <sheetData>
    <row r="1" spans="1:18" x14ac:dyDescent="0.35">
      <c r="A1" s="1" t="s">
        <v>1</v>
      </c>
      <c r="B1" s="1" t="s">
        <v>0</v>
      </c>
    </row>
    <row r="2" spans="1:18" x14ac:dyDescent="0.35">
      <c r="A2" t="s">
        <v>7</v>
      </c>
      <c r="B2">
        <v>1</v>
      </c>
    </row>
    <row r="3" spans="1:18" x14ac:dyDescent="0.35">
      <c r="A3" t="s">
        <v>8</v>
      </c>
      <c r="B3">
        <v>1</v>
      </c>
    </row>
    <row r="4" spans="1:18" x14ac:dyDescent="0.35">
      <c r="A4" t="s">
        <v>9</v>
      </c>
      <c r="B4">
        <v>1</v>
      </c>
    </row>
    <row r="5" spans="1:18" x14ac:dyDescent="0.35">
      <c r="A5" t="s">
        <v>10</v>
      </c>
      <c r="B5">
        <v>1</v>
      </c>
    </row>
    <row r="6" spans="1:18" x14ac:dyDescent="0.35">
      <c r="A6" t="s">
        <v>11</v>
      </c>
      <c r="B6">
        <v>1</v>
      </c>
    </row>
    <row r="7" spans="1:18" x14ac:dyDescent="0.35">
      <c r="A7" t="s">
        <v>12</v>
      </c>
      <c r="B7">
        <v>1</v>
      </c>
    </row>
    <row r="8" spans="1:18" x14ac:dyDescent="0.35">
      <c r="A8" t="s">
        <v>13</v>
      </c>
      <c r="B8">
        <v>1</v>
      </c>
    </row>
    <row r="9" spans="1:18" x14ac:dyDescent="0.35">
      <c r="A9" t="s">
        <v>14</v>
      </c>
      <c r="B9">
        <v>1</v>
      </c>
    </row>
    <row r="10" spans="1:18" x14ac:dyDescent="0.35">
      <c r="A10" t="s">
        <v>15</v>
      </c>
      <c r="B10">
        <v>1</v>
      </c>
    </row>
    <row r="11" spans="1:18" x14ac:dyDescent="0.35">
      <c r="A11" t="s">
        <v>16</v>
      </c>
      <c r="B11">
        <v>1</v>
      </c>
    </row>
    <row r="12" spans="1:18" x14ac:dyDescent="0.35">
      <c r="A12" t="s">
        <v>17</v>
      </c>
      <c r="B12">
        <v>1</v>
      </c>
      <c r="R12" s="7"/>
    </row>
    <row r="13" spans="1:18" x14ac:dyDescent="0.35">
      <c r="A13" t="s">
        <v>18</v>
      </c>
      <c r="B13">
        <v>1</v>
      </c>
      <c r="R13" s="7"/>
    </row>
    <row r="14" spans="1:18" x14ac:dyDescent="0.35">
      <c r="A14" t="s">
        <v>19</v>
      </c>
      <c r="B14">
        <v>1</v>
      </c>
      <c r="R14" s="7"/>
    </row>
    <row r="15" spans="1:18" x14ac:dyDescent="0.35">
      <c r="A15" t="s">
        <v>20</v>
      </c>
      <c r="B15">
        <v>1</v>
      </c>
      <c r="R15" s="7"/>
    </row>
    <row r="16" spans="1:18" x14ac:dyDescent="0.35">
      <c r="A16" t="s">
        <v>21</v>
      </c>
      <c r="B16">
        <v>1</v>
      </c>
      <c r="R16" s="7"/>
    </row>
    <row r="17" spans="1:18" x14ac:dyDescent="0.35">
      <c r="A17" t="s">
        <v>22</v>
      </c>
      <c r="B17">
        <v>1</v>
      </c>
      <c r="R17" s="7"/>
    </row>
    <row r="18" spans="1:18" x14ac:dyDescent="0.35">
      <c r="A18" t="s">
        <v>23</v>
      </c>
      <c r="B18">
        <v>1</v>
      </c>
      <c r="R18" s="7"/>
    </row>
    <row r="19" spans="1:18" x14ac:dyDescent="0.35">
      <c r="A19" t="s">
        <v>24</v>
      </c>
      <c r="B19">
        <v>1</v>
      </c>
      <c r="R19" s="7"/>
    </row>
    <row r="20" spans="1:18" x14ac:dyDescent="0.35">
      <c r="A20" t="s">
        <v>25</v>
      </c>
      <c r="B20">
        <v>1</v>
      </c>
      <c r="R20" s="7"/>
    </row>
    <row r="21" spans="1:18" x14ac:dyDescent="0.35">
      <c r="A21" t="s">
        <v>26</v>
      </c>
      <c r="B21">
        <v>1</v>
      </c>
      <c r="R21" s="7"/>
    </row>
    <row r="22" spans="1:18" x14ac:dyDescent="0.35">
      <c r="A22" t="s">
        <v>27</v>
      </c>
      <c r="B22">
        <v>1</v>
      </c>
      <c r="R22" s="7"/>
    </row>
    <row r="23" spans="1:18" x14ac:dyDescent="0.35">
      <c r="A23" t="s">
        <v>28</v>
      </c>
      <c r="B23">
        <v>1</v>
      </c>
      <c r="R23" s="7"/>
    </row>
    <row r="24" spans="1:18" x14ac:dyDescent="0.35">
      <c r="A24" t="s">
        <v>29</v>
      </c>
      <c r="B24">
        <v>1</v>
      </c>
      <c r="R24" s="7"/>
    </row>
    <row r="25" spans="1:18" x14ac:dyDescent="0.35">
      <c r="A25" t="s">
        <v>30</v>
      </c>
      <c r="B25">
        <v>1</v>
      </c>
      <c r="R25" s="7"/>
    </row>
    <row r="26" spans="1:18" x14ac:dyDescent="0.35">
      <c r="A26" t="s">
        <v>31</v>
      </c>
      <c r="B26">
        <v>1</v>
      </c>
      <c r="R26" s="7"/>
    </row>
    <row r="27" spans="1:18" x14ac:dyDescent="0.35">
      <c r="A27" t="s">
        <v>32</v>
      </c>
      <c r="B27">
        <v>1</v>
      </c>
      <c r="R27" s="7"/>
    </row>
    <row r="28" spans="1:18" x14ac:dyDescent="0.35">
      <c r="A28" t="s">
        <v>33</v>
      </c>
      <c r="B28">
        <v>1</v>
      </c>
      <c r="R28" s="7"/>
    </row>
    <row r="29" spans="1:18" x14ac:dyDescent="0.35">
      <c r="A29" t="s">
        <v>34</v>
      </c>
      <c r="B29">
        <v>1</v>
      </c>
      <c r="R29" s="7"/>
    </row>
    <row r="30" spans="1:18" x14ac:dyDescent="0.35">
      <c r="A30" t="s">
        <v>35</v>
      </c>
      <c r="B30">
        <v>1</v>
      </c>
      <c r="R30" s="7"/>
    </row>
    <row r="31" spans="1:18" x14ac:dyDescent="0.35">
      <c r="A31" t="s">
        <v>36</v>
      </c>
      <c r="B31">
        <v>1</v>
      </c>
      <c r="R31" s="7"/>
    </row>
    <row r="32" spans="1:18" x14ac:dyDescent="0.35">
      <c r="A32" t="s">
        <v>37</v>
      </c>
      <c r="B32">
        <v>1</v>
      </c>
      <c r="R32" s="7"/>
    </row>
    <row r="33" spans="1:18" x14ac:dyDescent="0.35">
      <c r="A33" t="s">
        <v>38</v>
      </c>
      <c r="B33">
        <v>1</v>
      </c>
      <c r="R33" s="7"/>
    </row>
    <row r="34" spans="1:18" x14ac:dyDescent="0.35">
      <c r="A34" t="s">
        <v>39</v>
      </c>
      <c r="B34">
        <v>1</v>
      </c>
      <c r="R34" s="7"/>
    </row>
    <row r="35" spans="1:18" x14ac:dyDescent="0.35">
      <c r="R3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Notes and calculations</vt:lpstr>
      <vt:lpstr>COM</vt:lpstr>
      <vt:lpstr>IND</vt:lpstr>
      <vt:lpstr>OCC</vt:lpstr>
      <vt:lpstr>LELAS</vt:lpstr>
      <vt:lpstr>1BAS</vt:lpstr>
      <vt:lpstr>VCAPSTOCK</vt:lpstr>
      <vt:lpstr>VDEP</vt:lpstr>
      <vt:lpstr>2BAS Calcs</vt:lpstr>
      <vt:lpstr>2BAS</vt:lpstr>
      <vt:lpstr>3BAS</vt:lpstr>
      <vt:lpstr>4BAS</vt:lpstr>
      <vt:lpstr>5BAS</vt:lpstr>
      <vt:lpstr>6BAS</vt:lpstr>
      <vt:lpstr>1TAX</vt:lpstr>
      <vt:lpstr>2TAX</vt:lpstr>
      <vt:lpstr>3TAX</vt:lpstr>
      <vt:lpstr>4TAX</vt:lpstr>
      <vt:lpstr>5TAX</vt:lpstr>
      <vt:lpstr>1CAP</vt:lpstr>
      <vt:lpstr>EMPL</vt:lpstr>
      <vt:lpstr>1LAB</vt:lpstr>
      <vt:lpstr>1LND</vt:lpstr>
      <vt:lpstr>1PTX</vt:lpstr>
      <vt:lpstr>1OCT</vt:lpstr>
      <vt:lpstr>MAKE</vt:lpstr>
      <vt:lpstr>0TAR</vt:lpstr>
      <vt:lpstr>SLAB</vt:lpstr>
      <vt:lpstr>SCAP</vt:lpstr>
      <vt:lpstr>P028</vt:lpstr>
      <vt:lpstr>1ARM</vt:lpstr>
      <vt:lpstr>SCET</vt:lpstr>
      <vt:lpstr>2ARM</vt:lpstr>
      <vt:lpstr>3ARM</vt:lpstr>
      <vt:lpstr>P021</vt:lpstr>
      <vt:lpstr>XPEL</vt:lpstr>
      <vt:lpstr>P018</vt:lpstr>
      <vt:lpstr>EXNT</vt:lpstr>
      <vt:lpstr>ITEX</vt:lpstr>
      <vt:lpstr>ARATIO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 Scealy</cp:lastModifiedBy>
  <dcterms:created xsi:type="dcterms:W3CDTF">2025-09-02T23:54:15Z</dcterms:created>
  <dcterms:modified xsi:type="dcterms:W3CDTF">2025-11-17T07:23:52Z</dcterms:modified>
</cp:coreProperties>
</file>
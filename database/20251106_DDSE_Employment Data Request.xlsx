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qaive-my.sharepoint.com/personal/bob_scealy_qaive_com_au/Documents/Desktop/Qaive/Jobs/PWC001 - UAE/CGE/15 - Orani Dubai - new SAM/Master version/database/"/>
    </mc:Choice>
  </mc:AlternateContent>
  <xr:revisionPtr revIDLastSave="11" documentId="8_{33A9E580-F098-4716-A051-1A761D044B6A}" xr6:coauthVersionLast="47" xr6:coauthVersionMax="47" xr10:uidLastSave="{ECE2F251-8B89-412E-BAFE-FB8AE033BADE}"/>
  <bookViews>
    <workbookView xWindow="-38510" yWindow="-16090" windowWidth="38620" windowHeight="21100" activeTab="1" xr2:uid="{00000000-000D-0000-FFFF-FFFF00000000}"/>
  </bookViews>
  <sheets>
    <sheet name="Data request index" sheetId="5" r:id="rId1"/>
    <sheet name="1. Employees" sheetId="1" r:id="rId2"/>
    <sheet name="2. Compensation of Employe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28" i="3"/>
  <c r="E27" i="3"/>
  <c r="E23" i="3"/>
  <c r="E21" i="3"/>
  <c r="E18" i="3"/>
  <c r="E11" i="3"/>
  <c r="N29" i="3"/>
  <c r="M29" i="3"/>
  <c r="K29" i="3"/>
  <c r="N30" i="3"/>
  <c r="M30" i="3"/>
  <c r="K30" i="3"/>
  <c r="N28" i="3"/>
  <c r="M28" i="3"/>
  <c r="K28" i="3"/>
  <c r="N27" i="3"/>
  <c r="M27" i="3"/>
  <c r="K27" i="3"/>
  <c r="N26" i="3"/>
  <c r="M26" i="3"/>
  <c r="K26" i="3"/>
  <c r="N25" i="3"/>
  <c r="M25" i="3"/>
  <c r="K25" i="3"/>
  <c r="N24" i="3"/>
  <c r="M24" i="3"/>
  <c r="K24" i="3"/>
  <c r="N23" i="3"/>
  <c r="M23" i="3"/>
  <c r="K23" i="3"/>
  <c r="N22" i="3"/>
  <c r="M22" i="3"/>
  <c r="K22" i="3"/>
  <c r="N21" i="3"/>
  <c r="M21" i="3"/>
  <c r="K21" i="3"/>
  <c r="N20" i="3"/>
  <c r="M20" i="3"/>
  <c r="K20" i="3"/>
  <c r="N19" i="3"/>
  <c r="M19" i="3"/>
  <c r="K19" i="3"/>
  <c r="N18" i="3"/>
  <c r="M18" i="3"/>
  <c r="K18" i="3"/>
  <c r="N17" i="3"/>
  <c r="M17" i="3"/>
  <c r="K17" i="3"/>
  <c r="N16" i="3"/>
  <c r="M16" i="3"/>
  <c r="K16" i="3"/>
  <c r="N15" i="3"/>
  <c r="M15" i="3"/>
  <c r="K15" i="3"/>
  <c r="N14" i="3"/>
  <c r="M14" i="3"/>
  <c r="K14" i="3"/>
  <c r="N13" i="3"/>
  <c r="M13" i="3"/>
  <c r="K13" i="3"/>
  <c r="N12" i="3"/>
  <c r="M12" i="3"/>
  <c r="K12" i="3"/>
  <c r="N11" i="3"/>
  <c r="M11" i="3"/>
  <c r="K11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D30" i="3"/>
  <c r="E30" i="3" s="1"/>
  <c r="D29" i="3"/>
  <c r="E29" i="3" s="1"/>
  <c r="D28" i="3"/>
  <c r="D27" i="3"/>
  <c r="D26" i="3"/>
  <c r="E26" i="3" s="1"/>
  <c r="D25" i="3"/>
  <c r="E25" i="3" s="1"/>
  <c r="D24" i="3"/>
  <c r="E24" i="3" s="1"/>
  <c r="D23" i="3"/>
  <c r="D22" i="3"/>
  <c r="E22" i="3" s="1"/>
  <c r="D21" i="3"/>
  <c r="D20" i="3"/>
  <c r="E20" i="3" s="1"/>
  <c r="D19" i="3"/>
  <c r="E19" i="3" s="1"/>
  <c r="D18" i="3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B30" i="1"/>
  <c r="D30" i="1" l="1"/>
  <c r="J30" i="3"/>
</calcChain>
</file>

<file path=xl/sharedStrings.xml><?xml version="1.0" encoding="utf-8"?>
<sst xmlns="http://schemas.openxmlformats.org/spreadsheetml/2006/main" count="68" uniqueCount="36">
  <si>
    <t xml:space="preserve">Data request </t>
  </si>
  <si>
    <t>Index</t>
  </si>
  <si>
    <t>Employees by Economic Activity</t>
  </si>
  <si>
    <t>Link</t>
  </si>
  <si>
    <t>compensation of Employees by Economic Activity</t>
  </si>
  <si>
    <r>
      <t xml:space="preserve">Kindly note all cells </t>
    </r>
    <r>
      <rPr>
        <b/>
        <u/>
        <sz val="11"/>
        <color theme="1"/>
        <rFont val="Aptos Narrow"/>
        <family val="2"/>
        <scheme val="minor"/>
      </rPr>
      <t xml:space="preserve">highlighted in 'Yellow' indicate input cells </t>
    </r>
    <r>
      <rPr>
        <sz val="11"/>
        <color theme="1"/>
        <rFont val="Aptos Narrow"/>
        <family val="2"/>
        <scheme val="minor"/>
      </rPr>
      <t xml:space="preserve">that are essential </t>
    </r>
  </si>
  <si>
    <t>Economic Activity</t>
  </si>
  <si>
    <t>Revised 2022</t>
  </si>
  <si>
    <t>Difference
2022</t>
  </si>
  <si>
    <t>2024*</t>
  </si>
  <si>
    <t>Agriculture, forestry and fishing</t>
  </si>
  <si>
    <t>Mining and quarrying</t>
  </si>
  <si>
    <t>Manufacturing</t>
  </si>
  <si>
    <t>Electricity, gas, and water supply; waste management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</si>
  <si>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</si>
  <si>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</si>
  <si>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</si>
  <si>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</si>
  <si>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</si>
  <si>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</si>
  <si>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</si>
  <si>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</si>
  <si>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</si>
  <si>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</si>
  <si>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</si>
  <si>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</si>
  <si>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</si>
  <si>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</si>
  <si>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 and services-producing activities of households for own use</t>
  </si>
  <si>
    <t>Total</t>
  </si>
  <si>
    <t>To be updated /  provided</t>
  </si>
  <si>
    <t xml:space="preserve">*  Preliminary Estimation  </t>
  </si>
  <si>
    <t>Compensation of Employees by Economic Activity</t>
  </si>
  <si>
    <t>Value in Million AED</t>
  </si>
  <si>
    <t>Compensation of employees/ employee</t>
  </si>
  <si>
    <t>% change from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</si>
</sst>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Wisoft pro"/>
    </font>
    <font>
      <sz val="11"/>
      <color indexed="63"/>
      <name val="Wisoft pro"/>
    </font>
    <font>
      <b/>
      <sz val="11"/>
      <color indexed="63"/>
      <name val="Wisoft pro"/>
    </font>
    <font>
      <sz val="11"/>
      <color theme="1"/>
      <name val="Calibri"/>
      <family val="2"/>
    </font>
    <font>
      <sz val="10"/>
      <color indexed="63"/>
      <name val="Wisoft pro"/>
    </font>
    <font>
      <u/>
      <sz val="11"/>
      <color theme="10"/>
      <name val="Aptos Narrow"/>
      <family val="2"/>
      <scheme val="minor"/>
    </font>
    <font>
      <sz val="9"/>
      <color indexed="63"/>
      <name val="Wisoft pro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333333"/>
      <name val="Wisoft Pro"/>
    </font>
    <font>
      <b/>
      <sz val="11"/>
      <color rgb="FF333333"/>
      <name val="Wisoft Pro"/>
    </font>
    <font>
      <b/>
      <sz val="10"/>
      <color rgb="FFFF0000"/>
      <name val="Wisoft pro"/>
    </font>
    <font>
      <b/>
      <sz val="10"/>
      <color rgb="FFFF0000"/>
      <name val="Arial"/>
      <family val="2"/>
    </font>
    <font>
      <sz val="10"/>
      <color rgb="FF0070C0"/>
      <name val="Wisoft pro"/>
    </font>
    <font>
      <b/>
      <sz val="11"/>
      <color rgb="FF0070C0"/>
      <name val="Wisoft Pro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2F2F2"/>
        <bgColor rgb="FF000000"/>
      </patternFill>
    </fill>
  </fills>
  <borders count="25">
    <border>
      <left/>
      <right/>
      <top/>
      <bottom/>
      <diagonal/>
    </border>
    <border>
      <left style="hair">
        <color indexed="55"/>
      </left>
      <right/>
      <top style="thin">
        <color rgb="FFFF0000"/>
      </top>
      <bottom/>
      <diagonal/>
    </border>
    <border>
      <left style="hair">
        <color indexed="55"/>
      </left>
      <right/>
      <top/>
      <bottom style="thin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thin">
        <color indexed="55"/>
      </bottom>
      <diagonal/>
    </border>
    <border>
      <left style="hair">
        <color indexed="55"/>
      </left>
      <right/>
      <top style="thin">
        <color indexed="10"/>
      </top>
      <bottom/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/>
      <bottom style="hair">
        <color rgb="FF969696"/>
      </bottom>
      <diagonal/>
    </border>
    <border>
      <left/>
      <right style="hair">
        <color rgb="FF969696"/>
      </right>
      <top/>
      <bottom style="thin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indexed="55"/>
      </left>
      <right style="hair">
        <color indexed="55"/>
      </right>
      <top style="thin">
        <color indexed="10"/>
      </top>
      <bottom/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rgb="FF969696"/>
      </bottom>
      <diagonal/>
    </border>
    <border>
      <left style="hair">
        <color indexed="55"/>
      </left>
      <right/>
      <top/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thin">
        <color rgb="FF969696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3" xfId="2" applyFont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165" fontId="6" fillId="2" borderId="8" xfId="3" applyNumberFormat="1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vertical="center" wrapText="1"/>
    </xf>
    <xf numFmtId="3" fontId="8" fillId="4" borderId="7" xfId="3" applyNumberFormat="1" applyFont="1" applyFill="1" applyBorder="1" applyAlignment="1">
      <alignment horizontal="left" vertical="center"/>
    </xf>
    <xf numFmtId="0" fontId="10" fillId="0" borderId="0" xfId="2" applyFont="1" applyAlignment="1">
      <alignment vertical="center"/>
    </xf>
    <xf numFmtId="0" fontId="0" fillId="5" borderId="0" xfId="0" applyFill="1"/>
    <xf numFmtId="0" fontId="11" fillId="5" borderId="0" xfId="0" applyFont="1" applyFill="1"/>
    <xf numFmtId="0" fontId="2" fillId="0" borderId="0" xfId="0" applyFont="1"/>
    <xf numFmtId="0" fontId="12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9" fillId="0" borderId="11" xfId="4" applyBorder="1" applyAlignment="1">
      <alignment horizontal="center"/>
    </xf>
    <xf numFmtId="0" fontId="14" fillId="6" borderId="15" xfId="0" applyFont="1" applyFill="1" applyBorder="1"/>
    <xf numFmtId="3" fontId="14" fillId="6" borderId="15" xfId="0" applyNumberFormat="1" applyFont="1" applyFill="1" applyBorder="1"/>
    <xf numFmtId="3" fontId="14" fillId="6" borderId="16" xfId="0" applyNumberFormat="1" applyFont="1" applyFill="1" applyBorder="1"/>
    <xf numFmtId="3" fontId="15" fillId="7" borderId="17" xfId="0" applyNumberFormat="1" applyFont="1" applyFill="1" applyBorder="1" applyAlignment="1">
      <alignment wrapText="1"/>
    </xf>
    <xf numFmtId="3" fontId="14" fillId="6" borderId="18" xfId="0" applyNumberFormat="1" applyFont="1" applyFill="1" applyBorder="1"/>
    <xf numFmtId="3" fontId="14" fillId="6" borderId="19" xfId="0" applyNumberFormat="1" applyFont="1" applyFill="1" applyBorder="1"/>
    <xf numFmtId="0" fontId="17" fillId="0" borderId="0" xfId="0" applyFont="1" applyAlignment="1">
      <alignment wrapText="1" readingOrder="1"/>
    </xf>
    <xf numFmtId="3" fontId="15" fillId="7" borderId="24" xfId="0" applyNumberFormat="1" applyFont="1" applyFill="1" applyBorder="1" applyAlignment="1">
      <alignment wrapText="1"/>
    </xf>
    <xf numFmtId="3" fontId="19" fillId="7" borderId="17" xfId="0" applyNumberFormat="1" applyFont="1" applyFill="1" applyBorder="1" applyAlignment="1">
      <alignment wrapText="1"/>
    </xf>
    <xf numFmtId="3" fontId="8" fillId="4" borderId="7" xfId="3" applyNumberFormat="1" applyFont="1" applyFill="1" applyBorder="1" applyAlignment="1">
      <alignment horizontal="right" vertical="center"/>
    </xf>
    <xf numFmtId="3" fontId="18" fillId="3" borderId="7" xfId="3" applyNumberFormat="1" applyFont="1" applyFill="1" applyBorder="1" applyAlignment="1">
      <alignment horizontal="right" vertical="center"/>
    </xf>
    <xf numFmtId="164" fontId="0" fillId="0" borderId="0" xfId="6" applyFont="1"/>
    <xf numFmtId="9" fontId="2" fillId="0" borderId="0" xfId="7" applyFont="1"/>
    <xf numFmtId="10" fontId="2" fillId="0" borderId="0" xfId="7" applyNumberFormat="1" applyFont="1"/>
    <xf numFmtId="166" fontId="19" fillId="7" borderId="17" xfId="7" applyNumberFormat="1" applyFont="1" applyFill="1" applyBorder="1" applyAlignment="1">
      <alignment wrapText="1"/>
    </xf>
    <xf numFmtId="9" fontId="18" fillId="3" borderId="7" xfId="7" applyFont="1" applyFill="1" applyBorder="1" applyAlignment="1">
      <alignment horizontal="right" vertical="center"/>
    </xf>
    <xf numFmtId="9" fontId="19" fillId="7" borderId="17" xfId="7" applyFont="1" applyFill="1" applyBorder="1" applyAlignment="1">
      <alignment wrapText="1"/>
    </xf>
    <xf numFmtId="0" fontId="16" fillId="2" borderId="5" xfId="2" applyFont="1" applyFill="1" applyBorder="1" applyAlignment="1">
      <alignment horizontal="center" vertical="center" wrapText="1"/>
    </xf>
    <xf numFmtId="0" fontId="16" fillId="2" borderId="6" xfId="2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16" fillId="2" borderId="23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10" fontId="0" fillId="0" borderId="0" xfId="7" applyNumberFormat="1" applyFont="1"/>
  </cellXfs>
  <cellStyles count="8">
    <cellStyle name="Comma" xfId="6" builtinId="3"/>
    <cellStyle name="Comma 2" xfId="5" xr:uid="{9B3B358C-AAA9-4054-957B-47D049FC9731}"/>
    <cellStyle name="Comma 5" xfId="3" xr:uid="{1D5C4846-DDF3-410C-8834-438FC6FD25F0}"/>
    <cellStyle name="Hyperlink" xfId="4" builtinId="8"/>
    <cellStyle name="Normal" xfId="0" builtinId="0"/>
    <cellStyle name="Normal 3 2" xfId="1" xr:uid="{FBCD83F7-CEED-469A-BAC9-2E3785F07424}"/>
    <cellStyle name="Normal 5" xfId="2" xr:uid="{B36A51CE-197E-4BF9-A197-69E4512FB031}"/>
    <cellStyle name="Percent" xfId="7" builtinId="5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C55E-3E84-4331-88DD-9054175FC6F5}">
  <dimension ref="A1:H13"/>
  <sheetViews>
    <sheetView showGridLines="0" workbookViewId="0"/>
  </sheetViews>
  <sheetFormatPr defaultRowHeight="14.5"/>
  <cols>
    <col min="8" max="8" width="14.453125" customWidth="1"/>
  </cols>
  <sheetData>
    <row r="1" spans="1:8" s="7" customFormat="1" ht="21">
      <c r="A1" s="8" t="s">
        <v>0</v>
      </c>
    </row>
    <row r="2" spans="1:8" s="7" customFormat="1"/>
    <row r="3" spans="1:8" s="7" customFormat="1"/>
    <row r="4" spans="1:8" s="7" customFormat="1"/>
    <row r="5" spans="1:8" s="7" customFormat="1"/>
    <row r="6" spans="1:8" s="7" customFormat="1"/>
    <row r="8" spans="1:8" ht="18.5">
      <c r="B8" s="10" t="s">
        <v>1</v>
      </c>
    </row>
    <row r="9" spans="1:8" ht="18.5">
      <c r="B9" s="10"/>
    </row>
    <row r="10" spans="1:8">
      <c r="B10" s="11">
        <v>1</v>
      </c>
      <c r="C10" s="12" t="s">
        <v>2</v>
      </c>
      <c r="D10" s="12"/>
      <c r="E10" s="13"/>
      <c r="F10" s="14"/>
      <c r="G10" s="16"/>
      <c r="H10" s="18" t="s">
        <v>3</v>
      </c>
    </row>
    <row r="11" spans="1:8">
      <c r="B11" s="11">
        <v>2</v>
      </c>
      <c r="C11" s="12" t="s">
        <v>4</v>
      </c>
      <c r="D11" s="12"/>
      <c r="E11" s="13"/>
      <c r="F11" s="15"/>
      <c r="G11" s="17"/>
      <c r="H11" s="18" t="s">
        <v>3</v>
      </c>
    </row>
    <row r="13" spans="1:8">
      <c r="B13" t="s">
        <v>5</v>
      </c>
    </row>
  </sheetData>
  <hyperlinks>
    <hyperlink ref="H10" location="'1. Employees'!A1" display="Link" xr:uid="{456CCC54-56A6-440F-94EC-DF3C846F5BBF}"/>
    <hyperlink ref="H11" location="'2. Compensation of Employees'!A1" display="Link" xr:uid="{F9E6CD02-2DD4-4980-9B4D-5B4BE46373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selection activeCell="F30" sqref="F30"/>
    </sheetView>
  </sheetViews>
  <sheetFormatPr defaultRowHeight="14.5"/>
  <cols>
    <col min="1" max="1" width="60.453125" customWidth="1"/>
    <col min="2" max="4" width="11.1796875" customWidth="1"/>
    <col min="5" max="5" width="15.7265625" customWidth="1"/>
    <col min="6" max="7" width="11.1796875" customWidth="1"/>
  </cols>
  <sheetData>
    <row r="1" spans="1:10" s="7" customFormat="1" ht="21">
      <c r="A1" s="8" t="s">
        <v>2</v>
      </c>
    </row>
    <row r="2" spans="1:10" s="7" customFormat="1"/>
    <row r="3" spans="1:10" s="7" customFormat="1"/>
    <row r="4" spans="1:10" s="7" customFormat="1"/>
    <row r="5" spans="1:10" s="7" customFormat="1"/>
    <row r="6" spans="1:10" s="7" customFormat="1"/>
    <row r="9" spans="1:10">
      <c r="A9" s="38" t="s">
        <v>6</v>
      </c>
      <c r="B9" s="40">
        <v>2022</v>
      </c>
      <c r="C9" s="40" t="s">
        <v>7</v>
      </c>
      <c r="D9" s="40" t="s">
        <v>8</v>
      </c>
      <c r="E9" s="42" t="s">
        <v>35</v>
      </c>
      <c r="F9" s="40">
        <v>2023</v>
      </c>
      <c r="G9" s="36" t="s">
        <v>9</v>
      </c>
    </row>
    <row r="10" spans="1:10">
      <c r="A10" s="39"/>
      <c r="B10" s="41"/>
      <c r="C10" s="41"/>
      <c r="D10" s="41"/>
      <c r="E10" s="43"/>
      <c r="F10" s="41"/>
      <c r="G10" s="37"/>
    </row>
    <row r="11" spans="1:10">
      <c r="A11" s="1" t="s">
        <v>10</v>
      </c>
      <c r="B11" s="28">
        <v>8286.8024767351744</v>
      </c>
      <c r="C11" s="20">
        <v>8287</v>
      </c>
      <c r="D11" s="29">
        <f>C11-B11</f>
        <v>0.19752326482557692</v>
      </c>
      <c r="E11" s="34">
        <f>(D11)/B11</f>
        <v>2.383588427262682E-5</v>
      </c>
      <c r="F11" s="20">
        <v>5950</v>
      </c>
      <c r="G11" s="23">
        <v>4638</v>
      </c>
      <c r="J11" s="46"/>
    </row>
    <row r="12" spans="1:10">
      <c r="A12" s="1" t="s">
        <v>11</v>
      </c>
      <c r="B12" s="28">
        <v>5700.8328767123312</v>
      </c>
      <c r="C12" s="21">
        <v>5252</v>
      </c>
      <c r="D12" s="29">
        <f t="shared" ref="D12:D30" si="0">C12-B12</f>
        <v>-448.8328767123312</v>
      </c>
      <c r="E12" s="34">
        <f t="shared" ref="E12:E30" si="1">(D12)/B12</f>
        <v>-7.8731105861004125E-2</v>
      </c>
      <c r="F12" s="21">
        <v>4455</v>
      </c>
      <c r="G12" s="24">
        <v>4305</v>
      </c>
      <c r="J12" s="46"/>
    </row>
    <row r="13" spans="1:10">
      <c r="A13" s="4" t="s">
        <v>12</v>
      </c>
      <c r="B13" s="28">
        <v>305350.04657534254</v>
      </c>
      <c r="C13" s="21">
        <v>307125</v>
      </c>
      <c r="D13" s="29">
        <f t="shared" si="0"/>
        <v>1774.9534246574622</v>
      </c>
      <c r="E13" s="34">
        <f t="shared" si="1"/>
        <v>5.812848056073597E-3</v>
      </c>
      <c r="F13" s="21">
        <v>346809</v>
      </c>
      <c r="G13" s="24">
        <v>347149</v>
      </c>
      <c r="J13" s="46"/>
    </row>
    <row r="14" spans="1:10">
      <c r="A14" s="1" t="s">
        <v>13</v>
      </c>
      <c r="B14" s="28">
        <v>17761.545205479451</v>
      </c>
      <c r="C14" s="21">
        <v>17858</v>
      </c>
      <c r="D14" s="29">
        <f t="shared" si="0"/>
        <v>96.454794520548603</v>
      </c>
      <c r="E14" s="34">
        <f t="shared" si="1"/>
        <v>5.4305407218056805E-3</v>
      </c>
      <c r="F14" s="21">
        <v>18235</v>
      </c>
      <c r="G14" s="24">
        <v>19106</v>
      </c>
      <c r="J14" s="46"/>
    </row>
    <row r="15" spans="1:10">
      <c r="A15" s="4" t="s">
        <v>14</v>
      </c>
      <c r="B15" s="28">
        <v>702337.85479451809</v>
      </c>
      <c r="C15" s="21">
        <v>702355</v>
      </c>
      <c r="D15" s="29">
        <f t="shared" si="0"/>
        <v>17.145205481909215</v>
      </c>
      <c r="E15" s="34">
        <f t="shared" si="1"/>
        <v>2.4411620938366426E-5</v>
      </c>
      <c r="F15" s="21">
        <v>745376</v>
      </c>
      <c r="G15" s="24">
        <v>923525</v>
      </c>
      <c r="J15" s="46"/>
    </row>
    <row r="16" spans="1:10" ht="28">
      <c r="A16" s="1" t="s">
        <v>15</v>
      </c>
      <c r="B16" s="28">
        <v>742303.04657534091</v>
      </c>
      <c r="C16" s="21">
        <v>764878</v>
      </c>
      <c r="D16" s="29">
        <f t="shared" si="0"/>
        <v>22574.953424659092</v>
      </c>
      <c r="E16" s="34">
        <f t="shared" si="1"/>
        <v>3.0412044688230739E-2</v>
      </c>
      <c r="F16" s="21">
        <v>799991</v>
      </c>
      <c r="G16" s="24">
        <v>805113</v>
      </c>
      <c r="J16" s="46"/>
    </row>
    <row r="17" spans="1:10">
      <c r="A17" s="1" t="s">
        <v>16</v>
      </c>
      <c r="B17" s="28">
        <v>345488.79215783864</v>
      </c>
      <c r="C17" s="21">
        <v>348266</v>
      </c>
      <c r="D17" s="29">
        <f t="shared" si="0"/>
        <v>2777.2078421613551</v>
      </c>
      <c r="E17" s="34">
        <f t="shared" si="1"/>
        <v>8.0384889617275083E-3</v>
      </c>
      <c r="F17" s="21">
        <v>383384</v>
      </c>
      <c r="G17" s="24">
        <v>374860</v>
      </c>
      <c r="J17" s="46"/>
    </row>
    <row r="18" spans="1:10">
      <c r="A18" s="1" t="s">
        <v>17</v>
      </c>
      <c r="B18" s="28">
        <v>269362.79999999941</v>
      </c>
      <c r="C18" s="21">
        <v>269717</v>
      </c>
      <c r="D18" s="29">
        <f t="shared" si="0"/>
        <v>354.20000000059372</v>
      </c>
      <c r="E18" s="34">
        <f t="shared" si="1"/>
        <v>1.3149551459986104E-3</v>
      </c>
      <c r="F18" s="21">
        <v>295302</v>
      </c>
      <c r="G18" s="24">
        <v>315608</v>
      </c>
      <c r="J18" s="46"/>
    </row>
    <row r="19" spans="1:10">
      <c r="A19" s="1" t="s">
        <v>18</v>
      </c>
      <c r="B19" s="28">
        <v>78846.994520548003</v>
      </c>
      <c r="C19" s="21">
        <v>81532</v>
      </c>
      <c r="D19" s="29">
        <f t="shared" si="0"/>
        <v>2685.0054794519965</v>
      </c>
      <c r="E19" s="34">
        <f t="shared" si="1"/>
        <v>3.4053364947883559E-2</v>
      </c>
      <c r="F19" s="21">
        <v>115476</v>
      </c>
      <c r="G19" s="24">
        <v>122638</v>
      </c>
      <c r="J19" s="46"/>
    </row>
    <row r="20" spans="1:10">
      <c r="A20" s="1" t="s">
        <v>19</v>
      </c>
      <c r="B20" s="28">
        <v>43604</v>
      </c>
      <c r="C20" s="21">
        <v>56464</v>
      </c>
      <c r="D20" s="29">
        <f t="shared" si="0"/>
        <v>12860</v>
      </c>
      <c r="E20" s="34">
        <f t="shared" si="1"/>
        <v>0.29492707091092563</v>
      </c>
      <c r="F20" s="21">
        <v>62523</v>
      </c>
      <c r="G20" s="24">
        <v>71253</v>
      </c>
      <c r="J20" s="46"/>
    </row>
    <row r="21" spans="1:10">
      <c r="A21" s="1" t="s">
        <v>20</v>
      </c>
      <c r="B21" s="28">
        <v>52342.035616438312</v>
      </c>
      <c r="C21" s="21">
        <v>74892</v>
      </c>
      <c r="D21" s="29">
        <f t="shared" si="0"/>
        <v>22549.964383561688</v>
      </c>
      <c r="E21" s="34">
        <f t="shared" si="1"/>
        <v>0.43081940008614689</v>
      </c>
      <c r="F21" s="21">
        <v>93453</v>
      </c>
      <c r="G21" s="24">
        <v>109787</v>
      </c>
      <c r="J21" s="46"/>
    </row>
    <row r="22" spans="1:10">
      <c r="A22" s="1" t="s">
        <v>21</v>
      </c>
      <c r="B22" s="28">
        <v>204338.9123287666</v>
      </c>
      <c r="C22" s="21">
        <v>214843</v>
      </c>
      <c r="D22" s="29">
        <f t="shared" si="0"/>
        <v>10504.087671233399</v>
      </c>
      <c r="E22" s="34">
        <f t="shared" si="1"/>
        <v>5.1405224543493111E-2</v>
      </c>
      <c r="F22" s="21">
        <v>341584</v>
      </c>
      <c r="G22" s="24">
        <v>401776</v>
      </c>
      <c r="J22" s="46"/>
    </row>
    <row r="23" spans="1:10">
      <c r="A23" s="1" t="s">
        <v>22</v>
      </c>
      <c r="B23" s="28">
        <v>427604.71780821914</v>
      </c>
      <c r="C23" s="21">
        <v>451664</v>
      </c>
      <c r="D23" s="29">
        <f t="shared" si="0"/>
        <v>24059.282191780861</v>
      </c>
      <c r="E23" s="34">
        <f t="shared" si="1"/>
        <v>5.6265240278689947E-2</v>
      </c>
      <c r="F23" s="21">
        <v>481509</v>
      </c>
      <c r="G23" s="24">
        <v>513360</v>
      </c>
      <c r="J23" s="46"/>
    </row>
    <row r="24" spans="1:10">
      <c r="A24" s="1" t="s">
        <v>23</v>
      </c>
      <c r="B24" s="28">
        <v>97094.938417445315</v>
      </c>
      <c r="C24" s="21">
        <v>97095</v>
      </c>
      <c r="D24" s="29">
        <f t="shared" si="0"/>
        <v>6.1582554684719071E-2</v>
      </c>
      <c r="E24" s="34">
        <f t="shared" si="1"/>
        <v>6.3425092686040948E-7</v>
      </c>
      <c r="F24" s="21">
        <v>81159</v>
      </c>
      <c r="G24" s="24">
        <v>96360</v>
      </c>
      <c r="J24" s="46"/>
    </row>
    <row r="25" spans="1:10">
      <c r="A25" s="1" t="s">
        <v>24</v>
      </c>
      <c r="B25" s="28">
        <v>53468.002739726049</v>
      </c>
      <c r="C25" s="21">
        <v>53917</v>
      </c>
      <c r="D25" s="29">
        <f t="shared" si="0"/>
        <v>448.99726027395081</v>
      </c>
      <c r="E25" s="34">
        <f t="shared" si="1"/>
        <v>8.3974945250825973E-3</v>
      </c>
      <c r="F25" s="21">
        <v>62337</v>
      </c>
      <c r="G25" s="24">
        <v>65107</v>
      </c>
      <c r="J25" s="46"/>
    </row>
    <row r="26" spans="1:10">
      <c r="A26" s="1" t="s">
        <v>25</v>
      </c>
      <c r="B26" s="28">
        <v>40674.726027397257</v>
      </c>
      <c r="C26" s="21">
        <v>40871</v>
      </c>
      <c r="D26" s="29">
        <f t="shared" si="0"/>
        <v>196.27397260274302</v>
      </c>
      <c r="E26" s="34">
        <f t="shared" si="1"/>
        <v>4.8254528492838239E-3</v>
      </c>
      <c r="F26" s="21">
        <v>45661</v>
      </c>
      <c r="G26" s="24">
        <v>55155</v>
      </c>
      <c r="J26" s="46"/>
    </row>
    <row r="27" spans="1:10">
      <c r="A27" s="1" t="s">
        <v>26</v>
      </c>
      <c r="B27" s="28">
        <v>29513.778082191777</v>
      </c>
      <c r="C27" s="21">
        <v>30711</v>
      </c>
      <c r="D27" s="29">
        <f t="shared" si="0"/>
        <v>1197.2219178082232</v>
      </c>
      <c r="E27" s="34">
        <f t="shared" si="1"/>
        <v>4.056484786441527E-2</v>
      </c>
      <c r="F27" s="21">
        <v>33822</v>
      </c>
      <c r="G27" s="24">
        <v>49728</v>
      </c>
      <c r="J27" s="46"/>
    </row>
    <row r="28" spans="1:10">
      <c r="A28" s="1" t="s">
        <v>27</v>
      </c>
      <c r="B28" s="28">
        <v>46508.868493150687</v>
      </c>
      <c r="C28" s="21">
        <v>46797</v>
      </c>
      <c r="D28" s="29">
        <f t="shared" si="0"/>
        <v>288.13150684931315</v>
      </c>
      <c r="E28" s="34">
        <f t="shared" si="1"/>
        <v>6.1951949420516643E-3</v>
      </c>
      <c r="F28" s="21">
        <v>51084</v>
      </c>
      <c r="G28" s="24">
        <v>50366</v>
      </c>
      <c r="J28" s="46"/>
    </row>
    <row r="29" spans="1:10" ht="28">
      <c r="A29" s="1" t="s">
        <v>28</v>
      </c>
      <c r="B29" s="28">
        <v>124883.44499999999</v>
      </c>
      <c r="C29" s="21">
        <v>124883</v>
      </c>
      <c r="D29" s="29">
        <f t="shared" si="0"/>
        <v>-0.444999999992433</v>
      </c>
      <c r="E29" s="34">
        <f t="shared" si="1"/>
        <v>-3.5633225844501091E-6</v>
      </c>
      <c r="F29" s="21">
        <v>143042</v>
      </c>
      <c r="G29" s="24">
        <v>140646</v>
      </c>
      <c r="J29" s="46"/>
    </row>
    <row r="30" spans="1:10">
      <c r="A30" s="2" t="s">
        <v>29</v>
      </c>
      <c r="B30" s="3">
        <f>SUM(B11:B29)</f>
        <v>3595472.1396958497</v>
      </c>
      <c r="C30" s="22">
        <v>3697406</v>
      </c>
      <c r="D30" s="27">
        <f t="shared" si="0"/>
        <v>101933.86030415026</v>
      </c>
      <c r="E30" s="33">
        <f t="shared" si="1"/>
        <v>2.8350618873874269E-2</v>
      </c>
      <c r="F30" s="22">
        <v>4111152</v>
      </c>
      <c r="G30" s="22">
        <v>4470479</v>
      </c>
    </row>
    <row r="31" spans="1:10">
      <c r="C31" s="32"/>
    </row>
    <row r="32" spans="1:10">
      <c r="A32" s="5" t="s">
        <v>30</v>
      </c>
    </row>
    <row r="33" spans="1:1">
      <c r="A33" s="25" t="s">
        <v>31</v>
      </c>
    </row>
    <row r="34" spans="1:1">
      <c r="A34" s="6"/>
    </row>
  </sheetData>
  <mergeCells count="7">
    <mergeCell ref="G9:G10"/>
    <mergeCell ref="A9:A10"/>
    <mergeCell ref="B9:B10"/>
    <mergeCell ref="C9:C10"/>
    <mergeCell ref="D9:D10"/>
    <mergeCell ref="F9:F10"/>
    <mergeCell ref="E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A4B9-2F60-4637-A467-9369C173C43C}">
  <dimension ref="A1:N36"/>
  <sheetViews>
    <sheetView showGridLines="0" workbookViewId="0">
      <selection activeCell="I34" sqref="I34"/>
    </sheetView>
  </sheetViews>
  <sheetFormatPr defaultRowHeight="14.5"/>
  <cols>
    <col min="1" max="1" width="60.453125" customWidth="1"/>
    <col min="2" max="4" width="11" customWidth="1"/>
    <col min="5" max="5" width="15.1796875" customWidth="1"/>
    <col min="6" max="7" width="11" customWidth="1"/>
    <col min="10" max="10" width="12.1796875" bestFit="1" customWidth="1"/>
    <col min="11" max="11" width="9.81640625" customWidth="1"/>
    <col min="12" max="12" width="13.08984375" customWidth="1"/>
    <col min="13" max="14" width="12.1796875" bestFit="1" customWidth="1"/>
  </cols>
  <sheetData>
    <row r="1" spans="1:14" s="7" customFormat="1" ht="21">
      <c r="A1" s="8" t="s">
        <v>32</v>
      </c>
    </row>
    <row r="2" spans="1:14" s="7" customFormat="1"/>
    <row r="3" spans="1:14" s="7" customFormat="1"/>
    <row r="4" spans="1:14" s="7" customFormat="1"/>
    <row r="5" spans="1:14" s="7" customFormat="1"/>
    <row r="6" spans="1:14" s="7" customFormat="1"/>
    <row r="8" spans="1:14">
      <c r="A8" s="9" t="s">
        <v>33</v>
      </c>
      <c r="J8" s="9" t="s">
        <v>34</v>
      </c>
    </row>
    <row r="9" spans="1:14" ht="14.5" customHeight="1">
      <c r="A9" s="38" t="s">
        <v>6</v>
      </c>
      <c r="B9" s="42">
        <v>2022</v>
      </c>
      <c r="C9" s="42" t="s">
        <v>7</v>
      </c>
      <c r="D9" s="42" t="s">
        <v>8</v>
      </c>
      <c r="E9" s="42" t="s">
        <v>35</v>
      </c>
      <c r="F9" s="42">
        <v>2023</v>
      </c>
      <c r="G9" s="36" t="s">
        <v>9</v>
      </c>
      <c r="J9" s="42">
        <v>2022</v>
      </c>
      <c r="K9" s="42" t="s">
        <v>7</v>
      </c>
      <c r="L9" s="42" t="s">
        <v>35</v>
      </c>
      <c r="M9" s="42">
        <v>2023</v>
      </c>
      <c r="N9" s="36" t="s">
        <v>9</v>
      </c>
    </row>
    <row r="10" spans="1:14" ht="14.5" customHeight="1">
      <c r="A10" s="39"/>
      <c r="B10" s="43"/>
      <c r="C10" s="45"/>
      <c r="D10" s="43"/>
      <c r="E10" s="43"/>
      <c r="F10" s="45"/>
      <c r="G10" s="44"/>
      <c r="J10" s="45">
        <v>2022</v>
      </c>
      <c r="K10" s="45"/>
      <c r="L10" s="43"/>
      <c r="M10" s="45"/>
      <c r="N10" s="44"/>
    </row>
    <row r="11" spans="1:14" ht="14.5" customHeight="1">
      <c r="A11" s="1" t="s">
        <v>10</v>
      </c>
      <c r="B11" s="21">
        <v>233</v>
      </c>
      <c r="C11" s="19">
        <v>233</v>
      </c>
      <c r="D11" s="29">
        <f>C11-B11</f>
        <v>0</v>
      </c>
      <c r="E11" s="34">
        <f>(D11)/B11</f>
        <v>0</v>
      </c>
      <c r="F11" s="19">
        <v>235</v>
      </c>
      <c r="G11" s="19">
        <v>241</v>
      </c>
      <c r="J11" s="29">
        <f>B11*10^6/'1. Employees'!B11</f>
        <v>28116.996954390674</v>
      </c>
      <c r="K11" s="29">
        <f>C11*10^6/'1. Employees'!C11</f>
        <v>28116.32677687945</v>
      </c>
      <c r="L11" s="34">
        <f>(K11-J11)/J11</f>
        <v>-2.3835316136727315E-5</v>
      </c>
      <c r="M11" s="29">
        <f>F11*10^6/'1. Employees'!F11</f>
        <v>39495.798319327732</v>
      </c>
      <c r="N11" s="29">
        <f>G11*10^6/'1. Employees'!G11</f>
        <v>51962.052608883139</v>
      </c>
    </row>
    <row r="12" spans="1:14" ht="14.5" customHeight="1">
      <c r="A12" s="1" t="s">
        <v>11</v>
      </c>
      <c r="B12" s="21">
        <v>1238</v>
      </c>
      <c r="C12" s="21">
        <v>1104</v>
      </c>
      <c r="D12" s="29">
        <f t="shared" ref="D12:D30" si="0">C12-B12</f>
        <v>-134</v>
      </c>
      <c r="E12" s="34">
        <f t="shared" ref="E12:E30" si="1">(D12)/B12</f>
        <v>-0.10823909531502424</v>
      </c>
      <c r="F12" s="21">
        <v>1360</v>
      </c>
      <c r="G12" s="21">
        <v>1346</v>
      </c>
      <c r="J12" s="29">
        <f>B12*10^6/'1. Employees'!B12</f>
        <v>217161.25113177398</v>
      </c>
      <c r="K12" s="29">
        <f>C12*10^6/'1. Employees'!C12</f>
        <v>210205.6359482102</v>
      </c>
      <c r="L12" s="34">
        <f t="shared" ref="L12:L30" si="2">(K12-J12)/J12</f>
        <v>-3.2029725134264872E-2</v>
      </c>
      <c r="M12" s="29">
        <f>F12*10^6/'1. Employees'!F12</f>
        <v>305274.97194163862</v>
      </c>
      <c r="N12" s="29">
        <f>G12*10^6/'1. Employees'!G12</f>
        <v>312659.69802555168</v>
      </c>
    </row>
    <row r="13" spans="1:14" ht="14.5" customHeight="1">
      <c r="A13" s="4" t="s">
        <v>12</v>
      </c>
      <c r="B13" s="21">
        <v>18990</v>
      </c>
      <c r="C13" s="21">
        <v>18996</v>
      </c>
      <c r="D13" s="29">
        <f t="shared" si="0"/>
        <v>6</v>
      </c>
      <c r="E13" s="34">
        <f t="shared" si="1"/>
        <v>3.1595576619273299E-4</v>
      </c>
      <c r="F13" s="21">
        <v>21230</v>
      </c>
      <c r="G13" s="21">
        <v>21853</v>
      </c>
      <c r="J13" s="29">
        <f>B13*10^6/'1. Employees'!B13</f>
        <v>62190.91895672719</v>
      </c>
      <c r="K13" s="29">
        <f>C13*10^6/'1. Employees'!C13</f>
        <v>61851.03785103785</v>
      </c>
      <c r="L13" s="34">
        <f t="shared" si="2"/>
        <v>-5.4651243524127769E-3</v>
      </c>
      <c r="M13" s="29">
        <f>F13*10^6/'1. Employees'!F13</f>
        <v>61215.251045964782</v>
      </c>
      <c r="N13" s="29">
        <f>G13*10^6/'1. Employees'!G13</f>
        <v>62949.91487804948</v>
      </c>
    </row>
    <row r="14" spans="1:14" ht="14.5" customHeight="1">
      <c r="A14" s="1" t="s">
        <v>13</v>
      </c>
      <c r="B14" s="21">
        <v>4344</v>
      </c>
      <c r="C14" s="21">
        <v>4388</v>
      </c>
      <c r="D14" s="29">
        <f t="shared" si="0"/>
        <v>44</v>
      </c>
      <c r="E14" s="34">
        <f t="shared" si="1"/>
        <v>1.0128913443830571E-2</v>
      </c>
      <c r="F14" s="21">
        <v>4720</v>
      </c>
      <c r="G14" s="21">
        <v>5024</v>
      </c>
      <c r="J14" s="29">
        <f>B14*10^6/'1. Employees'!B14</f>
        <v>244573.31553900347</v>
      </c>
      <c r="K14" s="29">
        <f>C14*10^6/'1. Employees'!C14</f>
        <v>245716.20562213013</v>
      </c>
      <c r="L14" s="34">
        <f t="shared" si="2"/>
        <v>4.6729958278886831E-3</v>
      </c>
      <c r="M14" s="29">
        <f>F14*10^6/'1. Employees'!F14</f>
        <v>258842.88456265425</v>
      </c>
      <c r="N14" s="29">
        <f>G14*10^6/'1. Employees'!G14</f>
        <v>262954.04584947135</v>
      </c>
    </row>
    <row r="15" spans="1:14" ht="14.5" customHeight="1">
      <c r="A15" s="4" t="s">
        <v>14</v>
      </c>
      <c r="B15" s="21">
        <v>20527</v>
      </c>
      <c r="C15" s="21">
        <v>20630</v>
      </c>
      <c r="D15" s="29">
        <f t="shared" si="0"/>
        <v>103</v>
      </c>
      <c r="E15" s="34">
        <f t="shared" si="1"/>
        <v>5.017781458566766E-3</v>
      </c>
      <c r="F15" s="21">
        <v>21435</v>
      </c>
      <c r="G15" s="21">
        <v>22681</v>
      </c>
      <c r="J15" s="29">
        <f>B15*10^6/'1. Employees'!B15</f>
        <v>29226.674683519021</v>
      </c>
      <c r="K15" s="29">
        <f>C15*10^6/'1. Employees'!C15</f>
        <v>29372.610716802756</v>
      </c>
      <c r="L15" s="34">
        <f t="shared" si="2"/>
        <v>4.9932479443523092E-3</v>
      </c>
      <c r="M15" s="29">
        <f>F15*10^6/'1. Employees'!F15</f>
        <v>28757.298329970377</v>
      </c>
      <c r="N15" s="29">
        <f>G15*10^6/'1. Employees'!G15</f>
        <v>24559.161906824396</v>
      </c>
    </row>
    <row r="16" spans="1:14" ht="28" customHeight="1">
      <c r="A16" s="1" t="s">
        <v>15</v>
      </c>
      <c r="B16" s="21">
        <v>53229</v>
      </c>
      <c r="C16" s="21">
        <v>64361</v>
      </c>
      <c r="D16" s="29">
        <f t="shared" si="0"/>
        <v>11132</v>
      </c>
      <c r="E16" s="34">
        <f t="shared" si="1"/>
        <v>0.2091341186195495</v>
      </c>
      <c r="F16" s="21">
        <v>65448</v>
      </c>
      <c r="G16" s="21">
        <v>78262</v>
      </c>
      <c r="J16" s="29">
        <f>B16*10^6/'1. Employees'!B16</f>
        <v>71707.9099238177</v>
      </c>
      <c r="K16" s="29">
        <f>C16*10^6/'1. Employees'!C16</f>
        <v>84145.445417439114</v>
      </c>
      <c r="L16" s="34">
        <f t="shared" si="2"/>
        <v>0.17344719023096641</v>
      </c>
      <c r="M16" s="29">
        <f>F16*10^6/'1. Employees'!F16</f>
        <v>81810.920372854191</v>
      </c>
      <c r="N16" s="29">
        <f>G16*10^6/'1. Employees'!G16</f>
        <v>97206.230678178094</v>
      </c>
    </row>
    <row r="17" spans="1:14" ht="14.5" customHeight="1">
      <c r="A17" s="1" t="s">
        <v>16</v>
      </c>
      <c r="B17" s="21">
        <v>30164</v>
      </c>
      <c r="C17" s="21">
        <v>30822</v>
      </c>
      <c r="D17" s="29">
        <f t="shared" si="0"/>
        <v>658</v>
      </c>
      <c r="E17" s="34">
        <f t="shared" si="1"/>
        <v>2.1814083012863014E-2</v>
      </c>
      <c r="F17" s="21">
        <v>35752</v>
      </c>
      <c r="G17" s="21">
        <v>37289</v>
      </c>
      <c r="J17" s="29">
        <f>B17*10^6/'1. Employees'!B17</f>
        <v>87308.18679125022</v>
      </c>
      <c r="K17" s="29">
        <f>C17*10^6/'1. Employees'!C17</f>
        <v>88501.317958112471</v>
      </c>
      <c r="L17" s="34">
        <f t="shared" si="2"/>
        <v>1.366574213383874E-2</v>
      </c>
      <c r="M17" s="29">
        <f>F17*10^6/'1. Employees'!F17</f>
        <v>93253.761241992368</v>
      </c>
      <c r="N17" s="29">
        <f>G17*10^6/'1. Employees'!G17</f>
        <v>99474.47046897508</v>
      </c>
    </row>
    <row r="18" spans="1:14" ht="14.5" customHeight="1">
      <c r="A18" s="1" t="s">
        <v>17</v>
      </c>
      <c r="B18" s="21">
        <v>13378</v>
      </c>
      <c r="C18" s="21">
        <v>13378</v>
      </c>
      <c r="D18" s="29">
        <f t="shared" si="0"/>
        <v>0</v>
      </c>
      <c r="E18" s="34">
        <f t="shared" si="1"/>
        <v>0</v>
      </c>
      <c r="F18" s="21">
        <v>14306</v>
      </c>
      <c r="G18" s="21">
        <v>15377</v>
      </c>
      <c r="J18" s="29">
        <f>B18*10^6/'1. Employees'!B18</f>
        <v>49665.358393957998</v>
      </c>
      <c r="K18" s="29">
        <f>C18*10^6/'1. Employees'!C18</f>
        <v>49600.136439304901</v>
      </c>
      <c r="L18" s="34">
        <f t="shared" si="2"/>
        <v>-1.3132283096749446E-3</v>
      </c>
      <c r="M18" s="29">
        <f>F18*10^6/'1. Employees'!F18</f>
        <v>48445.320383878199</v>
      </c>
      <c r="N18" s="29">
        <f>G18*10^6/'1. Employees'!G18</f>
        <v>48721.832146206689</v>
      </c>
    </row>
    <row r="19" spans="1:14" ht="14.5" customHeight="1">
      <c r="A19" s="1" t="s">
        <v>18</v>
      </c>
      <c r="B19" s="21">
        <v>9900</v>
      </c>
      <c r="C19" s="21">
        <v>16927</v>
      </c>
      <c r="D19" s="29">
        <f t="shared" si="0"/>
        <v>7027</v>
      </c>
      <c r="E19" s="34">
        <f t="shared" si="1"/>
        <v>0.70979797979797976</v>
      </c>
      <c r="F19" s="21">
        <v>19038</v>
      </c>
      <c r="G19" s="21">
        <v>19598</v>
      </c>
      <c r="J19" s="29">
        <f>B19*10^6/'1. Employees'!B19</f>
        <v>125559.63686631074</v>
      </c>
      <c r="K19" s="29">
        <f>C19*10^6/'1. Employees'!C19</f>
        <v>207611.7352695874</v>
      </c>
      <c r="L19" s="34">
        <f t="shared" si="2"/>
        <v>0.6534910457780424</v>
      </c>
      <c r="M19" s="29">
        <f>F19*10^6/'1. Employees'!F19</f>
        <v>164865.42658214693</v>
      </c>
      <c r="N19" s="29">
        <f>G19*10^6/'1. Employees'!G19</f>
        <v>159803.64976597793</v>
      </c>
    </row>
    <row r="20" spans="1:14" ht="14.5" customHeight="1">
      <c r="A20" s="1" t="s">
        <v>19</v>
      </c>
      <c r="B20" s="21">
        <v>12122</v>
      </c>
      <c r="C20" s="21">
        <v>20624</v>
      </c>
      <c r="D20" s="29">
        <f t="shared" si="0"/>
        <v>8502</v>
      </c>
      <c r="E20" s="34">
        <f t="shared" si="1"/>
        <v>0.70136941098828576</v>
      </c>
      <c r="F20" s="21">
        <v>24396</v>
      </c>
      <c r="G20" s="21">
        <v>27802</v>
      </c>
      <c r="J20" s="29">
        <f>B20*10^6/'1. Employees'!B20</f>
        <v>278002.01816347125</v>
      </c>
      <c r="K20" s="29">
        <f>C20*10^6/'1. Employees'!C20</f>
        <v>365259.2802493624</v>
      </c>
      <c r="L20" s="34">
        <f t="shared" si="2"/>
        <v>0.31387276488972099</v>
      </c>
      <c r="M20" s="29">
        <f>F20*10^6/'1. Employees'!F20</f>
        <v>390192.40919341682</v>
      </c>
      <c r="N20" s="29">
        <f>G20*10^6/'1. Employees'!G20</f>
        <v>390187.07984225225</v>
      </c>
    </row>
    <row r="21" spans="1:14" ht="14.5" customHeight="1">
      <c r="A21" s="1" t="s">
        <v>20</v>
      </c>
      <c r="B21" s="21">
        <v>6997</v>
      </c>
      <c r="C21" s="21">
        <v>11650</v>
      </c>
      <c r="D21" s="29">
        <f t="shared" si="0"/>
        <v>4653</v>
      </c>
      <c r="E21" s="34">
        <f t="shared" si="1"/>
        <v>0.66499928540803199</v>
      </c>
      <c r="F21" s="21">
        <v>11782</v>
      </c>
      <c r="G21" s="21">
        <v>8253</v>
      </c>
      <c r="J21" s="29">
        <f>B21*10^6/'1. Employees'!B21</f>
        <v>133678.40813975819</v>
      </c>
      <c r="K21" s="29">
        <f>C21*10^6/'1. Employees'!C21</f>
        <v>155557.33589702504</v>
      </c>
      <c r="L21" s="34">
        <f t="shared" si="2"/>
        <v>0.16366837443480667</v>
      </c>
      <c r="M21" s="29">
        <f>F21*10^6/'1. Employees'!F21</f>
        <v>126074.06931826693</v>
      </c>
      <c r="N21" s="29">
        <f>G21*10^6/'1. Employees'!G21</f>
        <v>75172.834670771583</v>
      </c>
    </row>
    <row r="22" spans="1:14" ht="14.5" customHeight="1">
      <c r="A22" s="1" t="s">
        <v>21</v>
      </c>
      <c r="B22" s="21">
        <v>17570</v>
      </c>
      <c r="C22" s="21">
        <v>21092</v>
      </c>
      <c r="D22" s="29">
        <f t="shared" si="0"/>
        <v>3522</v>
      </c>
      <c r="E22" s="34">
        <f t="shared" si="1"/>
        <v>0.20045532157085941</v>
      </c>
      <c r="F22" s="21">
        <v>23724</v>
      </c>
      <c r="G22" s="21">
        <v>19757</v>
      </c>
      <c r="J22" s="29">
        <f>B22*10^6/'1. Employees'!B22</f>
        <v>85984.601756767384</v>
      </c>
      <c r="K22" s="29">
        <f>C22*10^6/'1. Employees'!C22</f>
        <v>98174.015443835728</v>
      </c>
      <c r="L22" s="34">
        <f t="shared" si="2"/>
        <v>0.14176275098127067</v>
      </c>
      <c r="M22" s="29">
        <f>F22*10^6/'1. Employees'!F22</f>
        <v>69452.901775258797</v>
      </c>
      <c r="N22" s="29">
        <f>G22*10^6/'1. Employees'!G22</f>
        <v>49174.166699852656</v>
      </c>
    </row>
    <row r="23" spans="1:14" ht="14.5" customHeight="1">
      <c r="A23" s="1" t="s">
        <v>22</v>
      </c>
      <c r="B23" s="21">
        <v>12563</v>
      </c>
      <c r="C23" s="21">
        <v>16836</v>
      </c>
      <c r="D23" s="29">
        <f t="shared" si="0"/>
        <v>4273</v>
      </c>
      <c r="E23" s="34">
        <f t="shared" si="1"/>
        <v>0.34012576613866113</v>
      </c>
      <c r="F23" s="21">
        <v>19009</v>
      </c>
      <c r="G23" s="21">
        <v>17374</v>
      </c>
      <c r="J23" s="29">
        <f>B23*10^6/'1. Employees'!B23</f>
        <v>29379.937771487614</v>
      </c>
      <c r="K23" s="29">
        <f>C23*10^6/'1. Employees'!C23</f>
        <v>37275.496829501579</v>
      </c>
      <c r="L23" s="34">
        <f t="shared" si="2"/>
        <v>0.26873981556476878</v>
      </c>
      <c r="M23" s="29">
        <f>F23*10^6/'1. Employees'!F23</f>
        <v>39477.97445115252</v>
      </c>
      <c r="N23" s="29">
        <f>G23*10^6/'1. Employees'!G23</f>
        <v>33843.696431354212</v>
      </c>
    </row>
    <row r="24" spans="1:14" ht="14.5" customHeight="1">
      <c r="A24" s="1" t="s">
        <v>23</v>
      </c>
      <c r="B24" s="21">
        <v>23934</v>
      </c>
      <c r="C24" s="21">
        <v>23934</v>
      </c>
      <c r="D24" s="29">
        <f t="shared" si="0"/>
        <v>0</v>
      </c>
      <c r="E24" s="34">
        <f t="shared" si="1"/>
        <v>0</v>
      </c>
      <c r="F24" s="21">
        <v>23986</v>
      </c>
      <c r="G24" s="21">
        <v>22092</v>
      </c>
      <c r="J24" s="29">
        <f>B24*10^6/'1. Employees'!B24</f>
        <v>246501.00602669225</v>
      </c>
      <c r="K24" s="29">
        <f>C24*10^6/'1. Employees'!C24</f>
        <v>246500.84968329986</v>
      </c>
      <c r="L24" s="34">
        <f t="shared" si="2"/>
        <v>-6.3425052460259978E-7</v>
      </c>
      <c r="M24" s="29">
        <f>F24*10^6/'1. Employees'!F24</f>
        <v>295543.3162064589</v>
      </c>
      <c r="N24" s="29">
        <f>G24*10^6/'1. Employees'!G24</f>
        <v>229265.25529265255</v>
      </c>
    </row>
    <row r="25" spans="1:14">
      <c r="A25" s="1" t="s">
        <v>24</v>
      </c>
      <c r="B25" s="21">
        <v>6526</v>
      </c>
      <c r="C25" s="21">
        <v>6526</v>
      </c>
      <c r="D25" s="29">
        <f t="shared" si="0"/>
        <v>0</v>
      </c>
      <c r="E25" s="34">
        <f t="shared" si="1"/>
        <v>0</v>
      </c>
      <c r="F25" s="21">
        <v>6983</v>
      </c>
      <c r="G25" s="21">
        <v>7260</v>
      </c>
      <c r="J25" s="29">
        <f>B25*10^6/'1. Employees'!B25</f>
        <v>122054.30660590703</v>
      </c>
      <c r="K25" s="29">
        <f>C25*10^6/'1. Employees'!C25</f>
        <v>121037.8915740861</v>
      </c>
      <c r="L25" s="34">
        <f t="shared" si="2"/>
        <v>-8.3275638532179196E-3</v>
      </c>
      <c r="M25" s="29">
        <f>F25*10^6/'1. Employees'!F25</f>
        <v>112020.14854741165</v>
      </c>
      <c r="N25" s="29">
        <f>G25*10^6/'1. Employees'!G25</f>
        <v>111508.74713932449</v>
      </c>
    </row>
    <row r="26" spans="1:14">
      <c r="A26" s="1" t="s">
        <v>25</v>
      </c>
      <c r="B26" s="21">
        <v>5248</v>
      </c>
      <c r="C26" s="21">
        <v>6173</v>
      </c>
      <c r="D26" s="29">
        <f t="shared" si="0"/>
        <v>925</v>
      </c>
      <c r="E26" s="34">
        <f t="shared" si="1"/>
        <v>0.17625762195121952</v>
      </c>
      <c r="F26" s="21">
        <v>6797</v>
      </c>
      <c r="G26" s="21">
        <v>7331</v>
      </c>
      <c r="J26" s="29">
        <f>B26*10^6/'1. Employees'!B26</f>
        <v>129023.61029955327</v>
      </c>
      <c r="K26" s="29">
        <f>C26*10^6/'1. Employees'!C26</f>
        <v>151036.1870274767</v>
      </c>
      <c r="L26" s="34">
        <f t="shared" si="2"/>
        <v>0.17060890388059188</v>
      </c>
      <c r="M26" s="29">
        <f>F26*10^6/'1. Employees'!F26</f>
        <v>148857.88747508815</v>
      </c>
      <c r="N26" s="29">
        <f>G26*10^6/'1. Employees'!G26</f>
        <v>132916.32671561962</v>
      </c>
    </row>
    <row r="27" spans="1:14" ht="14.5" customHeight="1">
      <c r="A27" s="1" t="s">
        <v>26</v>
      </c>
      <c r="B27" s="21">
        <v>1141</v>
      </c>
      <c r="C27" s="21">
        <v>1545</v>
      </c>
      <c r="D27" s="29">
        <f t="shared" si="0"/>
        <v>404</v>
      </c>
      <c r="E27" s="34">
        <f t="shared" si="1"/>
        <v>0.35407537248028048</v>
      </c>
      <c r="F27" s="21">
        <v>1613</v>
      </c>
      <c r="G27" s="21">
        <v>2126</v>
      </c>
      <c r="J27" s="29">
        <f>B27*10^6/'1. Employees'!B27</f>
        <v>38659.909850323915</v>
      </c>
      <c r="K27" s="29">
        <f>C27*10^6/'1. Employees'!C27</f>
        <v>50307.70733613363</v>
      </c>
      <c r="L27" s="34">
        <f t="shared" si="2"/>
        <v>0.30128879065950859</v>
      </c>
      <c r="M27" s="29">
        <f>F27*10^6/'1. Employees'!F27</f>
        <v>47690.852108095321</v>
      </c>
      <c r="N27" s="29">
        <f>G27*10^6/'1. Employees'!G27</f>
        <v>42752.574002574001</v>
      </c>
    </row>
    <row r="28" spans="1:14" ht="14.5" customHeight="1">
      <c r="A28" s="1" t="s">
        <v>27</v>
      </c>
      <c r="B28" s="21">
        <v>1524</v>
      </c>
      <c r="C28" s="21">
        <v>1524</v>
      </c>
      <c r="D28" s="29">
        <f t="shared" si="0"/>
        <v>0</v>
      </c>
      <c r="E28" s="34">
        <f t="shared" si="1"/>
        <v>0</v>
      </c>
      <c r="F28" s="21">
        <v>1753</v>
      </c>
      <c r="G28" s="21">
        <v>1791</v>
      </c>
      <c r="J28" s="29">
        <f>B28*10^6/'1. Employees'!B28</f>
        <v>32767.944036833273</v>
      </c>
      <c r="K28" s="29">
        <f>C28*10^6/'1. Employees'!C28</f>
        <v>32566.190140393614</v>
      </c>
      <c r="L28" s="34">
        <f t="shared" si="2"/>
        <v>-6.1570508120031781E-3</v>
      </c>
      <c r="M28" s="29">
        <f>F28*10^6/'1. Employees'!F28</f>
        <v>34316.028502075016</v>
      </c>
      <c r="N28" s="29">
        <f>G28*10^6/'1. Employees'!G28</f>
        <v>35559.702974228647</v>
      </c>
    </row>
    <row r="29" spans="1:14" ht="28" customHeight="1">
      <c r="A29" s="1" t="s">
        <v>28</v>
      </c>
      <c r="B29" s="21">
        <v>1945</v>
      </c>
      <c r="C29" s="21">
        <v>1945</v>
      </c>
      <c r="D29" s="29">
        <f t="shared" si="0"/>
        <v>0</v>
      </c>
      <c r="E29" s="34">
        <f t="shared" si="1"/>
        <v>0</v>
      </c>
      <c r="F29" s="21">
        <v>1961</v>
      </c>
      <c r="G29" s="21">
        <v>2103</v>
      </c>
      <c r="J29" s="29">
        <f>B29*10^6/'1. Employees'!B29</f>
        <v>15574.522307580481</v>
      </c>
      <c r="K29" s="29">
        <f>C29*10^6/'1. Employees'!C29</f>
        <v>15574.577804825316</v>
      </c>
      <c r="L29" s="34">
        <f t="shared" si="2"/>
        <v>3.5633352817722838E-6</v>
      </c>
      <c r="M29" s="29">
        <f>F29*10^6/'1. Employees'!F29</f>
        <v>13709.260217278841</v>
      </c>
      <c r="N29" s="29">
        <f>G29*10^6/'1. Employees'!G29</f>
        <v>14952.433769890364</v>
      </c>
    </row>
    <row r="30" spans="1:14" ht="14.5" customHeight="1">
      <c r="A30" s="2" t="s">
        <v>29</v>
      </c>
      <c r="B30" s="26">
        <v>241573</v>
      </c>
      <c r="C30" s="26">
        <v>282688</v>
      </c>
      <c r="D30" s="27">
        <f t="shared" si="0"/>
        <v>41115</v>
      </c>
      <c r="E30" s="35">
        <f t="shared" si="1"/>
        <v>0.17019700049260472</v>
      </c>
      <c r="F30" s="26">
        <v>305527</v>
      </c>
      <c r="G30" s="22">
        <v>317561</v>
      </c>
      <c r="J30" s="29">
        <f>B30*10^6/'1. Employees'!B30</f>
        <v>67188.116223432982</v>
      </c>
      <c r="K30" s="29">
        <f>C30*10^6/'1. Employees'!C30</f>
        <v>76455.763851738215</v>
      </c>
      <c r="L30" s="34">
        <f t="shared" si="2"/>
        <v>0.13793581587383433</v>
      </c>
      <c r="M30" s="29">
        <f>F30*10^6/'1. Employees'!F30</f>
        <v>74316.639229101726</v>
      </c>
      <c r="N30" s="29">
        <f>G30*10^6/'1. Employees'!G30</f>
        <v>71035.117265957408</v>
      </c>
    </row>
    <row r="31" spans="1:14">
      <c r="C31" s="31"/>
    </row>
    <row r="32" spans="1:14">
      <c r="A32" s="5" t="s">
        <v>30</v>
      </c>
    </row>
    <row r="33" spans="1:7">
      <c r="A33" s="25" t="s">
        <v>31</v>
      </c>
    </row>
    <row r="35" spans="1:7">
      <c r="A35" s="6"/>
    </row>
    <row r="36" spans="1:7">
      <c r="A36" s="9"/>
      <c r="B36" s="30"/>
      <c r="C36" s="30"/>
      <c r="F36" s="30"/>
      <c r="G36" s="30"/>
    </row>
  </sheetData>
  <mergeCells count="12">
    <mergeCell ref="J9:J10"/>
    <mergeCell ref="K9:K10"/>
    <mergeCell ref="M9:M10"/>
    <mergeCell ref="N9:N10"/>
    <mergeCell ref="L9:L10"/>
    <mergeCell ref="G9:G10"/>
    <mergeCell ref="A9:A10"/>
    <mergeCell ref="B9:B10"/>
    <mergeCell ref="C9:C10"/>
    <mergeCell ref="D9:D10"/>
    <mergeCell ref="F9:F10"/>
    <mergeCell ref="E9:E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a1ec09-2f5b-4b05-884e-4b35cebaab4d">WX55CPHRC5MK-662759329-45090</_dlc_DocId>
    <_dlc_DocIdUrl xmlns="7da1ec09-2f5b-4b05-884e-4b35cebaab4d">
      <Url>https://pwceur.sharepoint.com/sites/ae-GSD-0ABaRBUVII0OEUk9PVA/_layouts/15/DocIdRedir.aspx?ID=WX55CPHRC5MK-662759329-45090</Url>
      <Description>WX55CPHRC5MK-662759329-45090</Description>
    </_dlc_DocIdUrl>
    <TaxCatchAll xmlns="7da1ec09-2f5b-4b05-884e-4b35cebaab4d" xsi:nil="true"/>
    <Details xmlns="1a936742-dcdc-4305-be47-c9a61891f09d" xsi:nil="true"/>
    <lcf76f155ced4ddcb4097134ff3c332f xmlns="1a936742-dcdc-4305-be47-c9a61891f0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4CF5F4E0A2F5468D9503876DFF2596" ma:contentTypeVersion="16" ma:contentTypeDescription="Create a new document." ma:contentTypeScope="" ma:versionID="6cb895243b7c9a75f58b9abd86b62b5c">
  <xsd:schema xmlns:xsd="http://www.w3.org/2001/XMLSchema" xmlns:xs="http://www.w3.org/2001/XMLSchema" xmlns:p="http://schemas.microsoft.com/office/2006/metadata/properties" xmlns:ns2="7da1ec09-2f5b-4b05-884e-4b35cebaab4d" xmlns:ns3="1a936742-dcdc-4305-be47-c9a61891f09d" targetNamespace="http://schemas.microsoft.com/office/2006/metadata/properties" ma:root="true" ma:fieldsID="72612f423bdca86bf79e4e0c172f2dc7" ns2:_="" ns3:_="">
    <xsd:import namespace="7da1ec09-2f5b-4b05-884e-4b35cebaab4d"/>
    <xsd:import namespace="1a936742-dcdc-4305-be47-c9a61891f09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1ec09-2f5b-4b05-884e-4b35cebaab4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3989b43f-0991-421c-adc0-79fd3ffd7eef}" ma:internalName="TaxCatchAll" ma:showField="CatchAllData" ma:web="7da1ec09-2f5b-4b05-884e-4b35cebaab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936742-dcdc-4305-be47-c9a61891f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Details" ma:index="25" nillable="true" ma:displayName="Details" ma:format="Dropdown" ma:internalName="Detail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8940952-3EA4-4FD6-9661-C92E95E39F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CBB8F0-F832-4C8D-99FF-49136A1AA611}">
  <ds:schemaRefs>
    <ds:schemaRef ds:uri="http://schemas.microsoft.com/office/infopath/2007/PartnerControls"/>
    <ds:schemaRef ds:uri="http://purl.org/dc/dcmitype/"/>
    <ds:schemaRef ds:uri="http://purl.org/dc/elements/1.1/"/>
    <ds:schemaRef ds:uri="7da1ec09-2f5b-4b05-884e-4b35cebaab4d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1a936742-dcdc-4305-be47-c9a61891f09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F808896-06D0-4D86-8291-F2475800B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a1ec09-2f5b-4b05-884e-4b35cebaab4d"/>
    <ds:schemaRef ds:uri="1a936742-dcdc-4305-be47-c9a61891f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2A46DD-AC22-40AF-9369-B04E596EE44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request index</vt:lpstr>
      <vt:lpstr>1. Employees</vt:lpstr>
      <vt:lpstr>2. Compensation of 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Reem Alawar</dc:creator>
  <cp:keywords/>
  <dc:description/>
  <cp:lastModifiedBy>Bob Scealy</cp:lastModifiedBy>
  <cp:revision/>
  <dcterms:created xsi:type="dcterms:W3CDTF">2025-11-03T10:23:22Z</dcterms:created>
  <dcterms:modified xsi:type="dcterms:W3CDTF">2025-11-06T10:22:10Z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0x0101006A4CF5F4E0A2F5468D9503876DFF2596</vt:lpwstr>
  </property>
  <property fmtid="{D5CDD505-2E9C-101B-9397-08002B2CF9AE}" pid="3" name="_dlc_DocIdItemGuid">
    <vt:lpwstr>032e9b43-bc4a-4f3f-81b7-db417ad2b398</vt:lpwstr>
  </property>
  <property fmtid="{D5CDD505-2E9C-101B-9397-08002B2CF9AE}" pid="4" name="MediaServiceImageTags">
    <vt:lpwstr/>
  </property>
</Properties>
</file>